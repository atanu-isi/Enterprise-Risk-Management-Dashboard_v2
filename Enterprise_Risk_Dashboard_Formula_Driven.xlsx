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tanuProtiviti\Enterprise Dashboard_v2\"/>
    </mc:Choice>
  </mc:AlternateContent>
  <xr:revisionPtr revIDLastSave="0" documentId="8_{DCC70BEC-6E65-4217-A903-6839CD17E01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onthly_Data" sheetId="1" r:id="rId1"/>
    <sheet name="Table_of_Contents" sheetId="2" r:id="rId2"/>
    <sheet name="KRI_Master_Summary" sheetId="3" r:id="rId3"/>
    <sheet name="P1_Credit_Risk" sheetId="4" r:id="rId4"/>
    <sheet name="P1_Market_Risk" sheetId="5" r:id="rId5"/>
    <sheet name="P1_Operational_Risk" sheetId="6" r:id="rId6"/>
    <sheet name="P1_Capital_Adequacy" sheetId="7" r:id="rId7"/>
    <sheet name="P2_Liquidity_Risk" sheetId="8" r:id="rId8"/>
    <sheet name="P2_IRRBB" sheetId="9" r:id="rId9"/>
    <sheet name="P2_Concentration_Risk" sheetId="10" r:id="rId10"/>
    <sheet name="P2_Climate_Risk" sheetId="11" r:id="rId11"/>
    <sheet name="P2_Cyber_Risk" sheetId="12" r:id="rId12"/>
    <sheet name="P2_Fraud_Risk" sheetId="13" r:id="rId13"/>
    <sheet name="P2_Third_Party_Risk" sheetId="14" r:id="rId14"/>
    <sheet name="P2_Reputational_Risk" sheetId="15" r:id="rId15"/>
    <sheet name="P2_Strategic_Risk" sheetId="16" r:id="rId16"/>
    <sheet name="KRI_Thresholds" sheetId="17" r:id="rId17"/>
    <sheet name="P3_Capital_Disclosure" sheetId="18" r:id="rId18"/>
    <sheet name="P3_Market_Disclosure" sheetId="19" r:id="rId19"/>
    <sheet name="Monthly_KRI_Trend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20" l="1"/>
  <c r="R41" i="20"/>
  <c r="W41" i="20" s="1"/>
  <c r="Q41" i="20"/>
  <c r="P41" i="20"/>
  <c r="U41" i="20" s="1"/>
  <c r="O41" i="20"/>
  <c r="N41" i="20"/>
  <c r="M41" i="20"/>
  <c r="L41" i="20"/>
  <c r="K41" i="20"/>
  <c r="J41" i="20"/>
  <c r="I41" i="20"/>
  <c r="H41" i="20"/>
  <c r="G41" i="20"/>
  <c r="S41" i="20" s="1"/>
  <c r="R40" i="20"/>
  <c r="Q40" i="20"/>
  <c r="P40" i="20"/>
  <c r="U40" i="20" s="1"/>
  <c r="O40" i="20"/>
  <c r="N40" i="20"/>
  <c r="M40" i="20"/>
  <c r="L40" i="20"/>
  <c r="K40" i="20"/>
  <c r="J40" i="20"/>
  <c r="I40" i="20"/>
  <c r="H40" i="20"/>
  <c r="G40" i="20"/>
  <c r="W39" i="20"/>
  <c r="R39" i="20"/>
  <c r="T39" i="20" s="1"/>
  <c r="Q39" i="20"/>
  <c r="U39" i="20" s="1"/>
  <c r="P39" i="20"/>
  <c r="O39" i="20"/>
  <c r="N39" i="20"/>
  <c r="M39" i="20"/>
  <c r="L39" i="20"/>
  <c r="K39" i="20"/>
  <c r="J39" i="20"/>
  <c r="I39" i="20"/>
  <c r="H39" i="20"/>
  <c r="G39" i="20"/>
  <c r="W38" i="20"/>
  <c r="V38" i="20"/>
  <c r="R38" i="20"/>
  <c r="T38" i="20" s="1"/>
  <c r="Q38" i="20"/>
  <c r="P38" i="20"/>
  <c r="U38" i="20" s="1"/>
  <c r="O38" i="20"/>
  <c r="N38" i="20"/>
  <c r="M38" i="20"/>
  <c r="L38" i="20"/>
  <c r="K38" i="20"/>
  <c r="J38" i="20"/>
  <c r="I38" i="20"/>
  <c r="H38" i="20"/>
  <c r="G38" i="20"/>
  <c r="V37" i="20"/>
  <c r="U37" i="20"/>
  <c r="R37" i="20"/>
  <c r="T37" i="20" s="1"/>
  <c r="Q37" i="20"/>
  <c r="P37" i="20"/>
  <c r="O37" i="20"/>
  <c r="N37" i="20"/>
  <c r="M37" i="20"/>
  <c r="L37" i="20"/>
  <c r="K37" i="20"/>
  <c r="J37" i="20"/>
  <c r="I37" i="20"/>
  <c r="H37" i="20"/>
  <c r="G37" i="20"/>
  <c r="W37" i="20" s="1"/>
  <c r="U36" i="20"/>
  <c r="T36" i="20"/>
  <c r="R36" i="20"/>
  <c r="W36" i="20" s="1"/>
  <c r="Q36" i="20"/>
  <c r="P36" i="20"/>
  <c r="O36" i="20"/>
  <c r="N36" i="20"/>
  <c r="M36" i="20"/>
  <c r="L36" i="20"/>
  <c r="K36" i="20"/>
  <c r="J36" i="20"/>
  <c r="I36" i="20"/>
  <c r="H36" i="20"/>
  <c r="G36" i="20"/>
  <c r="S36" i="20" s="1"/>
  <c r="T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S35" i="20" s="1"/>
  <c r="V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W33" i="20"/>
  <c r="R33" i="20"/>
  <c r="Q33" i="20"/>
  <c r="U33" i="20" s="1"/>
  <c r="P33" i="20"/>
  <c r="O33" i="20"/>
  <c r="N33" i="20"/>
  <c r="M33" i="20"/>
  <c r="L33" i="20"/>
  <c r="K33" i="20"/>
  <c r="J33" i="20"/>
  <c r="I33" i="20"/>
  <c r="H33" i="20"/>
  <c r="G33" i="20"/>
  <c r="W32" i="20"/>
  <c r="V32" i="20"/>
  <c r="T32" i="20"/>
  <c r="R32" i="20"/>
  <c r="Q32" i="20"/>
  <c r="P32" i="20"/>
  <c r="U32" i="20" s="1"/>
  <c r="O32" i="20"/>
  <c r="N32" i="20"/>
  <c r="M32" i="20"/>
  <c r="L32" i="20"/>
  <c r="K32" i="20"/>
  <c r="J32" i="20"/>
  <c r="I32" i="20"/>
  <c r="H32" i="20"/>
  <c r="G32" i="20"/>
  <c r="V31" i="20"/>
  <c r="U31" i="20"/>
  <c r="T31" i="20"/>
  <c r="R31" i="20"/>
  <c r="W31" i="20" s="1"/>
  <c r="Q31" i="20"/>
  <c r="P31" i="20"/>
  <c r="O31" i="20"/>
  <c r="N31" i="20"/>
  <c r="M31" i="20"/>
  <c r="L31" i="20"/>
  <c r="K31" i="20"/>
  <c r="J31" i="20"/>
  <c r="I31" i="20"/>
  <c r="H31" i="20"/>
  <c r="G31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W29" i="20"/>
  <c r="T29" i="20"/>
  <c r="R29" i="20"/>
  <c r="V29" i="20" s="1"/>
  <c r="Q29" i="20"/>
  <c r="P29" i="20"/>
  <c r="U29" i="20" s="1"/>
  <c r="O29" i="20"/>
  <c r="N29" i="20"/>
  <c r="M29" i="20"/>
  <c r="L29" i="20"/>
  <c r="K29" i="20"/>
  <c r="J29" i="20"/>
  <c r="I29" i="20"/>
  <c r="H29" i="20"/>
  <c r="G29" i="20"/>
  <c r="S29" i="20" s="1"/>
  <c r="R28" i="20"/>
  <c r="Q28" i="20"/>
  <c r="P28" i="20"/>
  <c r="O28" i="20"/>
  <c r="N28" i="20"/>
  <c r="M28" i="20"/>
  <c r="L28" i="20"/>
  <c r="K28" i="20"/>
  <c r="J28" i="20"/>
  <c r="I28" i="20"/>
  <c r="H28" i="20"/>
  <c r="G28" i="20"/>
  <c r="S28" i="20" s="1"/>
  <c r="W27" i="20"/>
  <c r="U27" i="20"/>
  <c r="R27" i="20"/>
  <c r="T27" i="20" s="1"/>
  <c r="Q27" i="20"/>
  <c r="P27" i="20"/>
  <c r="O27" i="20"/>
  <c r="N27" i="20"/>
  <c r="M27" i="20"/>
  <c r="L27" i="20"/>
  <c r="K27" i="20"/>
  <c r="J27" i="20"/>
  <c r="I27" i="20"/>
  <c r="H27" i="20"/>
  <c r="G27" i="20"/>
  <c r="W26" i="20"/>
  <c r="V26" i="20"/>
  <c r="R26" i="20"/>
  <c r="T26" i="20" s="1"/>
  <c r="Q26" i="20"/>
  <c r="P26" i="20"/>
  <c r="U26" i="20" s="1"/>
  <c r="O26" i="20"/>
  <c r="N26" i="20"/>
  <c r="M26" i="20"/>
  <c r="L26" i="20"/>
  <c r="K26" i="20"/>
  <c r="J26" i="20"/>
  <c r="I26" i="20"/>
  <c r="H26" i="20"/>
  <c r="G26" i="20"/>
  <c r="V25" i="20"/>
  <c r="U25" i="20"/>
  <c r="R25" i="20"/>
  <c r="T25" i="20" s="1"/>
  <c r="Q25" i="20"/>
  <c r="P25" i="20"/>
  <c r="O25" i="20"/>
  <c r="N25" i="20"/>
  <c r="M25" i="20"/>
  <c r="L25" i="20"/>
  <c r="K25" i="20"/>
  <c r="J25" i="20"/>
  <c r="I25" i="20"/>
  <c r="H25" i="20"/>
  <c r="G25" i="20"/>
  <c r="W25" i="20" s="1"/>
  <c r="U24" i="20"/>
  <c r="T24" i="20"/>
  <c r="R24" i="20"/>
  <c r="W24" i="20" s="1"/>
  <c r="Q24" i="20"/>
  <c r="P24" i="20"/>
  <c r="O24" i="20"/>
  <c r="N24" i="20"/>
  <c r="M24" i="20"/>
  <c r="L24" i="20"/>
  <c r="K24" i="20"/>
  <c r="J24" i="20"/>
  <c r="I24" i="20"/>
  <c r="H24" i="20"/>
  <c r="G24" i="20"/>
  <c r="S24" i="20" s="1"/>
  <c r="T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W23" i="20" s="1"/>
  <c r="V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S22" i="20" s="1"/>
  <c r="W21" i="20"/>
  <c r="R21" i="20"/>
  <c r="V21" i="20" s="1"/>
  <c r="Q21" i="20"/>
  <c r="U21" i="20" s="1"/>
  <c r="P21" i="20"/>
  <c r="O21" i="20"/>
  <c r="N21" i="20"/>
  <c r="M21" i="20"/>
  <c r="L21" i="20"/>
  <c r="K21" i="20"/>
  <c r="J21" i="20"/>
  <c r="I21" i="20"/>
  <c r="H21" i="20"/>
  <c r="G21" i="20"/>
  <c r="W20" i="20"/>
  <c r="V20" i="20"/>
  <c r="T20" i="20"/>
  <c r="R20" i="20"/>
  <c r="Q20" i="20"/>
  <c r="P20" i="20"/>
  <c r="U20" i="20" s="1"/>
  <c r="O20" i="20"/>
  <c r="N20" i="20"/>
  <c r="M20" i="20"/>
  <c r="L20" i="20"/>
  <c r="K20" i="20"/>
  <c r="J20" i="20"/>
  <c r="I20" i="20"/>
  <c r="H20" i="20"/>
  <c r="G20" i="20"/>
  <c r="V19" i="20"/>
  <c r="U19" i="20"/>
  <c r="T19" i="20"/>
  <c r="R19" i="20"/>
  <c r="W19" i="20" s="1"/>
  <c r="Q19" i="20"/>
  <c r="P19" i="20"/>
  <c r="O19" i="20"/>
  <c r="N19" i="20"/>
  <c r="M19" i="20"/>
  <c r="L19" i="20"/>
  <c r="K19" i="20"/>
  <c r="J19" i="20"/>
  <c r="I19" i="20"/>
  <c r="H19" i="20"/>
  <c r="G19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T17" i="20"/>
  <c r="R17" i="20"/>
  <c r="V17" i="20" s="1"/>
  <c r="Q17" i="20"/>
  <c r="P17" i="20"/>
  <c r="U17" i="20" s="1"/>
  <c r="O17" i="20"/>
  <c r="N17" i="20"/>
  <c r="M17" i="20"/>
  <c r="L17" i="20"/>
  <c r="K17" i="20"/>
  <c r="J17" i="20"/>
  <c r="I17" i="20"/>
  <c r="H17" i="20"/>
  <c r="G17" i="20"/>
  <c r="W17" i="20" s="1"/>
  <c r="R16" i="20"/>
  <c r="Q16" i="20"/>
  <c r="P16" i="20"/>
  <c r="O16" i="20"/>
  <c r="N16" i="20"/>
  <c r="M16" i="20"/>
  <c r="L16" i="20"/>
  <c r="K16" i="20"/>
  <c r="J16" i="20"/>
  <c r="I16" i="20"/>
  <c r="H16" i="20"/>
  <c r="G16" i="20"/>
  <c r="S16" i="20" s="1"/>
  <c r="W15" i="20"/>
  <c r="U15" i="20"/>
  <c r="R15" i="20"/>
  <c r="T15" i="20" s="1"/>
  <c r="Q15" i="20"/>
  <c r="P15" i="20"/>
  <c r="O15" i="20"/>
  <c r="N15" i="20"/>
  <c r="M15" i="20"/>
  <c r="L15" i="20"/>
  <c r="K15" i="20"/>
  <c r="J15" i="20"/>
  <c r="I15" i="20"/>
  <c r="H15" i="20"/>
  <c r="G15" i="20"/>
  <c r="W14" i="20"/>
  <c r="V14" i="20"/>
  <c r="R14" i="20"/>
  <c r="T14" i="20" s="1"/>
  <c r="Q14" i="20"/>
  <c r="P14" i="20"/>
  <c r="U14" i="20" s="1"/>
  <c r="O14" i="20"/>
  <c r="N14" i="20"/>
  <c r="M14" i="20"/>
  <c r="L14" i="20"/>
  <c r="K14" i="20"/>
  <c r="J14" i="20"/>
  <c r="I14" i="20"/>
  <c r="H14" i="20"/>
  <c r="G14" i="20"/>
  <c r="V13" i="20"/>
  <c r="U13" i="20"/>
  <c r="R13" i="20"/>
  <c r="T13" i="20" s="1"/>
  <c r="Q13" i="20"/>
  <c r="P13" i="20"/>
  <c r="O13" i="20"/>
  <c r="N13" i="20"/>
  <c r="M13" i="20"/>
  <c r="L13" i="20"/>
  <c r="K13" i="20"/>
  <c r="J13" i="20"/>
  <c r="I13" i="20"/>
  <c r="H13" i="20"/>
  <c r="G13" i="20"/>
  <c r="W13" i="20" s="1"/>
  <c r="U12" i="20"/>
  <c r="T12" i="20"/>
  <c r="R12" i="20"/>
  <c r="V12" i="20" s="1"/>
  <c r="Q12" i="20"/>
  <c r="P12" i="20"/>
  <c r="O12" i="20"/>
  <c r="N12" i="20"/>
  <c r="M12" i="20"/>
  <c r="L12" i="20"/>
  <c r="K12" i="20"/>
  <c r="J12" i="20"/>
  <c r="I12" i="20"/>
  <c r="H12" i="20"/>
  <c r="G12" i="20"/>
  <c r="W12" i="20" s="1"/>
  <c r="T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W11" i="20" s="1"/>
  <c r="R10" i="20"/>
  <c r="Q10" i="20"/>
  <c r="P10" i="20"/>
  <c r="O10" i="20"/>
  <c r="N10" i="20"/>
  <c r="M10" i="20"/>
  <c r="L10" i="20"/>
  <c r="K10" i="20"/>
  <c r="J10" i="20"/>
  <c r="I10" i="20"/>
  <c r="H10" i="20"/>
  <c r="G10" i="20"/>
  <c r="W9" i="20"/>
  <c r="R9" i="20"/>
  <c r="V9" i="20" s="1"/>
  <c r="Q9" i="20"/>
  <c r="U9" i="20" s="1"/>
  <c r="P9" i="20"/>
  <c r="O9" i="20"/>
  <c r="N9" i="20"/>
  <c r="M9" i="20"/>
  <c r="L9" i="20"/>
  <c r="K9" i="20"/>
  <c r="J9" i="20"/>
  <c r="I9" i="20"/>
  <c r="H9" i="20"/>
  <c r="G9" i="20"/>
  <c r="S9" i="20" s="1"/>
  <c r="W8" i="20"/>
  <c r="V8" i="20"/>
  <c r="T8" i="20"/>
  <c r="R8" i="20"/>
  <c r="Q8" i="20"/>
  <c r="P8" i="20"/>
  <c r="U8" i="20" s="1"/>
  <c r="O8" i="20"/>
  <c r="N8" i="20"/>
  <c r="M8" i="20"/>
  <c r="L8" i="20"/>
  <c r="K8" i="20"/>
  <c r="J8" i="20"/>
  <c r="I8" i="20"/>
  <c r="H8" i="20"/>
  <c r="G8" i="20"/>
  <c r="V7" i="20"/>
  <c r="U7" i="20"/>
  <c r="T7" i="20"/>
  <c r="R7" i="20"/>
  <c r="W7" i="20" s="1"/>
  <c r="Q7" i="20"/>
  <c r="P7" i="20"/>
  <c r="O7" i="20"/>
  <c r="N7" i="20"/>
  <c r="M7" i="20"/>
  <c r="L7" i="20"/>
  <c r="K7" i="20"/>
  <c r="J7" i="20"/>
  <c r="I7" i="20"/>
  <c r="H7" i="20"/>
  <c r="G7" i="20"/>
  <c r="T6" i="20"/>
  <c r="R6" i="20"/>
  <c r="Q6" i="20"/>
  <c r="P6" i="20"/>
  <c r="O6" i="20"/>
  <c r="N6" i="20"/>
  <c r="M6" i="20"/>
  <c r="L6" i="20"/>
  <c r="K6" i="20"/>
  <c r="J6" i="20"/>
  <c r="I6" i="20"/>
  <c r="H6" i="20"/>
  <c r="G6" i="20"/>
  <c r="T5" i="20"/>
  <c r="R5" i="20"/>
  <c r="V5" i="20" s="1"/>
  <c r="Q5" i="20"/>
  <c r="P5" i="20"/>
  <c r="U5" i="20" s="1"/>
  <c r="O5" i="20"/>
  <c r="N5" i="20"/>
  <c r="M5" i="20"/>
  <c r="L5" i="20"/>
  <c r="K5" i="20"/>
  <c r="J5" i="20"/>
  <c r="I5" i="20"/>
  <c r="H5" i="20"/>
  <c r="G5" i="20"/>
  <c r="W5" i="20" s="1"/>
  <c r="R4" i="20"/>
  <c r="Q4" i="20"/>
  <c r="P4" i="20"/>
  <c r="O4" i="20"/>
  <c r="N4" i="20"/>
  <c r="M4" i="20"/>
  <c r="L4" i="20"/>
  <c r="K4" i="20"/>
  <c r="J4" i="20"/>
  <c r="I4" i="20"/>
  <c r="H4" i="20"/>
  <c r="G4" i="20"/>
  <c r="I102" i="16"/>
  <c r="G102" i="16"/>
  <c r="I101" i="16"/>
  <c r="G101" i="16"/>
  <c r="I100" i="16"/>
  <c r="G100" i="16"/>
  <c r="I99" i="16"/>
  <c r="G99" i="16"/>
  <c r="I98" i="16"/>
  <c r="G98" i="16"/>
  <c r="I97" i="16"/>
  <c r="G97" i="16"/>
  <c r="I96" i="16"/>
  <c r="G96" i="16"/>
  <c r="I95" i="16"/>
  <c r="G95" i="16"/>
  <c r="I94" i="16"/>
  <c r="G94" i="16"/>
  <c r="I93" i="16"/>
  <c r="G93" i="16"/>
  <c r="I92" i="16"/>
  <c r="G92" i="16"/>
  <c r="I91" i="16"/>
  <c r="G91" i="16"/>
  <c r="I90" i="16"/>
  <c r="G90" i="16"/>
  <c r="I89" i="16"/>
  <c r="G89" i="16"/>
  <c r="I88" i="16"/>
  <c r="G88" i="16"/>
  <c r="I87" i="16"/>
  <c r="G87" i="16"/>
  <c r="I86" i="16"/>
  <c r="G86" i="16"/>
  <c r="I85" i="16"/>
  <c r="G85" i="16"/>
  <c r="I84" i="16"/>
  <c r="G84" i="16"/>
  <c r="I83" i="16"/>
  <c r="G83" i="16"/>
  <c r="I82" i="16"/>
  <c r="G82" i="16"/>
  <c r="I81" i="16"/>
  <c r="G81" i="16"/>
  <c r="I80" i="16"/>
  <c r="G80" i="16"/>
  <c r="I79" i="16"/>
  <c r="G79" i="16"/>
  <c r="I78" i="16"/>
  <c r="G78" i="16"/>
  <c r="I77" i="16"/>
  <c r="G77" i="16"/>
  <c r="I76" i="16"/>
  <c r="G76" i="16"/>
  <c r="I75" i="16"/>
  <c r="G75" i="16"/>
  <c r="I74" i="16"/>
  <c r="G74" i="16"/>
  <c r="I73" i="16"/>
  <c r="G73" i="16"/>
  <c r="I72" i="16"/>
  <c r="G72" i="16"/>
  <c r="I71" i="16"/>
  <c r="G71" i="16"/>
  <c r="I70" i="16"/>
  <c r="G70" i="16"/>
  <c r="I69" i="16"/>
  <c r="G69" i="16"/>
  <c r="I68" i="16"/>
  <c r="G68" i="16"/>
  <c r="I67" i="16"/>
  <c r="G67" i="16"/>
  <c r="I66" i="16"/>
  <c r="G66" i="16"/>
  <c r="I65" i="16"/>
  <c r="G65" i="16"/>
  <c r="I64" i="16"/>
  <c r="G64" i="16"/>
  <c r="I63" i="16"/>
  <c r="G63" i="16"/>
  <c r="I62" i="16"/>
  <c r="G62" i="16"/>
  <c r="I61" i="16"/>
  <c r="G61" i="16"/>
  <c r="I60" i="16"/>
  <c r="G60" i="16"/>
  <c r="I59" i="16"/>
  <c r="G59" i="16"/>
  <c r="I58" i="16"/>
  <c r="G58" i="16"/>
  <c r="I57" i="16"/>
  <c r="G57" i="16"/>
  <c r="I56" i="16"/>
  <c r="G56" i="16"/>
  <c r="I55" i="16"/>
  <c r="G55" i="16"/>
  <c r="I54" i="16"/>
  <c r="G54" i="16"/>
  <c r="I53" i="16"/>
  <c r="G53" i="16"/>
  <c r="I52" i="16"/>
  <c r="G52" i="16"/>
  <c r="I51" i="16"/>
  <c r="G51" i="16"/>
  <c r="I50" i="16"/>
  <c r="G50" i="16"/>
  <c r="I49" i="16"/>
  <c r="G49" i="16"/>
  <c r="I48" i="16"/>
  <c r="G48" i="16"/>
  <c r="I47" i="16"/>
  <c r="G47" i="16"/>
  <c r="I46" i="16"/>
  <c r="G46" i="16"/>
  <c r="I45" i="16"/>
  <c r="G45" i="16"/>
  <c r="I44" i="16"/>
  <c r="G44" i="16"/>
  <c r="I43" i="16"/>
  <c r="G43" i="16"/>
  <c r="I42" i="16"/>
  <c r="G42" i="16"/>
  <c r="I41" i="16"/>
  <c r="G41" i="16"/>
  <c r="I40" i="16"/>
  <c r="G40" i="16"/>
  <c r="I39" i="16"/>
  <c r="G39" i="16"/>
  <c r="I38" i="16"/>
  <c r="G38" i="16"/>
  <c r="I37" i="16"/>
  <c r="G37" i="16"/>
  <c r="I36" i="16"/>
  <c r="G36" i="16"/>
  <c r="I35" i="16"/>
  <c r="G35" i="16"/>
  <c r="I34" i="16"/>
  <c r="G34" i="16"/>
  <c r="I33" i="16"/>
  <c r="G33" i="16"/>
  <c r="I32" i="16"/>
  <c r="G32" i="16"/>
  <c r="I31" i="16"/>
  <c r="G31" i="16"/>
  <c r="I30" i="16"/>
  <c r="G30" i="16"/>
  <c r="I29" i="16"/>
  <c r="G29" i="16"/>
  <c r="I28" i="16"/>
  <c r="G28" i="16"/>
  <c r="I27" i="16"/>
  <c r="G27" i="16"/>
  <c r="I26" i="16"/>
  <c r="G26" i="16"/>
  <c r="I25" i="16"/>
  <c r="G25" i="16"/>
  <c r="I24" i="16"/>
  <c r="G24" i="16"/>
  <c r="I23" i="16"/>
  <c r="G23" i="16"/>
  <c r="I22" i="16"/>
  <c r="G22" i="16"/>
  <c r="I21" i="16"/>
  <c r="G21" i="16"/>
  <c r="I20" i="16"/>
  <c r="G20" i="16"/>
  <c r="I19" i="16"/>
  <c r="G19" i="16"/>
  <c r="I18" i="16"/>
  <c r="G18" i="16"/>
  <c r="I17" i="16"/>
  <c r="G17" i="16"/>
  <c r="I16" i="16"/>
  <c r="G16" i="16"/>
  <c r="I15" i="16"/>
  <c r="G15" i="16"/>
  <c r="I14" i="16"/>
  <c r="G14" i="16"/>
  <c r="I13" i="16"/>
  <c r="G13" i="16"/>
  <c r="I12" i="16"/>
  <c r="G12" i="16"/>
  <c r="I11" i="16"/>
  <c r="G11" i="16"/>
  <c r="I10" i="16"/>
  <c r="G10" i="16"/>
  <c r="I9" i="16"/>
  <c r="G9" i="16"/>
  <c r="I8" i="16"/>
  <c r="G8" i="16"/>
  <c r="I7" i="16"/>
  <c r="G7" i="16"/>
  <c r="I6" i="16"/>
  <c r="G6" i="16"/>
  <c r="I5" i="16"/>
  <c r="G5" i="16"/>
  <c r="I4" i="16"/>
  <c r="G4" i="16"/>
  <c r="I3" i="16"/>
  <c r="G3" i="16"/>
  <c r="S102" i="15"/>
  <c r="S101" i="15"/>
  <c r="S100" i="15"/>
  <c r="S99" i="15"/>
  <c r="S98" i="15"/>
  <c r="S97" i="15"/>
  <c r="S96" i="15"/>
  <c r="S95" i="15"/>
  <c r="S94" i="15"/>
  <c r="S93" i="15"/>
  <c r="S92" i="15"/>
  <c r="S91" i="15"/>
  <c r="S90" i="15"/>
  <c r="S89" i="15"/>
  <c r="S88" i="15"/>
  <c r="S87" i="15"/>
  <c r="S86" i="15"/>
  <c r="S85" i="15"/>
  <c r="S84" i="15"/>
  <c r="S83" i="15"/>
  <c r="S82" i="15"/>
  <c r="S81" i="15"/>
  <c r="S80" i="15"/>
  <c r="S79" i="15"/>
  <c r="S78" i="15"/>
  <c r="S77" i="15"/>
  <c r="S76" i="15"/>
  <c r="S75" i="15"/>
  <c r="S74" i="15"/>
  <c r="S73" i="15"/>
  <c r="S72" i="15"/>
  <c r="S71" i="15"/>
  <c r="S70" i="15"/>
  <c r="S69" i="15"/>
  <c r="S68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3" i="15"/>
  <c r="S52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7" i="15"/>
  <c r="S36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5" i="15"/>
  <c r="S4" i="15"/>
  <c r="S3" i="15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H202" i="13"/>
  <c r="G202" i="13"/>
  <c r="H201" i="13"/>
  <c r="G201" i="13"/>
  <c r="H200" i="13"/>
  <c r="G200" i="13"/>
  <c r="H199" i="13"/>
  <c r="G199" i="13"/>
  <c r="H198" i="13"/>
  <c r="G198" i="13"/>
  <c r="H197" i="13"/>
  <c r="G197" i="13"/>
  <c r="H196" i="13"/>
  <c r="G196" i="13"/>
  <c r="H195" i="13"/>
  <c r="G195" i="13"/>
  <c r="H194" i="13"/>
  <c r="G194" i="13"/>
  <c r="H193" i="13"/>
  <c r="G193" i="13"/>
  <c r="H192" i="13"/>
  <c r="G192" i="13"/>
  <c r="H191" i="13"/>
  <c r="G191" i="13"/>
  <c r="H190" i="13"/>
  <c r="G190" i="13"/>
  <c r="H189" i="13"/>
  <c r="G189" i="13"/>
  <c r="H188" i="13"/>
  <c r="G188" i="13"/>
  <c r="H187" i="13"/>
  <c r="G187" i="13"/>
  <c r="H186" i="13"/>
  <c r="G186" i="13"/>
  <c r="H185" i="13"/>
  <c r="G185" i="13"/>
  <c r="H184" i="13"/>
  <c r="G184" i="13"/>
  <c r="H183" i="13"/>
  <c r="G183" i="13"/>
  <c r="H182" i="13"/>
  <c r="G182" i="13"/>
  <c r="H181" i="13"/>
  <c r="G181" i="13"/>
  <c r="H180" i="13"/>
  <c r="G180" i="13"/>
  <c r="H179" i="13"/>
  <c r="G179" i="13"/>
  <c r="H178" i="13"/>
  <c r="G178" i="13"/>
  <c r="H177" i="13"/>
  <c r="G177" i="13"/>
  <c r="H176" i="13"/>
  <c r="G176" i="13"/>
  <c r="H175" i="13"/>
  <c r="G175" i="13"/>
  <c r="H174" i="13"/>
  <c r="G174" i="13"/>
  <c r="H173" i="13"/>
  <c r="G173" i="13"/>
  <c r="H172" i="13"/>
  <c r="G172" i="13"/>
  <c r="H171" i="13"/>
  <c r="G171" i="13"/>
  <c r="H170" i="13"/>
  <c r="G170" i="13"/>
  <c r="H169" i="13"/>
  <c r="G169" i="13"/>
  <c r="H168" i="13"/>
  <c r="G168" i="13"/>
  <c r="H167" i="13"/>
  <c r="G167" i="13"/>
  <c r="H166" i="13"/>
  <c r="G166" i="13"/>
  <c r="H165" i="13"/>
  <c r="G165" i="13"/>
  <c r="H164" i="13"/>
  <c r="G164" i="13"/>
  <c r="H163" i="13"/>
  <c r="G163" i="13"/>
  <c r="H162" i="13"/>
  <c r="G162" i="13"/>
  <c r="H161" i="13"/>
  <c r="G161" i="13"/>
  <c r="H160" i="13"/>
  <c r="G160" i="13"/>
  <c r="H159" i="13"/>
  <c r="G159" i="13"/>
  <c r="H158" i="13"/>
  <c r="G158" i="13"/>
  <c r="H157" i="13"/>
  <c r="G157" i="13"/>
  <c r="H156" i="13"/>
  <c r="G156" i="13"/>
  <c r="H155" i="13"/>
  <c r="G155" i="13"/>
  <c r="H154" i="13"/>
  <c r="G154" i="13"/>
  <c r="H153" i="13"/>
  <c r="G153" i="13"/>
  <c r="H152" i="13"/>
  <c r="G152" i="13"/>
  <c r="H151" i="13"/>
  <c r="G151" i="13"/>
  <c r="H150" i="13"/>
  <c r="G150" i="13"/>
  <c r="H149" i="13"/>
  <c r="G149" i="13"/>
  <c r="H148" i="13"/>
  <c r="G148" i="13"/>
  <c r="H147" i="13"/>
  <c r="G147" i="13"/>
  <c r="H146" i="13"/>
  <c r="G146" i="13"/>
  <c r="H145" i="13"/>
  <c r="G145" i="13"/>
  <c r="H144" i="13"/>
  <c r="G144" i="13"/>
  <c r="H143" i="13"/>
  <c r="G143" i="13"/>
  <c r="H142" i="13"/>
  <c r="G142" i="13"/>
  <c r="H141" i="13"/>
  <c r="G141" i="13"/>
  <c r="H140" i="13"/>
  <c r="G140" i="13"/>
  <c r="H139" i="13"/>
  <c r="G139" i="13"/>
  <c r="H138" i="13"/>
  <c r="G138" i="13"/>
  <c r="H137" i="13"/>
  <c r="G137" i="13"/>
  <c r="H136" i="13"/>
  <c r="G136" i="13"/>
  <c r="H135" i="13"/>
  <c r="G135" i="13"/>
  <c r="H134" i="13"/>
  <c r="G134" i="13"/>
  <c r="H133" i="13"/>
  <c r="G133" i="13"/>
  <c r="H132" i="13"/>
  <c r="G132" i="13"/>
  <c r="H131" i="13"/>
  <c r="G131" i="13"/>
  <c r="H130" i="13"/>
  <c r="G130" i="13"/>
  <c r="H129" i="13"/>
  <c r="G129" i="13"/>
  <c r="H128" i="13"/>
  <c r="G128" i="13"/>
  <c r="H127" i="13"/>
  <c r="G127" i="13"/>
  <c r="H126" i="13"/>
  <c r="G126" i="13"/>
  <c r="H125" i="13"/>
  <c r="G125" i="13"/>
  <c r="H124" i="13"/>
  <c r="G124" i="13"/>
  <c r="H123" i="13"/>
  <c r="G123" i="13"/>
  <c r="H122" i="13"/>
  <c r="G122" i="13"/>
  <c r="H121" i="13"/>
  <c r="G121" i="13"/>
  <c r="H120" i="13"/>
  <c r="G120" i="13"/>
  <c r="H119" i="13"/>
  <c r="G119" i="13"/>
  <c r="H118" i="13"/>
  <c r="G118" i="13"/>
  <c r="H117" i="13"/>
  <c r="G117" i="13"/>
  <c r="H116" i="13"/>
  <c r="G116" i="13"/>
  <c r="H115" i="13"/>
  <c r="G115" i="13"/>
  <c r="H114" i="13"/>
  <c r="G114" i="13"/>
  <c r="H113" i="13"/>
  <c r="G113" i="13"/>
  <c r="H112" i="13"/>
  <c r="G112" i="13"/>
  <c r="H111" i="13"/>
  <c r="G111" i="13"/>
  <c r="H110" i="13"/>
  <c r="G110" i="13"/>
  <c r="H109" i="13"/>
  <c r="G109" i="13"/>
  <c r="H108" i="13"/>
  <c r="G108" i="13"/>
  <c r="H107" i="13"/>
  <c r="G107" i="13"/>
  <c r="H106" i="13"/>
  <c r="G106" i="13"/>
  <c r="H105" i="13"/>
  <c r="G105" i="13"/>
  <c r="H104" i="13"/>
  <c r="G104" i="13"/>
  <c r="H103" i="13"/>
  <c r="G103" i="13"/>
  <c r="H102" i="13"/>
  <c r="G102" i="13"/>
  <c r="H101" i="13"/>
  <c r="G101" i="13"/>
  <c r="H100" i="13"/>
  <c r="G100" i="13"/>
  <c r="H99" i="13"/>
  <c r="G99" i="13"/>
  <c r="H98" i="13"/>
  <c r="G98" i="13"/>
  <c r="H97" i="13"/>
  <c r="G97" i="13"/>
  <c r="H96" i="13"/>
  <c r="G96" i="13"/>
  <c r="H95" i="13"/>
  <c r="G95" i="13"/>
  <c r="H94" i="13"/>
  <c r="G94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2" i="13"/>
  <c r="G82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3" i="13"/>
  <c r="G3" i="13"/>
  <c r="U202" i="11"/>
  <c r="H202" i="11"/>
  <c r="U201" i="11"/>
  <c r="H201" i="11"/>
  <c r="H200" i="11"/>
  <c r="U200" i="11" s="1"/>
  <c r="H199" i="11"/>
  <c r="U199" i="11" s="1"/>
  <c r="H198" i="11"/>
  <c r="U198" i="11" s="1"/>
  <c r="H197" i="11"/>
  <c r="U197" i="11" s="1"/>
  <c r="U196" i="11"/>
  <c r="H196" i="11"/>
  <c r="U195" i="11"/>
  <c r="H195" i="11"/>
  <c r="H194" i="11"/>
  <c r="U194" i="11" s="1"/>
  <c r="H193" i="11"/>
  <c r="U193" i="11" s="1"/>
  <c r="H192" i="11"/>
  <c r="U192" i="11" s="1"/>
  <c r="H191" i="11"/>
  <c r="U191" i="11" s="1"/>
  <c r="U190" i="11"/>
  <c r="H190" i="11"/>
  <c r="H189" i="11"/>
  <c r="U189" i="11" s="1"/>
  <c r="H188" i="11"/>
  <c r="U188" i="11" s="1"/>
  <c r="H187" i="11"/>
  <c r="U187" i="11" s="1"/>
  <c r="H186" i="11"/>
  <c r="U186" i="11" s="1"/>
  <c r="H185" i="11"/>
  <c r="U185" i="11" s="1"/>
  <c r="U184" i="11"/>
  <c r="H184" i="11"/>
  <c r="U183" i="11"/>
  <c r="H183" i="11"/>
  <c r="H182" i="11"/>
  <c r="U182" i="11" s="1"/>
  <c r="H181" i="11"/>
  <c r="U181" i="11" s="1"/>
  <c r="H180" i="11"/>
  <c r="U180" i="11" s="1"/>
  <c r="H179" i="11"/>
  <c r="U179" i="11" s="1"/>
  <c r="U178" i="11"/>
  <c r="H178" i="11"/>
  <c r="H177" i="11"/>
  <c r="U177" i="11" s="1"/>
  <c r="H176" i="11"/>
  <c r="U176" i="11" s="1"/>
  <c r="U175" i="11"/>
  <c r="H175" i="11"/>
  <c r="H174" i="11"/>
  <c r="U174" i="11" s="1"/>
  <c r="H173" i="11"/>
  <c r="U173" i="11" s="1"/>
  <c r="U172" i="11"/>
  <c r="H172" i="11"/>
  <c r="H171" i="11"/>
  <c r="U171" i="11" s="1"/>
  <c r="H170" i="11"/>
  <c r="U170" i="11" s="1"/>
  <c r="U169" i="11"/>
  <c r="H169" i="11"/>
  <c r="U168" i="11"/>
  <c r="H168" i="11"/>
  <c r="H167" i="11"/>
  <c r="U167" i="11" s="1"/>
  <c r="U166" i="11"/>
  <c r="H166" i="11"/>
  <c r="U165" i="11"/>
  <c r="H165" i="11"/>
  <c r="H164" i="11"/>
  <c r="U164" i="11" s="1"/>
  <c r="U163" i="11"/>
  <c r="H163" i="11"/>
  <c r="U162" i="11"/>
  <c r="H162" i="11"/>
  <c r="H161" i="11"/>
  <c r="U161" i="11" s="1"/>
  <c r="U160" i="11"/>
  <c r="H160" i="11"/>
  <c r="U159" i="11"/>
  <c r="H159" i="11"/>
  <c r="H158" i="11"/>
  <c r="U158" i="11" s="1"/>
  <c r="U157" i="11"/>
  <c r="H157" i="11"/>
  <c r="U156" i="11"/>
  <c r="H156" i="11"/>
  <c r="H155" i="11"/>
  <c r="U155" i="11" s="1"/>
  <c r="U154" i="11"/>
  <c r="H154" i="11"/>
  <c r="U153" i="11"/>
  <c r="H153" i="11"/>
  <c r="H152" i="11"/>
  <c r="U152" i="11" s="1"/>
  <c r="H151" i="11"/>
  <c r="U151" i="11" s="1"/>
  <c r="U150" i="11"/>
  <c r="H150" i="11"/>
  <c r="H149" i="11"/>
  <c r="U149" i="11" s="1"/>
  <c r="U148" i="11"/>
  <c r="H148" i="11"/>
  <c r="U147" i="11"/>
  <c r="H147" i="11"/>
  <c r="H146" i="11"/>
  <c r="U146" i="11" s="1"/>
  <c r="H145" i="11"/>
  <c r="U145" i="11" s="1"/>
  <c r="H144" i="11"/>
  <c r="U144" i="11" s="1"/>
  <c r="H143" i="11"/>
  <c r="U143" i="11" s="1"/>
  <c r="U142" i="11"/>
  <c r="H142" i="11"/>
  <c r="U141" i="11"/>
  <c r="H141" i="11"/>
  <c r="H140" i="11"/>
  <c r="U140" i="11" s="1"/>
  <c r="U139" i="11"/>
  <c r="H139" i="11"/>
  <c r="H138" i="11"/>
  <c r="U138" i="11" s="1"/>
  <c r="H137" i="11"/>
  <c r="U137" i="11" s="1"/>
  <c r="U136" i="11"/>
  <c r="H136" i="11"/>
  <c r="H135" i="11"/>
  <c r="U135" i="11" s="1"/>
  <c r="H134" i="11"/>
  <c r="U134" i="11" s="1"/>
  <c r="U133" i="11"/>
  <c r="H133" i="11"/>
  <c r="U132" i="11"/>
  <c r="H132" i="11"/>
  <c r="H131" i="11"/>
  <c r="U131" i="11" s="1"/>
  <c r="U130" i="11"/>
  <c r="H130" i="11"/>
  <c r="H129" i="11"/>
  <c r="U129" i="11" s="1"/>
  <c r="H128" i="11"/>
  <c r="U128" i="11" s="1"/>
  <c r="H127" i="11"/>
  <c r="U127" i="11" s="1"/>
  <c r="U126" i="11"/>
  <c r="H126" i="11"/>
  <c r="H125" i="11"/>
  <c r="U125" i="11" s="1"/>
  <c r="U124" i="11"/>
  <c r="H124" i="11"/>
  <c r="U123" i="11"/>
  <c r="H123" i="11"/>
  <c r="H122" i="11"/>
  <c r="U122" i="11" s="1"/>
  <c r="U121" i="11"/>
  <c r="H121" i="11"/>
  <c r="H120" i="11"/>
  <c r="U120" i="11" s="1"/>
  <c r="H119" i="11"/>
  <c r="U119" i="11" s="1"/>
  <c r="U118" i="11"/>
  <c r="H118" i="11"/>
  <c r="U117" i="11"/>
  <c r="H117" i="11"/>
  <c r="H116" i="11"/>
  <c r="U116" i="11" s="1"/>
  <c r="H115" i="11"/>
  <c r="U115" i="11" s="1"/>
  <c r="H114" i="11"/>
  <c r="U114" i="11" s="1"/>
  <c r="H113" i="11"/>
  <c r="U113" i="11" s="1"/>
  <c r="H112" i="11"/>
  <c r="U112" i="11" s="1"/>
  <c r="U111" i="11"/>
  <c r="H111" i="11"/>
  <c r="H110" i="11"/>
  <c r="U110" i="11" s="1"/>
  <c r="H109" i="11"/>
  <c r="U109" i="11" s="1"/>
  <c r="H108" i="11"/>
  <c r="U108" i="11" s="1"/>
  <c r="H107" i="11"/>
  <c r="U107" i="11" s="1"/>
  <c r="U106" i="11"/>
  <c r="H106" i="11"/>
  <c r="U105" i="11"/>
  <c r="H105" i="11"/>
  <c r="H104" i="11"/>
  <c r="U104" i="11" s="1"/>
  <c r="U103" i="11"/>
  <c r="H103" i="11"/>
  <c r="H102" i="11"/>
  <c r="U102" i="11" s="1"/>
  <c r="H101" i="11"/>
  <c r="U101" i="11" s="1"/>
  <c r="H100" i="11"/>
  <c r="U100" i="11" s="1"/>
  <c r="U99" i="11"/>
  <c r="H99" i="11"/>
  <c r="H98" i="11"/>
  <c r="U98" i="11" s="1"/>
  <c r="H97" i="11"/>
  <c r="U97" i="11" s="1"/>
  <c r="U96" i="11"/>
  <c r="H96" i="11"/>
  <c r="H95" i="11"/>
  <c r="U95" i="11" s="1"/>
  <c r="U94" i="11"/>
  <c r="H94" i="11"/>
  <c r="H93" i="11"/>
  <c r="U93" i="11" s="1"/>
  <c r="H92" i="11"/>
  <c r="U92" i="11" s="1"/>
  <c r="U91" i="11"/>
  <c r="H91" i="11"/>
  <c r="U90" i="11"/>
  <c r="H90" i="11"/>
  <c r="H89" i="11"/>
  <c r="U89" i="11" s="1"/>
  <c r="U88" i="11"/>
  <c r="H88" i="11"/>
  <c r="U87" i="11"/>
  <c r="H87" i="11"/>
  <c r="H86" i="11"/>
  <c r="U86" i="11" s="1"/>
  <c r="H85" i="11"/>
  <c r="U85" i="11" s="1"/>
  <c r="U84" i="11"/>
  <c r="H84" i="11"/>
  <c r="H83" i="11"/>
  <c r="U83" i="11" s="1"/>
  <c r="H82" i="11"/>
  <c r="U82" i="11" s="1"/>
  <c r="U81" i="11"/>
  <c r="H81" i="11"/>
  <c r="H80" i="11"/>
  <c r="U80" i="11" s="1"/>
  <c r="H79" i="11"/>
  <c r="U79" i="11" s="1"/>
  <c r="H78" i="11"/>
  <c r="U78" i="11" s="1"/>
  <c r="H77" i="11"/>
  <c r="U77" i="11" s="1"/>
  <c r="U76" i="11"/>
  <c r="H76" i="11"/>
  <c r="H75" i="11"/>
  <c r="U75" i="11" s="1"/>
  <c r="H74" i="11"/>
  <c r="U74" i="11" s="1"/>
  <c r="H73" i="11"/>
  <c r="U73" i="11" s="1"/>
  <c r="H72" i="11"/>
  <c r="U72" i="11" s="1"/>
  <c r="H71" i="11"/>
  <c r="U71" i="11" s="1"/>
  <c r="U70" i="11"/>
  <c r="H70" i="11"/>
  <c r="H69" i="11"/>
  <c r="U69" i="11" s="1"/>
  <c r="H68" i="11"/>
  <c r="U68" i="11" s="1"/>
  <c r="U67" i="11"/>
  <c r="H67" i="11"/>
  <c r="H66" i="11"/>
  <c r="U66" i="11" s="1"/>
  <c r="H65" i="11"/>
  <c r="U65" i="11" s="1"/>
  <c r="U64" i="11"/>
  <c r="H64" i="11"/>
  <c r="H63" i="11"/>
  <c r="U63" i="11" s="1"/>
  <c r="H62" i="11"/>
  <c r="U62" i="11" s="1"/>
  <c r="U61" i="11"/>
  <c r="H61" i="11"/>
  <c r="U60" i="11"/>
  <c r="H60" i="11"/>
  <c r="H59" i="11"/>
  <c r="U59" i="11" s="1"/>
  <c r="U58" i="11"/>
  <c r="H58" i="11"/>
  <c r="U57" i="11"/>
  <c r="H57" i="11"/>
  <c r="H56" i="11"/>
  <c r="U56" i="11" s="1"/>
  <c r="H55" i="11"/>
  <c r="U55" i="11" s="1"/>
  <c r="H54" i="11"/>
  <c r="U54" i="11" s="1"/>
  <c r="H53" i="11"/>
  <c r="U53" i="11" s="1"/>
  <c r="H52" i="11"/>
  <c r="U52" i="11" s="1"/>
  <c r="H51" i="11"/>
  <c r="U51" i="11" s="1"/>
  <c r="U50" i="11"/>
  <c r="H50" i="11"/>
  <c r="U49" i="11"/>
  <c r="H49" i="11"/>
  <c r="U48" i="11"/>
  <c r="H48" i="11"/>
  <c r="H47" i="11"/>
  <c r="U47" i="11" s="1"/>
  <c r="U46" i="11"/>
  <c r="H46" i="11"/>
  <c r="U45" i="11"/>
  <c r="H45" i="11"/>
  <c r="U44" i="11"/>
  <c r="H44" i="11"/>
  <c r="U43" i="11"/>
  <c r="H43" i="11"/>
  <c r="H42" i="11"/>
  <c r="U42" i="11" s="1"/>
  <c r="H41" i="11"/>
  <c r="U41" i="11" s="1"/>
  <c r="U40" i="11"/>
  <c r="H40" i="11"/>
  <c r="H39" i="11"/>
  <c r="U39" i="11" s="1"/>
  <c r="H38" i="11"/>
  <c r="U38" i="11" s="1"/>
  <c r="H37" i="11"/>
  <c r="U37" i="11" s="1"/>
  <c r="U36" i="11"/>
  <c r="H36" i="11"/>
  <c r="H35" i="11"/>
  <c r="U35" i="11" s="1"/>
  <c r="H34" i="11"/>
  <c r="U34" i="11" s="1"/>
  <c r="U33" i="11"/>
  <c r="H33" i="11"/>
  <c r="U32" i="11"/>
  <c r="H32" i="11"/>
  <c r="H31" i="11"/>
  <c r="U31" i="11" s="1"/>
  <c r="H30" i="11"/>
  <c r="U30" i="11" s="1"/>
  <c r="H29" i="11"/>
  <c r="U29" i="11" s="1"/>
  <c r="U28" i="11"/>
  <c r="H28" i="11"/>
  <c r="U27" i="11"/>
  <c r="H27" i="11"/>
  <c r="H26" i="11"/>
  <c r="U26" i="11" s="1"/>
  <c r="H25" i="11"/>
  <c r="U25" i="11" s="1"/>
  <c r="H24" i="11"/>
  <c r="U24" i="11" s="1"/>
  <c r="H23" i="11"/>
  <c r="U23" i="11" s="1"/>
  <c r="H22" i="11"/>
  <c r="U22" i="11" s="1"/>
  <c r="U21" i="11"/>
  <c r="H21" i="11"/>
  <c r="U20" i="11"/>
  <c r="H20" i="11"/>
  <c r="U19" i="11"/>
  <c r="H19" i="11"/>
  <c r="H18" i="11"/>
  <c r="U18" i="11" s="1"/>
  <c r="H17" i="11"/>
  <c r="U17" i="11" s="1"/>
  <c r="U16" i="11"/>
  <c r="H16" i="11"/>
  <c r="H15" i="11"/>
  <c r="U15" i="11" s="1"/>
  <c r="U14" i="11"/>
  <c r="H14" i="11"/>
  <c r="H13" i="11"/>
  <c r="U13" i="11" s="1"/>
  <c r="H12" i="11"/>
  <c r="U12" i="11" s="1"/>
  <c r="H11" i="11"/>
  <c r="U11" i="11" s="1"/>
  <c r="H10" i="11"/>
  <c r="U10" i="11" s="1"/>
  <c r="H9" i="11"/>
  <c r="U9" i="11" s="1"/>
  <c r="H8" i="11"/>
  <c r="U8" i="11" s="1"/>
  <c r="U7" i="11"/>
  <c r="H7" i="11"/>
  <c r="U6" i="11"/>
  <c r="H6" i="11"/>
  <c r="H5" i="11"/>
  <c r="U5" i="11" s="1"/>
  <c r="U4" i="11"/>
  <c r="H4" i="11"/>
  <c r="H3" i="11"/>
  <c r="U3" i="11" s="1"/>
  <c r="I202" i="10"/>
  <c r="G202" i="10"/>
  <c r="I201" i="10"/>
  <c r="G201" i="10"/>
  <c r="G200" i="10"/>
  <c r="I200" i="10" s="1"/>
  <c r="G199" i="10"/>
  <c r="I199" i="10" s="1"/>
  <c r="I198" i="10"/>
  <c r="G198" i="10"/>
  <c r="I197" i="10"/>
  <c r="G197" i="10"/>
  <c r="G196" i="10"/>
  <c r="I196" i="10" s="1"/>
  <c r="I195" i="10"/>
  <c r="G195" i="10"/>
  <c r="I194" i="10"/>
  <c r="G194" i="10"/>
  <c r="G193" i="10"/>
  <c r="I193" i="10" s="1"/>
  <c r="G192" i="10"/>
  <c r="I192" i="10" s="1"/>
  <c r="I191" i="10"/>
  <c r="G191" i="10"/>
  <c r="I190" i="10"/>
  <c r="G190" i="10"/>
  <c r="G189" i="10"/>
  <c r="I189" i="10" s="1"/>
  <c r="I188" i="10"/>
  <c r="G188" i="10"/>
  <c r="G187" i="10"/>
  <c r="I187" i="10" s="1"/>
  <c r="I186" i="10"/>
  <c r="G186" i="10"/>
  <c r="G185" i="10"/>
  <c r="I185" i="10" s="1"/>
  <c r="G184" i="10"/>
  <c r="I184" i="10" s="1"/>
  <c r="G183" i="10"/>
  <c r="I183" i="10" s="1"/>
  <c r="G182" i="10"/>
  <c r="I182" i="10" s="1"/>
  <c r="G181" i="10"/>
  <c r="I181" i="10" s="1"/>
  <c r="G180" i="10"/>
  <c r="I180" i="10" s="1"/>
  <c r="G179" i="10"/>
  <c r="I179" i="10" s="1"/>
  <c r="I178" i="10"/>
  <c r="G178" i="10"/>
  <c r="I177" i="10"/>
  <c r="G177" i="10"/>
  <c r="I176" i="10"/>
  <c r="G176" i="10"/>
  <c r="G175" i="10"/>
  <c r="I175" i="10" s="1"/>
  <c r="I174" i="10"/>
  <c r="G174" i="10"/>
  <c r="I173" i="10"/>
  <c r="G173" i="10"/>
  <c r="G172" i="10"/>
  <c r="I172" i="10" s="1"/>
  <c r="G171" i="10"/>
  <c r="I171" i="10" s="1"/>
  <c r="G170" i="10"/>
  <c r="I170" i="10" s="1"/>
  <c r="G169" i="10"/>
  <c r="I169" i="10" s="1"/>
  <c r="I168" i="10"/>
  <c r="G168" i="10"/>
  <c r="G167" i="10"/>
  <c r="I167" i="10" s="1"/>
  <c r="G166" i="10"/>
  <c r="I166" i="10" s="1"/>
  <c r="G165" i="10"/>
  <c r="I165" i="10" s="1"/>
  <c r="I164" i="10"/>
  <c r="G164" i="10"/>
  <c r="G163" i="10"/>
  <c r="I163" i="10" s="1"/>
  <c r="G162" i="10"/>
  <c r="I162" i="10" s="1"/>
  <c r="I161" i="10"/>
  <c r="G161" i="10"/>
  <c r="I160" i="10"/>
  <c r="G160" i="10"/>
  <c r="I159" i="10"/>
  <c r="G159" i="10"/>
  <c r="G158" i="10"/>
  <c r="I158" i="10" s="1"/>
  <c r="G157" i="10"/>
  <c r="I157" i="10" s="1"/>
  <c r="I156" i="10"/>
  <c r="G156" i="10"/>
  <c r="I155" i="10"/>
  <c r="G155" i="10"/>
  <c r="G154" i="10"/>
  <c r="I154" i="10" s="1"/>
  <c r="G153" i="10"/>
  <c r="I153" i="10" s="1"/>
  <c r="G152" i="10"/>
  <c r="I152" i="10" s="1"/>
  <c r="G151" i="10"/>
  <c r="I151" i="10" s="1"/>
  <c r="G150" i="10"/>
  <c r="I150" i="10" s="1"/>
  <c r="G149" i="10"/>
  <c r="I149" i="10" s="1"/>
  <c r="I148" i="10"/>
  <c r="G148" i="10"/>
  <c r="I147" i="10"/>
  <c r="G147" i="10"/>
  <c r="G146" i="10"/>
  <c r="I146" i="10" s="1"/>
  <c r="G145" i="10"/>
  <c r="I145" i="10" s="1"/>
  <c r="I144" i="10"/>
  <c r="G144" i="10"/>
  <c r="I143" i="10"/>
  <c r="G143" i="10"/>
  <c r="I142" i="10"/>
  <c r="G142" i="10"/>
  <c r="G141" i="10"/>
  <c r="I141" i="10" s="1"/>
  <c r="G140" i="10"/>
  <c r="I140" i="10" s="1"/>
  <c r="G139" i="10"/>
  <c r="I139" i="10" s="1"/>
  <c r="G138" i="10"/>
  <c r="I138" i="10" s="1"/>
  <c r="G137" i="10"/>
  <c r="I137" i="10" s="1"/>
  <c r="G136" i="10"/>
  <c r="I136" i="10" s="1"/>
  <c r="I135" i="10"/>
  <c r="G135" i="10"/>
  <c r="I134" i="10"/>
  <c r="G134" i="10"/>
  <c r="G133" i="10"/>
  <c r="I133" i="10" s="1"/>
  <c r="I132" i="10"/>
  <c r="G132" i="10"/>
  <c r="I131" i="10"/>
  <c r="G131" i="10"/>
  <c r="I130" i="10"/>
  <c r="G130" i="10"/>
  <c r="I129" i="10"/>
  <c r="G129" i="10"/>
  <c r="G128" i="10"/>
  <c r="I128" i="10" s="1"/>
  <c r="G127" i="10"/>
  <c r="I127" i="10" s="1"/>
  <c r="G126" i="10"/>
  <c r="I126" i="10" s="1"/>
  <c r="I125" i="10"/>
  <c r="G125" i="10"/>
  <c r="I124" i="10"/>
  <c r="G124" i="10"/>
  <c r="I123" i="10"/>
  <c r="G123" i="10"/>
  <c r="I122" i="10"/>
  <c r="G122" i="10"/>
  <c r="G121" i="10"/>
  <c r="I121" i="10" s="1"/>
  <c r="G120" i="10"/>
  <c r="I120" i="10" s="1"/>
  <c r="G119" i="10"/>
  <c r="I119" i="10" s="1"/>
  <c r="I118" i="10"/>
  <c r="G118" i="10"/>
  <c r="I117" i="10"/>
  <c r="G117" i="10"/>
  <c r="I116" i="10"/>
  <c r="G116" i="10"/>
  <c r="G115" i="10"/>
  <c r="I115" i="10" s="1"/>
  <c r="I114" i="10"/>
  <c r="G114" i="10"/>
  <c r="G113" i="10"/>
  <c r="I113" i="10" s="1"/>
  <c r="G112" i="10"/>
  <c r="I112" i="10" s="1"/>
  <c r="I111" i="10"/>
  <c r="G111" i="10"/>
  <c r="I110" i="10"/>
  <c r="G110" i="10"/>
  <c r="G109" i="10"/>
  <c r="I109" i="10" s="1"/>
  <c r="G108" i="10"/>
  <c r="I108" i="10" s="1"/>
  <c r="G107" i="10"/>
  <c r="I107" i="10" s="1"/>
  <c r="I106" i="10"/>
  <c r="G106" i="10"/>
  <c r="G105" i="10"/>
  <c r="I105" i="10" s="1"/>
  <c r="I104" i="10"/>
  <c r="G104" i="10"/>
  <c r="G103" i="10"/>
  <c r="I103" i="10" s="1"/>
  <c r="I102" i="10"/>
  <c r="G102" i="10"/>
  <c r="I101" i="10"/>
  <c r="G101" i="10"/>
  <c r="G100" i="10"/>
  <c r="I100" i="10" s="1"/>
  <c r="G99" i="10"/>
  <c r="I99" i="10" s="1"/>
  <c r="I98" i="10"/>
  <c r="G98" i="10"/>
  <c r="G97" i="10"/>
  <c r="I97" i="10" s="1"/>
  <c r="I96" i="10"/>
  <c r="G96" i="10"/>
  <c r="G95" i="10"/>
  <c r="I95" i="10" s="1"/>
  <c r="G94" i="10"/>
  <c r="I94" i="10" s="1"/>
  <c r="I93" i="10"/>
  <c r="G93" i="10"/>
  <c r="I92" i="10"/>
  <c r="G92" i="10"/>
  <c r="G91" i="10"/>
  <c r="I91" i="10" s="1"/>
  <c r="I90" i="10"/>
  <c r="G90" i="10"/>
  <c r="I89" i="10"/>
  <c r="G89" i="10"/>
  <c r="I88" i="10"/>
  <c r="G88" i="10"/>
  <c r="I87" i="10"/>
  <c r="G87" i="10"/>
  <c r="G86" i="10"/>
  <c r="I86" i="10" s="1"/>
  <c r="G85" i="10"/>
  <c r="I85" i="10" s="1"/>
  <c r="G84" i="10"/>
  <c r="I84" i="10" s="1"/>
  <c r="I83" i="10"/>
  <c r="G83" i="10"/>
  <c r="G82" i="10"/>
  <c r="I82" i="10" s="1"/>
  <c r="G81" i="10"/>
  <c r="I81" i="10" s="1"/>
  <c r="I80" i="10"/>
  <c r="G80" i="10"/>
  <c r="G79" i="10"/>
  <c r="I79" i="10" s="1"/>
  <c r="G78" i="10"/>
  <c r="I78" i="10" s="1"/>
  <c r="G77" i="10"/>
  <c r="I77" i="10" s="1"/>
  <c r="I76" i="10"/>
  <c r="G76" i="10"/>
  <c r="I75" i="10"/>
  <c r="G75" i="10"/>
  <c r="G74" i="10"/>
  <c r="I74" i="10" s="1"/>
  <c r="G73" i="10"/>
  <c r="I73" i="10" s="1"/>
  <c r="I72" i="10"/>
  <c r="G72" i="10"/>
  <c r="I71" i="10"/>
  <c r="G71" i="10"/>
  <c r="I70" i="10"/>
  <c r="G70" i="10"/>
  <c r="G69" i="10"/>
  <c r="I69" i="10" s="1"/>
  <c r="G68" i="10"/>
  <c r="I68" i="10" s="1"/>
  <c r="G67" i="10"/>
  <c r="I67" i="10" s="1"/>
  <c r="G66" i="10"/>
  <c r="I66" i="10" s="1"/>
  <c r="I65" i="10"/>
  <c r="G65" i="10"/>
  <c r="G64" i="10"/>
  <c r="I64" i="10" s="1"/>
  <c r="I63" i="10"/>
  <c r="G63" i="10"/>
  <c r="I62" i="10"/>
  <c r="G62" i="10"/>
  <c r="G61" i="10"/>
  <c r="I61" i="10" s="1"/>
  <c r="G60" i="10"/>
  <c r="I60" i="10" s="1"/>
  <c r="G59" i="10"/>
  <c r="I59" i="10" s="1"/>
  <c r="I58" i="10"/>
  <c r="G58" i="10"/>
  <c r="I57" i="10"/>
  <c r="G57" i="10"/>
  <c r="G56" i="10"/>
  <c r="I56" i="10" s="1"/>
  <c r="G55" i="10"/>
  <c r="I55" i="10" s="1"/>
  <c r="G54" i="10"/>
  <c r="I54" i="10" s="1"/>
  <c r="G53" i="10"/>
  <c r="I53" i="10" s="1"/>
  <c r="G52" i="10"/>
  <c r="I52" i="10" s="1"/>
  <c r="I51" i="10"/>
  <c r="G51" i="10"/>
  <c r="I50" i="10"/>
  <c r="G50" i="10"/>
  <c r="G49" i="10"/>
  <c r="I49" i="10" s="1"/>
  <c r="G48" i="10"/>
  <c r="I48" i="10" s="1"/>
  <c r="G47" i="10"/>
  <c r="I47" i="10" s="1"/>
  <c r="G46" i="10"/>
  <c r="I46" i="10" s="1"/>
  <c r="G45" i="10"/>
  <c r="I45" i="10" s="1"/>
  <c r="I44" i="10"/>
  <c r="G44" i="10"/>
  <c r="G43" i="10"/>
  <c r="I43" i="10" s="1"/>
  <c r="I42" i="10"/>
  <c r="G42" i="10"/>
  <c r="I41" i="10"/>
  <c r="G41" i="10"/>
  <c r="G40" i="10"/>
  <c r="I40" i="10" s="1"/>
  <c r="I39" i="10"/>
  <c r="G39" i="10"/>
  <c r="G38" i="10"/>
  <c r="I38" i="10" s="1"/>
  <c r="G37" i="10"/>
  <c r="I37" i="10" s="1"/>
  <c r="G36" i="10"/>
  <c r="I36" i="10" s="1"/>
  <c r="G35" i="10"/>
  <c r="I35" i="10" s="1"/>
  <c r="G34" i="10"/>
  <c r="I34" i="10" s="1"/>
  <c r="G33" i="10"/>
  <c r="I33" i="10" s="1"/>
  <c r="G32" i="10"/>
  <c r="I32" i="10" s="1"/>
  <c r="G31" i="10"/>
  <c r="I31" i="10" s="1"/>
  <c r="I30" i="10"/>
  <c r="G30" i="10"/>
  <c r="I29" i="10"/>
  <c r="G29" i="10"/>
  <c r="G28" i="10"/>
  <c r="I28" i="10" s="1"/>
  <c r="G27" i="10"/>
  <c r="I27" i="10" s="1"/>
  <c r="G26" i="10"/>
  <c r="I26" i="10" s="1"/>
  <c r="G25" i="10"/>
  <c r="I25" i="10" s="1"/>
  <c r="I24" i="10"/>
  <c r="G24" i="10"/>
  <c r="G23" i="10"/>
  <c r="I23" i="10" s="1"/>
  <c r="G22" i="10"/>
  <c r="I22" i="10" s="1"/>
  <c r="I21" i="10"/>
  <c r="G21" i="10"/>
  <c r="I20" i="10"/>
  <c r="G20" i="10"/>
  <c r="G19" i="10"/>
  <c r="I19" i="10" s="1"/>
  <c r="G18" i="10"/>
  <c r="I18" i="10" s="1"/>
  <c r="I17" i="10"/>
  <c r="G17" i="10"/>
  <c r="I16" i="10"/>
  <c r="G16" i="10"/>
  <c r="G15" i="10"/>
  <c r="I15" i="10" s="1"/>
  <c r="G14" i="10"/>
  <c r="I14" i="10" s="1"/>
  <c r="G13" i="10"/>
  <c r="I13" i="10" s="1"/>
  <c r="I12" i="10"/>
  <c r="G12" i="10"/>
  <c r="I11" i="10"/>
  <c r="G11" i="10"/>
  <c r="G10" i="10"/>
  <c r="I10" i="10" s="1"/>
  <c r="G9" i="10"/>
  <c r="I9" i="10" s="1"/>
  <c r="I8" i="10"/>
  <c r="G8" i="10"/>
  <c r="G7" i="10"/>
  <c r="I7" i="10" s="1"/>
  <c r="G6" i="10"/>
  <c r="I6" i="10" s="1"/>
  <c r="I5" i="10"/>
  <c r="G5" i="10"/>
  <c r="I4" i="10"/>
  <c r="G4" i="10"/>
  <c r="I3" i="10"/>
  <c r="G3" i="10"/>
  <c r="M202" i="9"/>
  <c r="G202" i="9"/>
  <c r="H202" i="9" s="1"/>
  <c r="F202" i="9"/>
  <c r="M201" i="9"/>
  <c r="I201" i="9" s="1"/>
  <c r="J201" i="9"/>
  <c r="F201" i="9"/>
  <c r="G201" i="9" s="1"/>
  <c r="H201" i="9" s="1"/>
  <c r="M200" i="9"/>
  <c r="F200" i="9"/>
  <c r="I200" i="9" s="1"/>
  <c r="J200" i="9" s="1"/>
  <c r="M199" i="9"/>
  <c r="J199" i="9"/>
  <c r="I199" i="9"/>
  <c r="H199" i="9"/>
  <c r="G199" i="9"/>
  <c r="F199" i="9"/>
  <c r="M198" i="9"/>
  <c r="F198" i="9"/>
  <c r="I198" i="9" s="1"/>
  <c r="J198" i="9" s="1"/>
  <c r="M197" i="9"/>
  <c r="I197" i="9" s="1"/>
  <c r="J197" i="9"/>
  <c r="H197" i="9"/>
  <c r="G197" i="9"/>
  <c r="F197" i="9"/>
  <c r="M196" i="9"/>
  <c r="J196" i="9"/>
  <c r="F196" i="9"/>
  <c r="I196" i="9" s="1"/>
  <c r="M195" i="9"/>
  <c r="J195" i="9"/>
  <c r="I195" i="9"/>
  <c r="G195" i="9"/>
  <c r="H195" i="9" s="1"/>
  <c r="F195" i="9"/>
  <c r="M194" i="9"/>
  <c r="J194" i="9"/>
  <c r="G194" i="9"/>
  <c r="H194" i="9" s="1"/>
  <c r="F194" i="9"/>
  <c r="I194" i="9" s="1"/>
  <c r="M193" i="9"/>
  <c r="J193" i="9"/>
  <c r="I193" i="9"/>
  <c r="H193" i="9"/>
  <c r="G193" i="9"/>
  <c r="F193" i="9"/>
  <c r="M192" i="9"/>
  <c r="F192" i="9"/>
  <c r="M191" i="9"/>
  <c r="I191" i="9" s="1"/>
  <c r="J191" i="9" s="1"/>
  <c r="G191" i="9"/>
  <c r="H191" i="9" s="1"/>
  <c r="F191" i="9"/>
  <c r="M190" i="9"/>
  <c r="G190" i="9"/>
  <c r="H190" i="9" s="1"/>
  <c r="F190" i="9"/>
  <c r="I190" i="9" s="1"/>
  <c r="J190" i="9" s="1"/>
  <c r="M189" i="9"/>
  <c r="I189" i="9" s="1"/>
  <c r="J189" i="9"/>
  <c r="G189" i="9"/>
  <c r="H189" i="9" s="1"/>
  <c r="F189" i="9"/>
  <c r="M188" i="9"/>
  <c r="F188" i="9"/>
  <c r="I188" i="9" s="1"/>
  <c r="J188" i="9" s="1"/>
  <c r="M187" i="9"/>
  <c r="I187" i="9" s="1"/>
  <c r="J187" i="9" s="1"/>
  <c r="H187" i="9"/>
  <c r="G187" i="9"/>
  <c r="F187" i="9"/>
  <c r="M186" i="9"/>
  <c r="F186" i="9"/>
  <c r="M185" i="9"/>
  <c r="I185" i="9"/>
  <c r="J185" i="9" s="1"/>
  <c r="H185" i="9"/>
  <c r="G185" i="9"/>
  <c r="F185" i="9"/>
  <c r="M184" i="9"/>
  <c r="J184" i="9"/>
  <c r="G184" i="9"/>
  <c r="H184" i="9" s="1"/>
  <c r="F184" i="9"/>
  <c r="I184" i="9" s="1"/>
  <c r="M183" i="9"/>
  <c r="J183" i="9"/>
  <c r="I183" i="9"/>
  <c r="G183" i="9"/>
  <c r="H183" i="9" s="1"/>
  <c r="F183" i="9"/>
  <c r="M182" i="9"/>
  <c r="F182" i="9"/>
  <c r="M181" i="9"/>
  <c r="J181" i="9"/>
  <c r="I181" i="9"/>
  <c r="H181" i="9"/>
  <c r="G181" i="9"/>
  <c r="F181" i="9"/>
  <c r="M180" i="9"/>
  <c r="J180" i="9"/>
  <c r="G180" i="9"/>
  <c r="H180" i="9" s="1"/>
  <c r="F180" i="9"/>
  <c r="I180" i="9" s="1"/>
  <c r="M179" i="9"/>
  <c r="I179" i="9" s="1"/>
  <c r="J179" i="9" s="1"/>
  <c r="H179" i="9"/>
  <c r="G179" i="9"/>
  <c r="F179" i="9"/>
  <c r="M178" i="9"/>
  <c r="J178" i="9"/>
  <c r="G178" i="9"/>
  <c r="H178" i="9" s="1"/>
  <c r="F178" i="9"/>
  <c r="I178" i="9" s="1"/>
  <c r="M177" i="9"/>
  <c r="J177" i="9"/>
  <c r="I177" i="9"/>
  <c r="G177" i="9"/>
  <c r="H177" i="9" s="1"/>
  <c r="F177" i="9"/>
  <c r="M176" i="9"/>
  <c r="F176" i="9"/>
  <c r="M175" i="9"/>
  <c r="I175" i="9"/>
  <c r="J175" i="9" s="1"/>
  <c r="H175" i="9"/>
  <c r="G175" i="9"/>
  <c r="F175" i="9"/>
  <c r="M174" i="9"/>
  <c r="F174" i="9"/>
  <c r="I174" i="9" s="1"/>
  <c r="J174" i="9" s="1"/>
  <c r="M173" i="9"/>
  <c r="I173" i="9" s="1"/>
  <c r="J173" i="9"/>
  <c r="G173" i="9"/>
  <c r="H173" i="9" s="1"/>
  <c r="F173" i="9"/>
  <c r="M172" i="9"/>
  <c r="F172" i="9"/>
  <c r="I172" i="9" s="1"/>
  <c r="J172" i="9" s="1"/>
  <c r="M171" i="9"/>
  <c r="I171" i="9"/>
  <c r="J171" i="9" s="1"/>
  <c r="G171" i="9"/>
  <c r="H171" i="9" s="1"/>
  <c r="F171" i="9"/>
  <c r="M170" i="9"/>
  <c r="J170" i="9"/>
  <c r="F170" i="9"/>
  <c r="I170" i="9" s="1"/>
  <c r="M169" i="9"/>
  <c r="J169" i="9"/>
  <c r="I169" i="9"/>
  <c r="H169" i="9"/>
  <c r="G169" i="9"/>
  <c r="F169" i="9"/>
  <c r="M168" i="9"/>
  <c r="J168" i="9"/>
  <c r="H168" i="9"/>
  <c r="G168" i="9"/>
  <c r="F168" i="9"/>
  <c r="I168" i="9" s="1"/>
  <c r="M167" i="9"/>
  <c r="I167" i="9"/>
  <c r="J167" i="9" s="1"/>
  <c r="G167" i="9"/>
  <c r="H167" i="9" s="1"/>
  <c r="F167" i="9"/>
  <c r="M166" i="9"/>
  <c r="J166" i="9"/>
  <c r="G166" i="9"/>
  <c r="H166" i="9" s="1"/>
  <c r="F166" i="9"/>
  <c r="I166" i="9" s="1"/>
  <c r="M165" i="9"/>
  <c r="J165" i="9"/>
  <c r="I165" i="9"/>
  <c r="H165" i="9"/>
  <c r="G165" i="9"/>
  <c r="F165" i="9"/>
  <c r="M164" i="9"/>
  <c r="F164" i="9"/>
  <c r="M163" i="9"/>
  <c r="I163" i="9" s="1"/>
  <c r="J163" i="9" s="1"/>
  <c r="G163" i="9"/>
  <c r="H163" i="9" s="1"/>
  <c r="F163" i="9"/>
  <c r="M162" i="9"/>
  <c r="G162" i="9"/>
  <c r="H162" i="9" s="1"/>
  <c r="F162" i="9"/>
  <c r="I162" i="9" s="1"/>
  <c r="J162" i="9" s="1"/>
  <c r="M161" i="9"/>
  <c r="I161" i="9" s="1"/>
  <c r="J161" i="9"/>
  <c r="G161" i="9"/>
  <c r="H161" i="9" s="1"/>
  <c r="F161" i="9"/>
  <c r="M160" i="9"/>
  <c r="F160" i="9"/>
  <c r="I160" i="9" s="1"/>
  <c r="J160" i="9" s="1"/>
  <c r="M159" i="9"/>
  <c r="I159" i="9" s="1"/>
  <c r="J159" i="9" s="1"/>
  <c r="H159" i="9"/>
  <c r="G159" i="9"/>
  <c r="F159" i="9"/>
  <c r="M158" i="9"/>
  <c r="F158" i="9"/>
  <c r="M157" i="9"/>
  <c r="I157" i="9"/>
  <c r="J157" i="9" s="1"/>
  <c r="G157" i="9"/>
  <c r="H157" i="9" s="1"/>
  <c r="F157" i="9"/>
  <c r="M156" i="9"/>
  <c r="J156" i="9"/>
  <c r="H156" i="9"/>
  <c r="G156" i="9"/>
  <c r="F156" i="9"/>
  <c r="I156" i="9" s="1"/>
  <c r="M155" i="9"/>
  <c r="I155" i="9"/>
  <c r="J155" i="9" s="1"/>
  <c r="H155" i="9"/>
  <c r="G155" i="9"/>
  <c r="F155" i="9"/>
  <c r="M154" i="9"/>
  <c r="J154" i="9"/>
  <c r="G154" i="9"/>
  <c r="H154" i="9" s="1"/>
  <c r="F154" i="9"/>
  <c r="I154" i="9" s="1"/>
  <c r="M153" i="9"/>
  <c r="I153" i="9"/>
  <c r="J153" i="9" s="1"/>
  <c r="G153" i="9"/>
  <c r="H153" i="9" s="1"/>
  <c r="F153" i="9"/>
  <c r="M152" i="9"/>
  <c r="J152" i="9"/>
  <c r="F152" i="9"/>
  <c r="I152" i="9" s="1"/>
  <c r="M151" i="9"/>
  <c r="I151" i="9"/>
  <c r="J151" i="9" s="1"/>
  <c r="G151" i="9"/>
  <c r="H151" i="9" s="1"/>
  <c r="F151" i="9"/>
  <c r="M150" i="9"/>
  <c r="J150" i="9"/>
  <c r="G150" i="9"/>
  <c r="H150" i="9" s="1"/>
  <c r="F150" i="9"/>
  <c r="I150" i="9" s="1"/>
  <c r="M149" i="9"/>
  <c r="I149" i="9" s="1"/>
  <c r="J149" i="9"/>
  <c r="G149" i="9"/>
  <c r="H149" i="9" s="1"/>
  <c r="F149" i="9"/>
  <c r="M148" i="9"/>
  <c r="F148" i="9"/>
  <c r="I148" i="9" s="1"/>
  <c r="J148" i="9" s="1"/>
  <c r="M147" i="9"/>
  <c r="I147" i="9" s="1"/>
  <c r="J147" i="9" s="1"/>
  <c r="G147" i="9"/>
  <c r="H147" i="9" s="1"/>
  <c r="F147" i="9"/>
  <c r="M146" i="9"/>
  <c r="F146" i="9"/>
  <c r="M145" i="9"/>
  <c r="I145" i="9"/>
  <c r="J145" i="9" s="1"/>
  <c r="H145" i="9"/>
  <c r="G145" i="9"/>
  <c r="F145" i="9"/>
  <c r="M144" i="9"/>
  <c r="F144" i="9"/>
  <c r="I144" i="9" s="1"/>
  <c r="J144" i="9" s="1"/>
  <c r="M143" i="9"/>
  <c r="I143" i="9" s="1"/>
  <c r="J143" i="9" s="1"/>
  <c r="H143" i="9"/>
  <c r="G143" i="9"/>
  <c r="F143" i="9"/>
  <c r="M142" i="9"/>
  <c r="F142" i="9"/>
  <c r="I142" i="9" s="1"/>
  <c r="J142" i="9" s="1"/>
  <c r="M141" i="9"/>
  <c r="I141" i="9" s="1"/>
  <c r="J141" i="9"/>
  <c r="G141" i="9"/>
  <c r="H141" i="9" s="1"/>
  <c r="F141" i="9"/>
  <c r="M140" i="9"/>
  <c r="J140" i="9"/>
  <c r="G140" i="9"/>
  <c r="H140" i="9" s="1"/>
  <c r="F140" i="9"/>
  <c r="I140" i="9" s="1"/>
  <c r="M139" i="9"/>
  <c r="I139" i="9"/>
  <c r="J139" i="9" s="1"/>
  <c r="G139" i="9"/>
  <c r="H139" i="9" s="1"/>
  <c r="F139" i="9"/>
  <c r="M138" i="9"/>
  <c r="G138" i="9"/>
  <c r="H138" i="9" s="1"/>
  <c r="F138" i="9"/>
  <c r="I138" i="9" s="1"/>
  <c r="J138" i="9" s="1"/>
  <c r="M137" i="9"/>
  <c r="I137" i="9"/>
  <c r="J137" i="9" s="1"/>
  <c r="G137" i="9"/>
  <c r="H137" i="9" s="1"/>
  <c r="F137" i="9"/>
  <c r="M136" i="9"/>
  <c r="J136" i="9"/>
  <c r="G136" i="9"/>
  <c r="H136" i="9" s="1"/>
  <c r="F136" i="9"/>
  <c r="I136" i="9" s="1"/>
  <c r="M135" i="9"/>
  <c r="I135" i="9"/>
  <c r="J135" i="9" s="1"/>
  <c r="G135" i="9"/>
  <c r="H135" i="9" s="1"/>
  <c r="F135" i="9"/>
  <c r="M134" i="9"/>
  <c r="F134" i="9"/>
  <c r="M133" i="9"/>
  <c r="I133" i="9" s="1"/>
  <c r="J133" i="9" s="1"/>
  <c r="G133" i="9"/>
  <c r="H133" i="9" s="1"/>
  <c r="F133" i="9"/>
  <c r="M132" i="9"/>
  <c r="J132" i="9"/>
  <c r="H132" i="9"/>
  <c r="G132" i="9"/>
  <c r="F132" i="9"/>
  <c r="I132" i="9" s="1"/>
  <c r="M131" i="9"/>
  <c r="I131" i="9" s="1"/>
  <c r="J131" i="9" s="1"/>
  <c r="H131" i="9"/>
  <c r="G131" i="9"/>
  <c r="F131" i="9"/>
  <c r="M130" i="9"/>
  <c r="J130" i="9"/>
  <c r="G130" i="9"/>
  <c r="H130" i="9" s="1"/>
  <c r="F130" i="9"/>
  <c r="I130" i="9" s="1"/>
  <c r="M129" i="9"/>
  <c r="J129" i="9"/>
  <c r="I129" i="9"/>
  <c r="G129" i="9"/>
  <c r="H129" i="9" s="1"/>
  <c r="F129" i="9"/>
  <c r="M128" i="9"/>
  <c r="F128" i="9"/>
  <c r="M127" i="9"/>
  <c r="I127" i="9"/>
  <c r="J127" i="9" s="1"/>
  <c r="H127" i="9"/>
  <c r="G127" i="9"/>
  <c r="F127" i="9"/>
  <c r="M126" i="9"/>
  <c r="F126" i="9"/>
  <c r="I126" i="9" s="1"/>
  <c r="J126" i="9" s="1"/>
  <c r="M125" i="9"/>
  <c r="I125" i="9" s="1"/>
  <c r="J125" i="9"/>
  <c r="G125" i="9"/>
  <c r="H125" i="9" s="1"/>
  <c r="F125" i="9"/>
  <c r="M124" i="9"/>
  <c r="F124" i="9"/>
  <c r="I124" i="9" s="1"/>
  <c r="J124" i="9" s="1"/>
  <c r="M123" i="9"/>
  <c r="I123" i="9"/>
  <c r="J123" i="9" s="1"/>
  <c r="G123" i="9"/>
  <c r="H123" i="9" s="1"/>
  <c r="F123" i="9"/>
  <c r="M122" i="9"/>
  <c r="J122" i="9"/>
  <c r="F122" i="9"/>
  <c r="I122" i="9" s="1"/>
  <c r="M121" i="9"/>
  <c r="J121" i="9"/>
  <c r="I121" i="9"/>
  <c r="H121" i="9"/>
  <c r="G121" i="9"/>
  <c r="F121" i="9"/>
  <c r="M120" i="9"/>
  <c r="J120" i="9"/>
  <c r="H120" i="9"/>
  <c r="G120" i="9"/>
  <c r="F120" i="9"/>
  <c r="I120" i="9" s="1"/>
  <c r="M119" i="9"/>
  <c r="I119" i="9"/>
  <c r="J119" i="9" s="1"/>
  <c r="G119" i="9"/>
  <c r="H119" i="9" s="1"/>
  <c r="F119" i="9"/>
  <c r="M118" i="9"/>
  <c r="J118" i="9"/>
  <c r="G118" i="9"/>
  <c r="H118" i="9" s="1"/>
  <c r="F118" i="9"/>
  <c r="I118" i="9" s="1"/>
  <c r="M117" i="9"/>
  <c r="J117" i="9"/>
  <c r="I117" i="9"/>
  <c r="H117" i="9"/>
  <c r="G117" i="9"/>
  <c r="F117" i="9"/>
  <c r="M116" i="9"/>
  <c r="F116" i="9"/>
  <c r="I116" i="9" s="1"/>
  <c r="J116" i="9" s="1"/>
  <c r="M115" i="9"/>
  <c r="I115" i="9" s="1"/>
  <c r="J115" i="9" s="1"/>
  <c r="G115" i="9"/>
  <c r="H115" i="9" s="1"/>
  <c r="F115" i="9"/>
  <c r="M114" i="9"/>
  <c r="G114" i="9"/>
  <c r="H114" i="9" s="1"/>
  <c r="F114" i="9"/>
  <c r="I114" i="9" s="1"/>
  <c r="J114" i="9" s="1"/>
  <c r="M113" i="9"/>
  <c r="I113" i="9" s="1"/>
  <c r="J113" i="9"/>
  <c r="G113" i="9"/>
  <c r="H113" i="9" s="1"/>
  <c r="F113" i="9"/>
  <c r="M112" i="9"/>
  <c r="F112" i="9"/>
  <c r="I112" i="9" s="1"/>
  <c r="J112" i="9" s="1"/>
  <c r="M111" i="9"/>
  <c r="I111" i="9"/>
  <c r="J111" i="9" s="1"/>
  <c r="H111" i="9"/>
  <c r="G111" i="9"/>
  <c r="F111" i="9"/>
  <c r="M110" i="9"/>
  <c r="F110" i="9"/>
  <c r="M109" i="9"/>
  <c r="F109" i="9"/>
  <c r="I109" i="9" s="1"/>
  <c r="J109" i="9" s="1"/>
  <c r="M108" i="9"/>
  <c r="J108" i="9"/>
  <c r="H108" i="9"/>
  <c r="G108" i="9"/>
  <c r="F108" i="9"/>
  <c r="I108" i="9" s="1"/>
  <c r="M107" i="9"/>
  <c r="F107" i="9"/>
  <c r="M106" i="9"/>
  <c r="G106" i="9"/>
  <c r="H106" i="9" s="1"/>
  <c r="F106" i="9"/>
  <c r="M105" i="9"/>
  <c r="I105" i="9"/>
  <c r="J105" i="9" s="1"/>
  <c r="G105" i="9"/>
  <c r="H105" i="9" s="1"/>
  <c r="F105" i="9"/>
  <c r="M104" i="9"/>
  <c r="F104" i="9"/>
  <c r="M103" i="9"/>
  <c r="F103" i="9"/>
  <c r="I103" i="9" s="1"/>
  <c r="J103" i="9" s="1"/>
  <c r="M102" i="9"/>
  <c r="H102" i="9"/>
  <c r="G102" i="9"/>
  <c r="F102" i="9"/>
  <c r="M101" i="9"/>
  <c r="J101" i="9"/>
  <c r="G101" i="9"/>
  <c r="H101" i="9" s="1"/>
  <c r="F101" i="9"/>
  <c r="I101" i="9" s="1"/>
  <c r="M100" i="9"/>
  <c r="F100" i="9"/>
  <c r="M99" i="9"/>
  <c r="G99" i="9"/>
  <c r="H99" i="9" s="1"/>
  <c r="F99" i="9"/>
  <c r="I99" i="9" s="1"/>
  <c r="J99" i="9" s="1"/>
  <c r="M98" i="9"/>
  <c r="F98" i="9"/>
  <c r="M97" i="9"/>
  <c r="I97" i="9"/>
  <c r="J97" i="9" s="1"/>
  <c r="H97" i="9"/>
  <c r="F97" i="9"/>
  <c r="G97" i="9" s="1"/>
  <c r="M96" i="9"/>
  <c r="F96" i="9"/>
  <c r="I96" i="9" s="1"/>
  <c r="J96" i="9" s="1"/>
  <c r="M95" i="9"/>
  <c r="I95" i="9" s="1"/>
  <c r="J95" i="9"/>
  <c r="H95" i="9"/>
  <c r="G95" i="9"/>
  <c r="F95" i="9"/>
  <c r="M94" i="9"/>
  <c r="J94" i="9"/>
  <c r="G94" i="9"/>
  <c r="H94" i="9" s="1"/>
  <c r="F94" i="9"/>
  <c r="I94" i="9" s="1"/>
  <c r="M93" i="9"/>
  <c r="G93" i="9"/>
  <c r="H93" i="9" s="1"/>
  <c r="F93" i="9"/>
  <c r="I93" i="9" s="1"/>
  <c r="J93" i="9" s="1"/>
  <c r="M92" i="9"/>
  <c r="F92" i="9"/>
  <c r="I92" i="9" s="1"/>
  <c r="J92" i="9" s="1"/>
  <c r="M91" i="9"/>
  <c r="F91" i="9"/>
  <c r="M90" i="9"/>
  <c r="F90" i="9"/>
  <c r="M89" i="9"/>
  <c r="F89" i="9"/>
  <c r="M88" i="9"/>
  <c r="G88" i="9"/>
  <c r="H88" i="9" s="1"/>
  <c r="F88" i="9"/>
  <c r="M87" i="9"/>
  <c r="F87" i="9"/>
  <c r="I87" i="9" s="1"/>
  <c r="J87" i="9" s="1"/>
  <c r="M86" i="9"/>
  <c r="F86" i="9"/>
  <c r="M85" i="9"/>
  <c r="F85" i="9"/>
  <c r="I85" i="9" s="1"/>
  <c r="J85" i="9" s="1"/>
  <c r="M84" i="9"/>
  <c r="I84" i="9"/>
  <c r="J84" i="9" s="1"/>
  <c r="H84" i="9"/>
  <c r="F84" i="9"/>
  <c r="G84" i="9" s="1"/>
  <c r="M83" i="9"/>
  <c r="I83" i="9" s="1"/>
  <c r="J83" i="9"/>
  <c r="G83" i="9"/>
  <c r="H83" i="9" s="1"/>
  <c r="F83" i="9"/>
  <c r="M82" i="9"/>
  <c r="F82" i="9"/>
  <c r="M81" i="9"/>
  <c r="I81" i="9"/>
  <c r="J81" i="9" s="1"/>
  <c r="F81" i="9"/>
  <c r="G81" i="9" s="1"/>
  <c r="H81" i="9" s="1"/>
  <c r="M80" i="9"/>
  <c r="F80" i="9"/>
  <c r="G80" i="9" s="1"/>
  <c r="H80" i="9" s="1"/>
  <c r="M79" i="9"/>
  <c r="I79" i="9"/>
  <c r="J79" i="9" s="1"/>
  <c r="H79" i="9"/>
  <c r="G79" i="9"/>
  <c r="F79" i="9"/>
  <c r="M78" i="9"/>
  <c r="F78" i="9"/>
  <c r="G78" i="9" s="1"/>
  <c r="H78" i="9" s="1"/>
  <c r="M77" i="9"/>
  <c r="I77" i="9" s="1"/>
  <c r="J77" i="9"/>
  <c r="G77" i="9"/>
  <c r="H77" i="9" s="1"/>
  <c r="F77" i="9"/>
  <c r="M76" i="9"/>
  <c r="H76" i="9"/>
  <c r="F76" i="9"/>
  <c r="G76" i="9" s="1"/>
  <c r="M75" i="9"/>
  <c r="F75" i="9"/>
  <c r="I75" i="9" s="1"/>
  <c r="J75" i="9" s="1"/>
  <c r="M74" i="9"/>
  <c r="F74" i="9"/>
  <c r="G74" i="9" s="1"/>
  <c r="H74" i="9" s="1"/>
  <c r="M73" i="9"/>
  <c r="F73" i="9"/>
  <c r="M72" i="9"/>
  <c r="H72" i="9"/>
  <c r="F72" i="9"/>
  <c r="G72" i="9" s="1"/>
  <c r="M71" i="9"/>
  <c r="I71" i="9"/>
  <c r="J71" i="9" s="1"/>
  <c r="G71" i="9"/>
  <c r="H71" i="9" s="1"/>
  <c r="F71" i="9"/>
  <c r="M70" i="9"/>
  <c r="I70" i="9" s="1"/>
  <c r="J70" i="9"/>
  <c r="F70" i="9"/>
  <c r="G70" i="9" s="1"/>
  <c r="H70" i="9" s="1"/>
  <c r="M69" i="9"/>
  <c r="F69" i="9"/>
  <c r="M68" i="9"/>
  <c r="J68" i="9"/>
  <c r="I68" i="9"/>
  <c r="H68" i="9"/>
  <c r="F68" i="9"/>
  <c r="G68" i="9" s="1"/>
  <c r="M67" i="9"/>
  <c r="F67" i="9"/>
  <c r="I67" i="9" s="1"/>
  <c r="J67" i="9" s="1"/>
  <c r="M66" i="9"/>
  <c r="I66" i="9"/>
  <c r="J66" i="9" s="1"/>
  <c r="H66" i="9"/>
  <c r="F66" i="9"/>
  <c r="G66" i="9" s="1"/>
  <c r="M65" i="9"/>
  <c r="F65" i="9"/>
  <c r="I65" i="9" s="1"/>
  <c r="J65" i="9" s="1"/>
  <c r="M64" i="9"/>
  <c r="F64" i="9"/>
  <c r="M63" i="9"/>
  <c r="I63" i="9" s="1"/>
  <c r="J63" i="9" s="1"/>
  <c r="G63" i="9"/>
  <c r="H63" i="9" s="1"/>
  <c r="F63" i="9"/>
  <c r="M62" i="9"/>
  <c r="F62" i="9"/>
  <c r="G62" i="9" s="1"/>
  <c r="H62" i="9" s="1"/>
  <c r="M61" i="9"/>
  <c r="F61" i="9"/>
  <c r="I61" i="9" s="1"/>
  <c r="J61" i="9" s="1"/>
  <c r="M60" i="9"/>
  <c r="I60" i="9"/>
  <c r="J60" i="9" s="1"/>
  <c r="H60" i="9"/>
  <c r="F60" i="9"/>
  <c r="G60" i="9" s="1"/>
  <c r="M59" i="9"/>
  <c r="I59" i="9" s="1"/>
  <c r="J59" i="9"/>
  <c r="G59" i="9"/>
  <c r="H59" i="9" s="1"/>
  <c r="F59" i="9"/>
  <c r="M58" i="9"/>
  <c r="F58" i="9"/>
  <c r="M57" i="9"/>
  <c r="I57" i="9"/>
  <c r="J57" i="9" s="1"/>
  <c r="F57" i="9"/>
  <c r="G57" i="9" s="1"/>
  <c r="H57" i="9" s="1"/>
  <c r="M56" i="9"/>
  <c r="F56" i="9"/>
  <c r="G56" i="9" s="1"/>
  <c r="H56" i="9" s="1"/>
  <c r="M55" i="9"/>
  <c r="I55" i="9"/>
  <c r="J55" i="9" s="1"/>
  <c r="H55" i="9"/>
  <c r="G55" i="9"/>
  <c r="F55" i="9"/>
  <c r="M54" i="9"/>
  <c r="F54" i="9"/>
  <c r="G54" i="9" s="1"/>
  <c r="H54" i="9" s="1"/>
  <c r="M53" i="9"/>
  <c r="I53" i="9" s="1"/>
  <c r="J53" i="9"/>
  <c r="G53" i="9"/>
  <c r="H53" i="9" s="1"/>
  <c r="F53" i="9"/>
  <c r="M52" i="9"/>
  <c r="H52" i="9"/>
  <c r="F52" i="9"/>
  <c r="G52" i="9" s="1"/>
  <c r="M51" i="9"/>
  <c r="G51" i="9"/>
  <c r="H51" i="9" s="1"/>
  <c r="F51" i="9"/>
  <c r="I51" i="9" s="1"/>
  <c r="J51" i="9" s="1"/>
  <c r="M50" i="9"/>
  <c r="F50" i="9"/>
  <c r="G50" i="9" s="1"/>
  <c r="H50" i="9" s="1"/>
  <c r="M49" i="9"/>
  <c r="F49" i="9"/>
  <c r="M48" i="9"/>
  <c r="H48" i="9"/>
  <c r="F48" i="9"/>
  <c r="G48" i="9" s="1"/>
  <c r="M47" i="9"/>
  <c r="I47" i="9"/>
  <c r="J47" i="9" s="1"/>
  <c r="G47" i="9"/>
  <c r="H47" i="9" s="1"/>
  <c r="F47" i="9"/>
  <c r="M46" i="9"/>
  <c r="I46" i="9" s="1"/>
  <c r="J46" i="9"/>
  <c r="F46" i="9"/>
  <c r="G46" i="9" s="1"/>
  <c r="H46" i="9" s="1"/>
  <c r="M45" i="9"/>
  <c r="F45" i="9"/>
  <c r="M44" i="9"/>
  <c r="I44" i="9"/>
  <c r="J44" i="9" s="1"/>
  <c r="H44" i="9"/>
  <c r="F44" i="9"/>
  <c r="G44" i="9" s="1"/>
  <c r="M43" i="9"/>
  <c r="F43" i="9"/>
  <c r="G43" i="9" s="1"/>
  <c r="H43" i="9" s="1"/>
  <c r="M42" i="9"/>
  <c r="I42" i="9"/>
  <c r="J42" i="9" s="1"/>
  <c r="H42" i="9"/>
  <c r="F42" i="9"/>
  <c r="G42" i="9" s="1"/>
  <c r="M41" i="9"/>
  <c r="F41" i="9"/>
  <c r="I41" i="9" s="1"/>
  <c r="J41" i="9" s="1"/>
  <c r="M40" i="9"/>
  <c r="F40" i="9"/>
  <c r="M39" i="9"/>
  <c r="I39" i="9" s="1"/>
  <c r="J39" i="9" s="1"/>
  <c r="G39" i="9"/>
  <c r="H39" i="9" s="1"/>
  <c r="F39" i="9"/>
  <c r="M38" i="9"/>
  <c r="F38" i="9"/>
  <c r="G38" i="9" s="1"/>
  <c r="H38" i="9" s="1"/>
  <c r="M37" i="9"/>
  <c r="F37" i="9"/>
  <c r="I37" i="9" s="1"/>
  <c r="J37" i="9" s="1"/>
  <c r="M36" i="9"/>
  <c r="I36" i="9"/>
  <c r="J36" i="9" s="1"/>
  <c r="H36" i="9"/>
  <c r="F36" i="9"/>
  <c r="G36" i="9" s="1"/>
  <c r="M35" i="9"/>
  <c r="I35" i="9" s="1"/>
  <c r="J35" i="9" s="1"/>
  <c r="G35" i="9"/>
  <c r="H35" i="9" s="1"/>
  <c r="F35" i="9"/>
  <c r="M34" i="9"/>
  <c r="F34" i="9"/>
  <c r="M33" i="9"/>
  <c r="I33" i="9"/>
  <c r="J33" i="9" s="1"/>
  <c r="F33" i="9"/>
  <c r="G33" i="9" s="1"/>
  <c r="H33" i="9" s="1"/>
  <c r="M32" i="9"/>
  <c r="F32" i="9"/>
  <c r="G32" i="9" s="1"/>
  <c r="H32" i="9" s="1"/>
  <c r="M31" i="9"/>
  <c r="I31" i="9" s="1"/>
  <c r="J31" i="9" s="1"/>
  <c r="H31" i="9"/>
  <c r="G31" i="9"/>
  <c r="F31" i="9"/>
  <c r="M30" i="9"/>
  <c r="F30" i="9"/>
  <c r="G30" i="9" s="1"/>
  <c r="H30" i="9" s="1"/>
  <c r="M29" i="9"/>
  <c r="I29" i="9" s="1"/>
  <c r="J29" i="9"/>
  <c r="G29" i="9"/>
  <c r="H29" i="9" s="1"/>
  <c r="F29" i="9"/>
  <c r="M28" i="9"/>
  <c r="H28" i="9"/>
  <c r="F28" i="9"/>
  <c r="G28" i="9" s="1"/>
  <c r="M27" i="9"/>
  <c r="F27" i="9"/>
  <c r="I27" i="9" s="1"/>
  <c r="J27" i="9" s="1"/>
  <c r="M26" i="9"/>
  <c r="F26" i="9"/>
  <c r="G26" i="9" s="1"/>
  <c r="H26" i="9" s="1"/>
  <c r="M25" i="9"/>
  <c r="F25" i="9"/>
  <c r="M24" i="9"/>
  <c r="H24" i="9"/>
  <c r="F24" i="9"/>
  <c r="G24" i="9" s="1"/>
  <c r="M23" i="9"/>
  <c r="I23" i="9"/>
  <c r="J23" i="9" s="1"/>
  <c r="G23" i="9"/>
  <c r="H23" i="9" s="1"/>
  <c r="F23" i="9"/>
  <c r="M22" i="9"/>
  <c r="I22" i="9" s="1"/>
  <c r="J22" i="9"/>
  <c r="F22" i="9"/>
  <c r="G22" i="9" s="1"/>
  <c r="H22" i="9" s="1"/>
  <c r="M21" i="9"/>
  <c r="F21" i="9"/>
  <c r="M20" i="9"/>
  <c r="I20" i="9"/>
  <c r="J20" i="9" s="1"/>
  <c r="H20" i="9"/>
  <c r="F20" i="9"/>
  <c r="G20" i="9" s="1"/>
  <c r="M19" i="9"/>
  <c r="F19" i="9"/>
  <c r="I19" i="9" s="1"/>
  <c r="J19" i="9" s="1"/>
  <c r="M18" i="9"/>
  <c r="I18" i="9"/>
  <c r="J18" i="9" s="1"/>
  <c r="H18" i="9"/>
  <c r="F18" i="9"/>
  <c r="G18" i="9" s="1"/>
  <c r="M17" i="9"/>
  <c r="F17" i="9"/>
  <c r="I17" i="9" s="1"/>
  <c r="J17" i="9" s="1"/>
  <c r="M16" i="9"/>
  <c r="F16" i="9"/>
  <c r="M15" i="9"/>
  <c r="I15" i="9" s="1"/>
  <c r="J15" i="9" s="1"/>
  <c r="G15" i="9"/>
  <c r="H15" i="9" s="1"/>
  <c r="F15" i="9"/>
  <c r="M14" i="9"/>
  <c r="F14" i="9"/>
  <c r="G14" i="9" s="1"/>
  <c r="H14" i="9" s="1"/>
  <c r="M13" i="9"/>
  <c r="F13" i="9"/>
  <c r="I13" i="9" s="1"/>
  <c r="J13" i="9" s="1"/>
  <c r="M12" i="9"/>
  <c r="I12" i="9"/>
  <c r="J12" i="9" s="1"/>
  <c r="H12" i="9"/>
  <c r="F12" i="9"/>
  <c r="G12" i="9" s="1"/>
  <c r="M11" i="9"/>
  <c r="I11" i="9" s="1"/>
  <c r="J11" i="9"/>
  <c r="G11" i="9"/>
  <c r="H11" i="9" s="1"/>
  <c r="F11" i="9"/>
  <c r="M10" i="9"/>
  <c r="F10" i="9"/>
  <c r="M9" i="9"/>
  <c r="J9" i="9"/>
  <c r="I9" i="9"/>
  <c r="F9" i="9"/>
  <c r="G9" i="9" s="1"/>
  <c r="H9" i="9" s="1"/>
  <c r="M8" i="9"/>
  <c r="F8" i="9"/>
  <c r="G8" i="9" s="1"/>
  <c r="H8" i="9" s="1"/>
  <c r="M7" i="9"/>
  <c r="I7" i="9"/>
  <c r="J7" i="9" s="1"/>
  <c r="H7" i="9"/>
  <c r="G7" i="9"/>
  <c r="F7" i="9"/>
  <c r="M6" i="9"/>
  <c r="F6" i="9"/>
  <c r="G6" i="9" s="1"/>
  <c r="H6" i="9" s="1"/>
  <c r="M5" i="9"/>
  <c r="I5" i="9" s="1"/>
  <c r="J5" i="9" s="1"/>
  <c r="G5" i="9"/>
  <c r="H5" i="9" s="1"/>
  <c r="F5" i="9"/>
  <c r="M4" i="9"/>
  <c r="H4" i="9"/>
  <c r="F4" i="9"/>
  <c r="G4" i="9" s="1"/>
  <c r="M3" i="9"/>
  <c r="I3" i="9"/>
  <c r="J3" i="9" s="1"/>
  <c r="G3" i="9"/>
  <c r="H3" i="9" s="1"/>
  <c r="F3" i="9"/>
  <c r="I202" i="8"/>
  <c r="H202" i="8"/>
  <c r="F202" i="8"/>
  <c r="I201" i="8"/>
  <c r="H201" i="8"/>
  <c r="F201" i="8"/>
  <c r="I200" i="8"/>
  <c r="H200" i="8"/>
  <c r="F200" i="8"/>
  <c r="I199" i="8"/>
  <c r="H199" i="8"/>
  <c r="F199" i="8"/>
  <c r="I198" i="8"/>
  <c r="H198" i="8"/>
  <c r="F198" i="8"/>
  <c r="I197" i="8"/>
  <c r="H197" i="8"/>
  <c r="F197" i="8"/>
  <c r="I196" i="8"/>
  <c r="H196" i="8"/>
  <c r="F196" i="8"/>
  <c r="I195" i="8"/>
  <c r="H195" i="8"/>
  <c r="F195" i="8"/>
  <c r="I194" i="8"/>
  <c r="H194" i="8"/>
  <c r="F194" i="8"/>
  <c r="I193" i="8"/>
  <c r="H193" i="8"/>
  <c r="F193" i="8"/>
  <c r="I192" i="8"/>
  <c r="H192" i="8"/>
  <c r="F192" i="8"/>
  <c r="I191" i="8"/>
  <c r="H191" i="8"/>
  <c r="F191" i="8"/>
  <c r="I190" i="8"/>
  <c r="H190" i="8"/>
  <c r="F190" i="8"/>
  <c r="I189" i="8"/>
  <c r="H189" i="8"/>
  <c r="F189" i="8"/>
  <c r="I188" i="8"/>
  <c r="H188" i="8"/>
  <c r="F188" i="8"/>
  <c r="I187" i="8"/>
  <c r="H187" i="8"/>
  <c r="F187" i="8"/>
  <c r="I186" i="8"/>
  <c r="H186" i="8"/>
  <c r="F186" i="8"/>
  <c r="I185" i="8"/>
  <c r="H185" i="8"/>
  <c r="F185" i="8"/>
  <c r="I184" i="8"/>
  <c r="H184" i="8"/>
  <c r="F184" i="8"/>
  <c r="I183" i="8"/>
  <c r="H183" i="8"/>
  <c r="F183" i="8"/>
  <c r="I182" i="8"/>
  <c r="H182" i="8"/>
  <c r="F182" i="8"/>
  <c r="I181" i="8"/>
  <c r="H181" i="8"/>
  <c r="F181" i="8"/>
  <c r="I180" i="8"/>
  <c r="H180" i="8"/>
  <c r="F180" i="8"/>
  <c r="I179" i="8"/>
  <c r="H179" i="8"/>
  <c r="F179" i="8"/>
  <c r="I178" i="8"/>
  <c r="H178" i="8"/>
  <c r="F178" i="8"/>
  <c r="I177" i="8"/>
  <c r="H177" i="8"/>
  <c r="F177" i="8"/>
  <c r="I176" i="8"/>
  <c r="H176" i="8"/>
  <c r="F176" i="8"/>
  <c r="I175" i="8"/>
  <c r="H175" i="8"/>
  <c r="F175" i="8"/>
  <c r="I174" i="8"/>
  <c r="H174" i="8"/>
  <c r="F174" i="8"/>
  <c r="I173" i="8"/>
  <c r="H173" i="8"/>
  <c r="F173" i="8"/>
  <c r="I172" i="8"/>
  <c r="H172" i="8"/>
  <c r="F172" i="8"/>
  <c r="I171" i="8"/>
  <c r="H171" i="8"/>
  <c r="F171" i="8"/>
  <c r="I170" i="8"/>
  <c r="H170" i="8"/>
  <c r="F170" i="8"/>
  <c r="I169" i="8"/>
  <c r="H169" i="8"/>
  <c r="F169" i="8"/>
  <c r="I168" i="8"/>
  <c r="H168" i="8"/>
  <c r="F168" i="8"/>
  <c r="I167" i="8"/>
  <c r="H167" i="8"/>
  <c r="F167" i="8"/>
  <c r="I166" i="8"/>
  <c r="H166" i="8"/>
  <c r="F166" i="8"/>
  <c r="I165" i="8"/>
  <c r="H165" i="8"/>
  <c r="F165" i="8"/>
  <c r="I164" i="8"/>
  <c r="H164" i="8"/>
  <c r="F164" i="8"/>
  <c r="I163" i="8"/>
  <c r="H163" i="8"/>
  <c r="F163" i="8"/>
  <c r="I162" i="8"/>
  <c r="H162" i="8"/>
  <c r="F162" i="8"/>
  <c r="I161" i="8"/>
  <c r="H161" i="8"/>
  <c r="F161" i="8"/>
  <c r="I160" i="8"/>
  <c r="H160" i="8"/>
  <c r="F160" i="8"/>
  <c r="I159" i="8"/>
  <c r="H159" i="8"/>
  <c r="F159" i="8"/>
  <c r="I158" i="8"/>
  <c r="H158" i="8"/>
  <c r="F158" i="8"/>
  <c r="I157" i="8"/>
  <c r="H157" i="8"/>
  <c r="F157" i="8"/>
  <c r="I156" i="8"/>
  <c r="H156" i="8"/>
  <c r="F156" i="8"/>
  <c r="I155" i="8"/>
  <c r="H155" i="8"/>
  <c r="F155" i="8"/>
  <c r="I154" i="8"/>
  <c r="H154" i="8"/>
  <c r="F154" i="8"/>
  <c r="I153" i="8"/>
  <c r="H153" i="8"/>
  <c r="F153" i="8"/>
  <c r="I152" i="8"/>
  <c r="H152" i="8"/>
  <c r="F152" i="8"/>
  <c r="I151" i="8"/>
  <c r="H151" i="8"/>
  <c r="F151" i="8"/>
  <c r="I150" i="8"/>
  <c r="H150" i="8"/>
  <c r="F150" i="8"/>
  <c r="I149" i="8"/>
  <c r="H149" i="8"/>
  <c r="F149" i="8"/>
  <c r="I148" i="8"/>
  <c r="H148" i="8"/>
  <c r="F148" i="8"/>
  <c r="I147" i="8"/>
  <c r="H147" i="8"/>
  <c r="F147" i="8"/>
  <c r="I146" i="8"/>
  <c r="H146" i="8"/>
  <c r="F146" i="8"/>
  <c r="I145" i="8"/>
  <c r="H145" i="8"/>
  <c r="F145" i="8"/>
  <c r="I144" i="8"/>
  <c r="H144" i="8"/>
  <c r="F144" i="8"/>
  <c r="I143" i="8"/>
  <c r="H143" i="8"/>
  <c r="F143" i="8"/>
  <c r="I142" i="8"/>
  <c r="H142" i="8"/>
  <c r="F142" i="8"/>
  <c r="I141" i="8"/>
  <c r="H141" i="8"/>
  <c r="F141" i="8"/>
  <c r="I140" i="8"/>
  <c r="H140" i="8"/>
  <c r="F140" i="8"/>
  <c r="I139" i="8"/>
  <c r="H139" i="8"/>
  <c r="F139" i="8"/>
  <c r="I138" i="8"/>
  <c r="H138" i="8"/>
  <c r="F138" i="8"/>
  <c r="I137" i="8"/>
  <c r="H137" i="8"/>
  <c r="F137" i="8"/>
  <c r="I136" i="8"/>
  <c r="H136" i="8"/>
  <c r="F136" i="8"/>
  <c r="I135" i="8"/>
  <c r="H135" i="8"/>
  <c r="F135" i="8"/>
  <c r="I134" i="8"/>
  <c r="H134" i="8"/>
  <c r="F134" i="8"/>
  <c r="I133" i="8"/>
  <c r="H133" i="8"/>
  <c r="F133" i="8"/>
  <c r="I132" i="8"/>
  <c r="H132" i="8"/>
  <c r="F132" i="8"/>
  <c r="I131" i="8"/>
  <c r="H131" i="8"/>
  <c r="F131" i="8"/>
  <c r="I130" i="8"/>
  <c r="H130" i="8"/>
  <c r="F130" i="8"/>
  <c r="I129" i="8"/>
  <c r="H129" i="8"/>
  <c r="F129" i="8"/>
  <c r="I128" i="8"/>
  <c r="H128" i="8"/>
  <c r="F128" i="8"/>
  <c r="I127" i="8"/>
  <c r="H127" i="8"/>
  <c r="F127" i="8"/>
  <c r="I126" i="8"/>
  <c r="H126" i="8"/>
  <c r="F126" i="8"/>
  <c r="I125" i="8"/>
  <c r="H125" i="8"/>
  <c r="F125" i="8"/>
  <c r="I124" i="8"/>
  <c r="H124" i="8"/>
  <c r="F124" i="8"/>
  <c r="I123" i="8"/>
  <c r="H123" i="8"/>
  <c r="F123" i="8"/>
  <c r="I122" i="8"/>
  <c r="H122" i="8"/>
  <c r="F122" i="8"/>
  <c r="I121" i="8"/>
  <c r="H121" i="8"/>
  <c r="F121" i="8"/>
  <c r="I120" i="8"/>
  <c r="H120" i="8"/>
  <c r="F120" i="8"/>
  <c r="I119" i="8"/>
  <c r="H119" i="8"/>
  <c r="F119" i="8"/>
  <c r="I118" i="8"/>
  <c r="H118" i="8"/>
  <c r="F118" i="8"/>
  <c r="I117" i="8"/>
  <c r="H117" i="8"/>
  <c r="F117" i="8"/>
  <c r="I116" i="8"/>
  <c r="H116" i="8"/>
  <c r="F116" i="8"/>
  <c r="I115" i="8"/>
  <c r="H115" i="8"/>
  <c r="F115" i="8"/>
  <c r="I114" i="8"/>
  <c r="H114" i="8"/>
  <c r="F114" i="8"/>
  <c r="I113" i="8"/>
  <c r="H113" i="8"/>
  <c r="F113" i="8"/>
  <c r="I112" i="8"/>
  <c r="H112" i="8"/>
  <c r="F112" i="8"/>
  <c r="I111" i="8"/>
  <c r="H111" i="8"/>
  <c r="F111" i="8"/>
  <c r="I110" i="8"/>
  <c r="H110" i="8"/>
  <c r="F110" i="8"/>
  <c r="I109" i="8"/>
  <c r="H109" i="8"/>
  <c r="F109" i="8"/>
  <c r="I108" i="8"/>
  <c r="H108" i="8"/>
  <c r="F108" i="8"/>
  <c r="I107" i="8"/>
  <c r="H107" i="8"/>
  <c r="F107" i="8"/>
  <c r="I106" i="8"/>
  <c r="H106" i="8"/>
  <c r="F106" i="8"/>
  <c r="I105" i="8"/>
  <c r="H105" i="8"/>
  <c r="F105" i="8"/>
  <c r="I104" i="8"/>
  <c r="H104" i="8"/>
  <c r="F104" i="8"/>
  <c r="I103" i="8"/>
  <c r="H103" i="8"/>
  <c r="F103" i="8"/>
  <c r="I102" i="8"/>
  <c r="H102" i="8"/>
  <c r="F102" i="8"/>
  <c r="I101" i="8"/>
  <c r="H101" i="8"/>
  <c r="F101" i="8"/>
  <c r="I100" i="8"/>
  <c r="H100" i="8"/>
  <c r="F100" i="8"/>
  <c r="I99" i="8"/>
  <c r="H99" i="8"/>
  <c r="F99" i="8"/>
  <c r="I98" i="8"/>
  <c r="H98" i="8"/>
  <c r="F98" i="8"/>
  <c r="I97" i="8"/>
  <c r="H97" i="8"/>
  <c r="F97" i="8"/>
  <c r="I96" i="8"/>
  <c r="H96" i="8"/>
  <c r="F96" i="8"/>
  <c r="I95" i="8"/>
  <c r="H95" i="8"/>
  <c r="F95" i="8"/>
  <c r="I94" i="8"/>
  <c r="H94" i="8"/>
  <c r="F94" i="8"/>
  <c r="I93" i="8"/>
  <c r="H93" i="8"/>
  <c r="F93" i="8"/>
  <c r="I92" i="8"/>
  <c r="H92" i="8"/>
  <c r="F92" i="8"/>
  <c r="I91" i="8"/>
  <c r="H91" i="8"/>
  <c r="F91" i="8"/>
  <c r="I90" i="8"/>
  <c r="H90" i="8"/>
  <c r="F90" i="8"/>
  <c r="I89" i="8"/>
  <c r="H89" i="8"/>
  <c r="F89" i="8"/>
  <c r="I88" i="8"/>
  <c r="H88" i="8"/>
  <c r="F88" i="8"/>
  <c r="I87" i="8"/>
  <c r="H87" i="8"/>
  <c r="F87" i="8"/>
  <c r="I86" i="8"/>
  <c r="H86" i="8"/>
  <c r="F86" i="8"/>
  <c r="I85" i="8"/>
  <c r="H85" i="8"/>
  <c r="F85" i="8"/>
  <c r="I84" i="8"/>
  <c r="H84" i="8"/>
  <c r="F84" i="8"/>
  <c r="I83" i="8"/>
  <c r="H83" i="8"/>
  <c r="F83" i="8"/>
  <c r="I82" i="8"/>
  <c r="H82" i="8"/>
  <c r="F82" i="8"/>
  <c r="I81" i="8"/>
  <c r="H81" i="8"/>
  <c r="F81" i="8"/>
  <c r="I80" i="8"/>
  <c r="H80" i="8"/>
  <c r="F80" i="8"/>
  <c r="I79" i="8"/>
  <c r="H79" i="8"/>
  <c r="F79" i="8"/>
  <c r="I78" i="8"/>
  <c r="H78" i="8"/>
  <c r="F78" i="8"/>
  <c r="I77" i="8"/>
  <c r="H77" i="8"/>
  <c r="F77" i="8"/>
  <c r="I76" i="8"/>
  <c r="H76" i="8"/>
  <c r="F76" i="8"/>
  <c r="I75" i="8"/>
  <c r="H75" i="8"/>
  <c r="F75" i="8"/>
  <c r="I74" i="8"/>
  <c r="H74" i="8"/>
  <c r="F74" i="8"/>
  <c r="I73" i="8"/>
  <c r="H73" i="8"/>
  <c r="F73" i="8"/>
  <c r="I72" i="8"/>
  <c r="H72" i="8"/>
  <c r="F72" i="8"/>
  <c r="I71" i="8"/>
  <c r="H71" i="8"/>
  <c r="F71" i="8"/>
  <c r="I70" i="8"/>
  <c r="H70" i="8"/>
  <c r="F70" i="8"/>
  <c r="I69" i="8"/>
  <c r="H69" i="8"/>
  <c r="F69" i="8"/>
  <c r="I68" i="8"/>
  <c r="H68" i="8"/>
  <c r="F68" i="8"/>
  <c r="I67" i="8"/>
  <c r="H67" i="8"/>
  <c r="F67" i="8"/>
  <c r="I66" i="8"/>
  <c r="H66" i="8"/>
  <c r="F66" i="8"/>
  <c r="I65" i="8"/>
  <c r="H65" i="8"/>
  <c r="F65" i="8"/>
  <c r="I64" i="8"/>
  <c r="H64" i="8"/>
  <c r="F64" i="8"/>
  <c r="I63" i="8"/>
  <c r="H63" i="8"/>
  <c r="F63" i="8"/>
  <c r="I62" i="8"/>
  <c r="H62" i="8"/>
  <c r="F62" i="8"/>
  <c r="I61" i="8"/>
  <c r="H61" i="8"/>
  <c r="F61" i="8"/>
  <c r="I60" i="8"/>
  <c r="H60" i="8"/>
  <c r="F60" i="8"/>
  <c r="I59" i="8"/>
  <c r="H59" i="8"/>
  <c r="F59" i="8"/>
  <c r="I58" i="8"/>
  <c r="H58" i="8"/>
  <c r="F58" i="8"/>
  <c r="I57" i="8"/>
  <c r="H57" i="8"/>
  <c r="F57" i="8"/>
  <c r="I56" i="8"/>
  <c r="H56" i="8"/>
  <c r="F56" i="8"/>
  <c r="I55" i="8"/>
  <c r="H55" i="8"/>
  <c r="F55" i="8"/>
  <c r="I54" i="8"/>
  <c r="H54" i="8"/>
  <c r="F54" i="8"/>
  <c r="I53" i="8"/>
  <c r="H53" i="8"/>
  <c r="F53" i="8"/>
  <c r="I52" i="8"/>
  <c r="H52" i="8"/>
  <c r="F52" i="8"/>
  <c r="I51" i="8"/>
  <c r="H51" i="8"/>
  <c r="F51" i="8"/>
  <c r="I50" i="8"/>
  <c r="H50" i="8"/>
  <c r="F50" i="8"/>
  <c r="I49" i="8"/>
  <c r="H49" i="8"/>
  <c r="F49" i="8"/>
  <c r="I48" i="8"/>
  <c r="H48" i="8"/>
  <c r="F48" i="8"/>
  <c r="I47" i="8"/>
  <c r="H47" i="8"/>
  <c r="F47" i="8"/>
  <c r="I46" i="8"/>
  <c r="H46" i="8"/>
  <c r="F46" i="8"/>
  <c r="I45" i="8"/>
  <c r="H45" i="8"/>
  <c r="F45" i="8"/>
  <c r="I44" i="8"/>
  <c r="H44" i="8"/>
  <c r="F44" i="8"/>
  <c r="I43" i="8"/>
  <c r="H43" i="8"/>
  <c r="F43" i="8"/>
  <c r="I42" i="8"/>
  <c r="H42" i="8"/>
  <c r="F42" i="8"/>
  <c r="I41" i="8"/>
  <c r="H41" i="8"/>
  <c r="F41" i="8"/>
  <c r="I40" i="8"/>
  <c r="H40" i="8"/>
  <c r="F40" i="8"/>
  <c r="I39" i="8"/>
  <c r="H39" i="8"/>
  <c r="F39" i="8"/>
  <c r="I38" i="8"/>
  <c r="H38" i="8"/>
  <c r="F38" i="8"/>
  <c r="I37" i="8"/>
  <c r="H37" i="8"/>
  <c r="F37" i="8"/>
  <c r="I36" i="8"/>
  <c r="H36" i="8"/>
  <c r="F36" i="8"/>
  <c r="I35" i="8"/>
  <c r="H35" i="8"/>
  <c r="F35" i="8"/>
  <c r="I34" i="8"/>
  <c r="H34" i="8"/>
  <c r="F34" i="8"/>
  <c r="I33" i="8"/>
  <c r="H33" i="8"/>
  <c r="F33" i="8"/>
  <c r="I32" i="8"/>
  <c r="H32" i="8"/>
  <c r="F32" i="8"/>
  <c r="I31" i="8"/>
  <c r="H31" i="8"/>
  <c r="F31" i="8"/>
  <c r="I30" i="8"/>
  <c r="H30" i="8"/>
  <c r="F30" i="8"/>
  <c r="I29" i="8"/>
  <c r="H29" i="8"/>
  <c r="F29" i="8"/>
  <c r="I28" i="8"/>
  <c r="H28" i="8"/>
  <c r="F28" i="8"/>
  <c r="I27" i="8"/>
  <c r="H27" i="8"/>
  <c r="F27" i="8"/>
  <c r="I26" i="8"/>
  <c r="H26" i="8"/>
  <c r="F26" i="8"/>
  <c r="I25" i="8"/>
  <c r="H25" i="8"/>
  <c r="F25" i="8"/>
  <c r="I24" i="8"/>
  <c r="H24" i="8"/>
  <c r="F24" i="8"/>
  <c r="I23" i="8"/>
  <c r="H23" i="8"/>
  <c r="F23" i="8"/>
  <c r="I22" i="8"/>
  <c r="H22" i="8"/>
  <c r="F22" i="8"/>
  <c r="I21" i="8"/>
  <c r="H21" i="8"/>
  <c r="F21" i="8"/>
  <c r="I20" i="8"/>
  <c r="H20" i="8"/>
  <c r="F20" i="8"/>
  <c r="I19" i="8"/>
  <c r="H19" i="8"/>
  <c r="F19" i="8"/>
  <c r="I18" i="8"/>
  <c r="H18" i="8"/>
  <c r="F18" i="8"/>
  <c r="I17" i="8"/>
  <c r="H17" i="8"/>
  <c r="F17" i="8"/>
  <c r="I16" i="8"/>
  <c r="H16" i="8"/>
  <c r="F16" i="8"/>
  <c r="I15" i="8"/>
  <c r="H15" i="8"/>
  <c r="F15" i="8"/>
  <c r="I14" i="8"/>
  <c r="H14" i="8"/>
  <c r="F14" i="8"/>
  <c r="I13" i="8"/>
  <c r="H13" i="8"/>
  <c r="F13" i="8"/>
  <c r="I12" i="8"/>
  <c r="H12" i="8"/>
  <c r="F12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I5" i="8"/>
  <c r="H5" i="8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F5" i="8"/>
  <c r="I4" i="8"/>
  <c r="H4" i="8"/>
  <c r="F4" i="8"/>
  <c r="I3" i="8"/>
  <c r="H3" i="8"/>
  <c r="F3" i="8"/>
  <c r="G3" i="8" s="1"/>
  <c r="G4" i="8" s="1"/>
  <c r="Q14" i="7"/>
  <c r="P14" i="7"/>
  <c r="O14" i="7"/>
  <c r="L14" i="7"/>
  <c r="K14" i="7"/>
  <c r="J14" i="7"/>
  <c r="Q13" i="7"/>
  <c r="P13" i="7"/>
  <c r="O13" i="7"/>
  <c r="L13" i="7"/>
  <c r="K13" i="7"/>
  <c r="J13" i="7"/>
  <c r="Q12" i="7"/>
  <c r="P12" i="7"/>
  <c r="O12" i="7"/>
  <c r="L12" i="7"/>
  <c r="K12" i="7"/>
  <c r="J12" i="7"/>
  <c r="Q11" i="7"/>
  <c r="P11" i="7"/>
  <c r="O11" i="7"/>
  <c r="L11" i="7"/>
  <c r="K11" i="7"/>
  <c r="J11" i="7"/>
  <c r="Q10" i="7"/>
  <c r="P10" i="7"/>
  <c r="O10" i="7"/>
  <c r="L10" i="7"/>
  <c r="K10" i="7"/>
  <c r="J10" i="7"/>
  <c r="Q9" i="7"/>
  <c r="P9" i="7"/>
  <c r="O9" i="7"/>
  <c r="L9" i="7"/>
  <c r="K9" i="7"/>
  <c r="J9" i="7"/>
  <c r="Q8" i="7"/>
  <c r="P8" i="7"/>
  <c r="O8" i="7"/>
  <c r="L8" i="7"/>
  <c r="K8" i="7"/>
  <c r="J8" i="7"/>
  <c r="Q7" i="7"/>
  <c r="P7" i="7"/>
  <c r="O7" i="7"/>
  <c r="L7" i="7"/>
  <c r="K7" i="7"/>
  <c r="J7" i="7"/>
  <c r="Q6" i="7"/>
  <c r="P6" i="7"/>
  <c r="O6" i="7"/>
  <c r="L6" i="7"/>
  <c r="K6" i="7"/>
  <c r="J6" i="7"/>
  <c r="Q5" i="7"/>
  <c r="P5" i="7"/>
  <c r="O5" i="7"/>
  <c r="L5" i="7"/>
  <c r="K5" i="7"/>
  <c r="J5" i="7"/>
  <c r="Q4" i="7"/>
  <c r="P4" i="7"/>
  <c r="O4" i="7"/>
  <c r="L4" i="7"/>
  <c r="K4" i="7"/>
  <c r="J4" i="7"/>
  <c r="Q3" i="7"/>
  <c r="P3" i="7"/>
  <c r="O3" i="7"/>
  <c r="L3" i="7"/>
  <c r="K3" i="7"/>
  <c r="J3" i="7"/>
  <c r="R202" i="6"/>
  <c r="O202" i="6"/>
  <c r="G202" i="6"/>
  <c r="R201" i="6"/>
  <c r="O201" i="6"/>
  <c r="G201" i="6"/>
  <c r="R200" i="6"/>
  <c r="O200" i="6"/>
  <c r="G200" i="6"/>
  <c r="O199" i="6"/>
  <c r="R199" i="6" s="1"/>
  <c r="G199" i="6"/>
  <c r="R198" i="6"/>
  <c r="O198" i="6"/>
  <c r="G198" i="6"/>
  <c r="R197" i="6"/>
  <c r="O197" i="6"/>
  <c r="G197" i="6"/>
  <c r="R196" i="6"/>
  <c r="O196" i="6"/>
  <c r="G196" i="6"/>
  <c r="O195" i="6"/>
  <c r="R195" i="6" s="1"/>
  <c r="G195" i="6"/>
  <c r="R194" i="6"/>
  <c r="O194" i="6"/>
  <c r="G194" i="6"/>
  <c r="R193" i="6"/>
  <c r="O193" i="6"/>
  <c r="G193" i="6"/>
  <c r="R192" i="6"/>
  <c r="O192" i="6"/>
  <c r="G192" i="6"/>
  <c r="O191" i="6"/>
  <c r="R191" i="6" s="1"/>
  <c r="G191" i="6"/>
  <c r="R190" i="6"/>
  <c r="O190" i="6"/>
  <c r="G190" i="6"/>
  <c r="R189" i="6"/>
  <c r="O189" i="6"/>
  <c r="G189" i="6"/>
  <c r="R188" i="6"/>
  <c r="O188" i="6"/>
  <c r="G188" i="6"/>
  <c r="O187" i="6"/>
  <c r="R187" i="6" s="1"/>
  <c r="G187" i="6"/>
  <c r="R186" i="6"/>
  <c r="O186" i="6"/>
  <c r="G186" i="6"/>
  <c r="R185" i="6"/>
  <c r="O185" i="6"/>
  <c r="G185" i="6"/>
  <c r="R184" i="6"/>
  <c r="O184" i="6"/>
  <c r="G184" i="6"/>
  <c r="O183" i="6"/>
  <c r="R183" i="6" s="1"/>
  <c r="G183" i="6"/>
  <c r="R182" i="6"/>
  <c r="O182" i="6"/>
  <c r="G182" i="6"/>
  <c r="R181" i="6"/>
  <c r="O181" i="6"/>
  <c r="G181" i="6"/>
  <c r="R180" i="6"/>
  <c r="O180" i="6"/>
  <c r="G180" i="6"/>
  <c r="O179" i="6"/>
  <c r="R179" i="6" s="1"/>
  <c r="G179" i="6"/>
  <c r="R178" i="6"/>
  <c r="O178" i="6"/>
  <c r="G178" i="6"/>
  <c r="R177" i="6"/>
  <c r="O177" i="6"/>
  <c r="G177" i="6"/>
  <c r="R176" i="6"/>
  <c r="O176" i="6"/>
  <c r="G176" i="6"/>
  <c r="O175" i="6"/>
  <c r="R175" i="6" s="1"/>
  <c r="G175" i="6"/>
  <c r="R174" i="6"/>
  <c r="O174" i="6"/>
  <c r="G174" i="6"/>
  <c r="R173" i="6"/>
  <c r="O173" i="6"/>
  <c r="G173" i="6"/>
  <c r="R172" i="6"/>
  <c r="O172" i="6"/>
  <c r="G172" i="6"/>
  <c r="O171" i="6"/>
  <c r="R171" i="6" s="1"/>
  <c r="G171" i="6"/>
  <c r="R170" i="6"/>
  <c r="O170" i="6"/>
  <c r="G170" i="6"/>
  <c r="R169" i="6"/>
  <c r="O169" i="6"/>
  <c r="G169" i="6"/>
  <c r="R168" i="6"/>
  <c r="O168" i="6"/>
  <c r="G168" i="6"/>
  <c r="O167" i="6"/>
  <c r="R167" i="6" s="1"/>
  <c r="G167" i="6"/>
  <c r="R166" i="6"/>
  <c r="O166" i="6"/>
  <c r="G166" i="6"/>
  <c r="R165" i="6"/>
  <c r="O165" i="6"/>
  <c r="G165" i="6"/>
  <c r="R164" i="6"/>
  <c r="O164" i="6"/>
  <c r="G164" i="6"/>
  <c r="O163" i="6"/>
  <c r="R163" i="6" s="1"/>
  <c r="G163" i="6"/>
  <c r="R162" i="6"/>
  <c r="O162" i="6"/>
  <c r="G162" i="6"/>
  <c r="R161" i="6"/>
  <c r="O161" i="6"/>
  <c r="G161" i="6"/>
  <c r="R160" i="6"/>
  <c r="O160" i="6"/>
  <c r="G160" i="6"/>
  <c r="O159" i="6"/>
  <c r="R159" i="6" s="1"/>
  <c r="G159" i="6"/>
  <c r="R158" i="6"/>
  <c r="O158" i="6"/>
  <c r="G158" i="6"/>
  <c r="R157" i="6"/>
  <c r="O157" i="6"/>
  <c r="G157" i="6"/>
  <c r="R156" i="6"/>
  <c r="O156" i="6"/>
  <c r="G156" i="6"/>
  <c r="O155" i="6"/>
  <c r="R155" i="6" s="1"/>
  <c r="G155" i="6"/>
  <c r="R154" i="6"/>
  <c r="O154" i="6"/>
  <c r="G154" i="6"/>
  <c r="R153" i="6"/>
  <c r="O153" i="6"/>
  <c r="G153" i="6"/>
  <c r="R152" i="6"/>
  <c r="O152" i="6"/>
  <c r="G152" i="6"/>
  <c r="O151" i="6"/>
  <c r="R151" i="6" s="1"/>
  <c r="G151" i="6"/>
  <c r="R150" i="6"/>
  <c r="O150" i="6"/>
  <c r="G150" i="6"/>
  <c r="R149" i="6"/>
  <c r="O149" i="6"/>
  <c r="G149" i="6"/>
  <c r="R148" i="6"/>
  <c r="O148" i="6"/>
  <c r="G148" i="6"/>
  <c r="O147" i="6"/>
  <c r="R147" i="6" s="1"/>
  <c r="G147" i="6"/>
  <c r="R146" i="6"/>
  <c r="O146" i="6"/>
  <c r="G146" i="6"/>
  <c r="R145" i="6"/>
  <c r="O145" i="6"/>
  <c r="G145" i="6"/>
  <c r="R144" i="6"/>
  <c r="O144" i="6"/>
  <c r="G144" i="6"/>
  <c r="O143" i="6"/>
  <c r="R143" i="6" s="1"/>
  <c r="G143" i="6"/>
  <c r="R142" i="6"/>
  <c r="O142" i="6"/>
  <c r="G142" i="6"/>
  <c r="R141" i="6"/>
  <c r="O141" i="6"/>
  <c r="G141" i="6"/>
  <c r="R140" i="6"/>
  <c r="O140" i="6"/>
  <c r="G140" i="6"/>
  <c r="O139" i="6"/>
  <c r="R139" i="6" s="1"/>
  <c r="G139" i="6"/>
  <c r="R138" i="6"/>
  <c r="O138" i="6"/>
  <c r="G138" i="6"/>
  <c r="R137" i="6"/>
  <c r="O137" i="6"/>
  <c r="G137" i="6"/>
  <c r="R136" i="6"/>
  <c r="O136" i="6"/>
  <c r="G136" i="6"/>
  <c r="O135" i="6"/>
  <c r="R135" i="6" s="1"/>
  <c r="G135" i="6"/>
  <c r="R134" i="6"/>
  <c r="O134" i="6"/>
  <c r="G134" i="6"/>
  <c r="R133" i="6"/>
  <c r="O133" i="6"/>
  <c r="G133" i="6"/>
  <c r="R132" i="6"/>
  <c r="O132" i="6"/>
  <c r="G132" i="6"/>
  <c r="O131" i="6"/>
  <c r="R131" i="6" s="1"/>
  <c r="G131" i="6"/>
  <c r="R130" i="6"/>
  <c r="O130" i="6"/>
  <c r="G130" i="6"/>
  <c r="R129" i="6"/>
  <c r="O129" i="6"/>
  <c r="G129" i="6"/>
  <c r="R128" i="6"/>
  <c r="O128" i="6"/>
  <c r="G128" i="6"/>
  <c r="O127" i="6"/>
  <c r="R127" i="6" s="1"/>
  <c r="G127" i="6"/>
  <c r="R126" i="6"/>
  <c r="O126" i="6"/>
  <c r="G126" i="6"/>
  <c r="R125" i="6"/>
  <c r="O125" i="6"/>
  <c r="G125" i="6"/>
  <c r="R124" i="6"/>
  <c r="O124" i="6"/>
  <c r="G124" i="6"/>
  <c r="O123" i="6"/>
  <c r="R123" i="6" s="1"/>
  <c r="G123" i="6"/>
  <c r="R122" i="6"/>
  <c r="O122" i="6"/>
  <c r="G122" i="6"/>
  <c r="R121" i="6"/>
  <c r="O121" i="6"/>
  <c r="G121" i="6"/>
  <c r="R120" i="6"/>
  <c r="O120" i="6"/>
  <c r="G120" i="6"/>
  <c r="O119" i="6"/>
  <c r="R119" i="6" s="1"/>
  <c r="G119" i="6"/>
  <c r="R118" i="6"/>
  <c r="O118" i="6"/>
  <c r="G118" i="6"/>
  <c r="R117" i="6"/>
  <c r="O117" i="6"/>
  <c r="G117" i="6"/>
  <c r="R116" i="6"/>
  <c r="O116" i="6"/>
  <c r="G116" i="6"/>
  <c r="O115" i="6"/>
  <c r="R115" i="6" s="1"/>
  <c r="G115" i="6"/>
  <c r="R114" i="6"/>
  <c r="O114" i="6"/>
  <c r="G114" i="6"/>
  <c r="R113" i="6"/>
  <c r="O113" i="6"/>
  <c r="G113" i="6"/>
  <c r="R112" i="6"/>
  <c r="O112" i="6"/>
  <c r="G112" i="6"/>
  <c r="O111" i="6"/>
  <c r="R111" i="6" s="1"/>
  <c r="G111" i="6"/>
  <c r="R110" i="6"/>
  <c r="O110" i="6"/>
  <c r="G110" i="6"/>
  <c r="R109" i="6"/>
  <c r="O109" i="6"/>
  <c r="G109" i="6"/>
  <c r="R108" i="6"/>
  <c r="O108" i="6"/>
  <c r="G108" i="6"/>
  <c r="O107" i="6"/>
  <c r="R107" i="6" s="1"/>
  <c r="G107" i="6"/>
  <c r="R106" i="6"/>
  <c r="O106" i="6"/>
  <c r="G106" i="6"/>
  <c r="R105" i="6"/>
  <c r="O105" i="6"/>
  <c r="G105" i="6"/>
  <c r="R104" i="6"/>
  <c r="O104" i="6"/>
  <c r="G104" i="6"/>
  <c r="O103" i="6"/>
  <c r="R103" i="6" s="1"/>
  <c r="G103" i="6"/>
  <c r="R102" i="6"/>
  <c r="O102" i="6"/>
  <c r="G102" i="6"/>
  <c r="R101" i="6"/>
  <c r="O101" i="6"/>
  <c r="G101" i="6"/>
  <c r="R100" i="6"/>
  <c r="O100" i="6"/>
  <c r="G100" i="6"/>
  <c r="O99" i="6"/>
  <c r="R99" i="6" s="1"/>
  <c r="G99" i="6"/>
  <c r="R98" i="6"/>
  <c r="O98" i="6"/>
  <c r="G98" i="6"/>
  <c r="R97" i="6"/>
  <c r="O97" i="6"/>
  <c r="G97" i="6"/>
  <c r="R96" i="6"/>
  <c r="O96" i="6"/>
  <c r="G96" i="6"/>
  <c r="O95" i="6"/>
  <c r="R95" i="6" s="1"/>
  <c r="G95" i="6"/>
  <c r="R94" i="6"/>
  <c r="O94" i="6"/>
  <c r="G94" i="6"/>
  <c r="R93" i="6"/>
  <c r="O93" i="6"/>
  <c r="G93" i="6"/>
  <c r="R92" i="6"/>
  <c r="O92" i="6"/>
  <c r="G92" i="6"/>
  <c r="O91" i="6"/>
  <c r="R91" i="6" s="1"/>
  <c r="G91" i="6"/>
  <c r="R90" i="6"/>
  <c r="O90" i="6"/>
  <c r="G90" i="6"/>
  <c r="R89" i="6"/>
  <c r="O89" i="6"/>
  <c r="G89" i="6"/>
  <c r="R88" i="6"/>
  <c r="O88" i="6"/>
  <c r="G88" i="6"/>
  <c r="O87" i="6"/>
  <c r="R87" i="6" s="1"/>
  <c r="G87" i="6"/>
  <c r="R86" i="6"/>
  <c r="O86" i="6"/>
  <c r="G86" i="6"/>
  <c r="R85" i="6"/>
  <c r="O85" i="6"/>
  <c r="G85" i="6"/>
  <c r="R84" i="6"/>
  <c r="O84" i="6"/>
  <c r="G84" i="6"/>
  <c r="O83" i="6"/>
  <c r="R83" i="6" s="1"/>
  <c r="G83" i="6"/>
  <c r="R82" i="6"/>
  <c r="O82" i="6"/>
  <c r="G82" i="6"/>
  <c r="R81" i="6"/>
  <c r="O81" i="6"/>
  <c r="G81" i="6"/>
  <c r="R80" i="6"/>
  <c r="O80" i="6"/>
  <c r="G80" i="6"/>
  <c r="O79" i="6"/>
  <c r="R79" i="6" s="1"/>
  <c r="G79" i="6"/>
  <c r="R78" i="6"/>
  <c r="O78" i="6"/>
  <c r="G78" i="6"/>
  <c r="R77" i="6"/>
  <c r="O77" i="6"/>
  <c r="G77" i="6"/>
  <c r="R76" i="6"/>
  <c r="O76" i="6"/>
  <c r="G76" i="6"/>
  <c r="O75" i="6"/>
  <c r="R75" i="6" s="1"/>
  <c r="G75" i="6"/>
  <c r="R74" i="6"/>
  <c r="O74" i="6"/>
  <c r="G74" i="6"/>
  <c r="R73" i="6"/>
  <c r="O73" i="6"/>
  <c r="G73" i="6"/>
  <c r="R72" i="6"/>
  <c r="O72" i="6"/>
  <c r="G72" i="6"/>
  <c r="O71" i="6"/>
  <c r="R71" i="6" s="1"/>
  <c r="G71" i="6"/>
  <c r="R70" i="6"/>
  <c r="O70" i="6"/>
  <c r="G70" i="6"/>
  <c r="R69" i="6"/>
  <c r="O69" i="6"/>
  <c r="G69" i="6"/>
  <c r="R68" i="6"/>
  <c r="O68" i="6"/>
  <c r="G68" i="6"/>
  <c r="O67" i="6"/>
  <c r="R67" i="6" s="1"/>
  <c r="G67" i="6"/>
  <c r="R66" i="6"/>
  <c r="O66" i="6"/>
  <c r="G66" i="6"/>
  <c r="R65" i="6"/>
  <c r="O65" i="6"/>
  <c r="G65" i="6"/>
  <c r="R64" i="6"/>
  <c r="O64" i="6"/>
  <c r="G64" i="6"/>
  <c r="O63" i="6"/>
  <c r="R63" i="6" s="1"/>
  <c r="G63" i="6"/>
  <c r="R62" i="6"/>
  <c r="O62" i="6"/>
  <c r="G62" i="6"/>
  <c r="R61" i="6"/>
  <c r="O61" i="6"/>
  <c r="G61" i="6"/>
  <c r="R60" i="6"/>
  <c r="O60" i="6"/>
  <c r="G60" i="6"/>
  <c r="O59" i="6"/>
  <c r="R59" i="6" s="1"/>
  <c r="G59" i="6"/>
  <c r="R58" i="6"/>
  <c r="O58" i="6"/>
  <c r="G58" i="6"/>
  <c r="R57" i="6"/>
  <c r="O57" i="6"/>
  <c r="G57" i="6"/>
  <c r="R56" i="6"/>
  <c r="O56" i="6"/>
  <c r="G56" i="6"/>
  <c r="O55" i="6"/>
  <c r="R55" i="6" s="1"/>
  <c r="G55" i="6"/>
  <c r="R54" i="6"/>
  <c r="O54" i="6"/>
  <c r="G54" i="6"/>
  <c r="R53" i="6"/>
  <c r="O53" i="6"/>
  <c r="G53" i="6"/>
  <c r="R52" i="6"/>
  <c r="O52" i="6"/>
  <c r="G52" i="6"/>
  <c r="O51" i="6"/>
  <c r="R51" i="6" s="1"/>
  <c r="G51" i="6"/>
  <c r="R50" i="6"/>
  <c r="O50" i="6"/>
  <c r="G50" i="6"/>
  <c r="R49" i="6"/>
  <c r="O49" i="6"/>
  <c r="G49" i="6"/>
  <c r="R48" i="6"/>
  <c r="O48" i="6"/>
  <c r="G48" i="6"/>
  <c r="O47" i="6"/>
  <c r="R47" i="6" s="1"/>
  <c r="G47" i="6"/>
  <c r="R46" i="6"/>
  <c r="O46" i="6"/>
  <c r="G46" i="6"/>
  <c r="R45" i="6"/>
  <c r="O45" i="6"/>
  <c r="G45" i="6"/>
  <c r="R44" i="6"/>
  <c r="O44" i="6"/>
  <c r="G44" i="6"/>
  <c r="O43" i="6"/>
  <c r="R43" i="6" s="1"/>
  <c r="G43" i="6"/>
  <c r="R42" i="6"/>
  <c r="O42" i="6"/>
  <c r="G42" i="6"/>
  <c r="R41" i="6"/>
  <c r="O41" i="6"/>
  <c r="G41" i="6"/>
  <c r="R40" i="6"/>
  <c r="O40" i="6"/>
  <c r="G40" i="6"/>
  <c r="O39" i="6"/>
  <c r="R39" i="6" s="1"/>
  <c r="G39" i="6"/>
  <c r="R38" i="6"/>
  <c r="O38" i="6"/>
  <c r="G38" i="6"/>
  <c r="R37" i="6"/>
  <c r="O37" i="6"/>
  <c r="G37" i="6"/>
  <c r="R36" i="6"/>
  <c r="O36" i="6"/>
  <c r="G36" i="6"/>
  <c r="O35" i="6"/>
  <c r="R35" i="6" s="1"/>
  <c r="G35" i="6"/>
  <c r="R34" i="6"/>
  <c r="O34" i="6"/>
  <c r="G34" i="6"/>
  <c r="R33" i="6"/>
  <c r="O33" i="6"/>
  <c r="G33" i="6"/>
  <c r="R32" i="6"/>
  <c r="O32" i="6"/>
  <c r="G32" i="6"/>
  <c r="O31" i="6"/>
  <c r="R31" i="6" s="1"/>
  <c r="G31" i="6"/>
  <c r="R30" i="6"/>
  <c r="O30" i="6"/>
  <c r="G30" i="6"/>
  <c r="R29" i="6"/>
  <c r="O29" i="6"/>
  <c r="G29" i="6"/>
  <c r="R28" i="6"/>
  <c r="O28" i="6"/>
  <c r="G28" i="6"/>
  <c r="O27" i="6"/>
  <c r="R27" i="6" s="1"/>
  <c r="G27" i="6"/>
  <c r="R26" i="6"/>
  <c r="O26" i="6"/>
  <c r="G26" i="6"/>
  <c r="R25" i="6"/>
  <c r="O25" i="6"/>
  <c r="G25" i="6"/>
  <c r="R24" i="6"/>
  <c r="O24" i="6"/>
  <c r="G24" i="6"/>
  <c r="O23" i="6"/>
  <c r="R23" i="6" s="1"/>
  <c r="G23" i="6"/>
  <c r="R22" i="6"/>
  <c r="O22" i="6"/>
  <c r="G22" i="6"/>
  <c r="R21" i="6"/>
  <c r="O21" i="6"/>
  <c r="G21" i="6"/>
  <c r="R20" i="6"/>
  <c r="O20" i="6"/>
  <c r="G20" i="6"/>
  <c r="O19" i="6"/>
  <c r="R19" i="6" s="1"/>
  <c r="G19" i="6"/>
  <c r="R18" i="6"/>
  <c r="O18" i="6"/>
  <c r="G18" i="6"/>
  <c r="R17" i="6"/>
  <c r="O17" i="6"/>
  <c r="G17" i="6"/>
  <c r="R16" i="6"/>
  <c r="O16" i="6"/>
  <c r="G16" i="6"/>
  <c r="O15" i="6"/>
  <c r="R15" i="6" s="1"/>
  <c r="G15" i="6"/>
  <c r="R14" i="6"/>
  <c r="O14" i="6"/>
  <c r="G14" i="6"/>
  <c r="R13" i="6"/>
  <c r="O13" i="6"/>
  <c r="G13" i="6"/>
  <c r="R12" i="6"/>
  <c r="O12" i="6"/>
  <c r="G12" i="6"/>
  <c r="O11" i="6"/>
  <c r="R11" i="6" s="1"/>
  <c r="G11" i="6"/>
  <c r="R10" i="6"/>
  <c r="O10" i="6"/>
  <c r="G10" i="6"/>
  <c r="R9" i="6"/>
  <c r="O9" i="6"/>
  <c r="G9" i="6"/>
  <c r="R8" i="6"/>
  <c r="O8" i="6"/>
  <c r="G8" i="6"/>
  <c r="O7" i="6"/>
  <c r="R7" i="6" s="1"/>
  <c r="G7" i="6"/>
  <c r="R6" i="6"/>
  <c r="O6" i="6"/>
  <c r="G6" i="6"/>
  <c r="R5" i="6"/>
  <c r="O5" i="6"/>
  <c r="G5" i="6"/>
  <c r="R4" i="6"/>
  <c r="O4" i="6"/>
  <c r="G4" i="6"/>
  <c r="O3" i="6"/>
  <c r="R3" i="6" s="1"/>
  <c r="G3" i="6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J33" i="3"/>
  <c r="D33" i="3"/>
  <c r="J32" i="3"/>
  <c r="O32" i="3" s="1"/>
  <c r="N31" i="3"/>
  <c r="L31" i="3"/>
  <c r="J31" i="3"/>
  <c r="O31" i="3" s="1"/>
  <c r="D31" i="3"/>
  <c r="J29" i="3"/>
  <c r="D29" i="3"/>
  <c r="J27" i="3"/>
  <c r="O27" i="3" s="1"/>
  <c r="D27" i="3"/>
  <c r="O26" i="3"/>
  <c r="J26" i="3"/>
  <c r="N26" i="3" s="1"/>
  <c r="D26" i="3"/>
  <c r="L25" i="3"/>
  <c r="J24" i="3"/>
  <c r="L23" i="3"/>
  <c r="J23" i="3"/>
  <c r="N23" i="3" s="1"/>
  <c r="D23" i="3"/>
  <c r="L22" i="3"/>
  <c r="J22" i="3"/>
  <c r="O22" i="3" s="1"/>
  <c r="D22" i="3"/>
  <c r="N21" i="3"/>
  <c r="L21" i="3"/>
  <c r="J21" i="3"/>
  <c r="O21" i="3" s="1"/>
  <c r="D21" i="3"/>
  <c r="O20" i="3"/>
  <c r="N20" i="3"/>
  <c r="J20" i="3"/>
  <c r="O19" i="3"/>
  <c r="N19" i="3"/>
  <c r="L18" i="3"/>
  <c r="D18" i="3"/>
  <c r="L17" i="3"/>
  <c r="L16" i="3"/>
  <c r="J16" i="3"/>
  <c r="O15" i="3"/>
  <c r="N15" i="3"/>
  <c r="D15" i="3"/>
  <c r="O14" i="3"/>
  <c r="N14" i="3"/>
  <c r="L14" i="3"/>
  <c r="D14" i="3"/>
  <c r="J12" i="3"/>
  <c r="N12" i="3" s="1"/>
  <c r="O11" i="3"/>
  <c r="L11" i="3"/>
  <c r="J11" i="3"/>
  <c r="N11" i="3" s="1"/>
  <c r="D11" i="3"/>
  <c r="O10" i="3"/>
  <c r="N10" i="3"/>
  <c r="L10" i="3"/>
  <c r="L8" i="3"/>
  <c r="D8" i="3"/>
  <c r="L7" i="3"/>
  <c r="J7" i="3"/>
  <c r="N7" i="3" s="1"/>
  <c r="D7" i="3"/>
  <c r="O6" i="3"/>
  <c r="L6" i="3"/>
  <c r="J6" i="3"/>
  <c r="N6" i="3" s="1"/>
  <c r="D6" i="3"/>
  <c r="J5" i="3"/>
  <c r="D5" i="3"/>
  <c r="O4" i="3"/>
  <c r="N4" i="3"/>
  <c r="L4" i="3"/>
  <c r="J4" i="3"/>
  <c r="D4" i="3"/>
  <c r="G27" i="9" l="1"/>
  <c r="H27" i="9" s="1"/>
  <c r="O7" i="3"/>
  <c r="O23" i="3"/>
  <c r="O29" i="3"/>
  <c r="N29" i="3"/>
  <c r="G16" i="9"/>
  <c r="H16" i="9" s="1"/>
  <c r="I16" i="9"/>
  <c r="J16" i="9" s="1"/>
  <c r="I38" i="9"/>
  <c r="J38" i="9" s="1"/>
  <c r="G109" i="9"/>
  <c r="H109" i="9" s="1"/>
  <c r="W30" i="20"/>
  <c r="V30" i="20"/>
  <c r="U30" i="20"/>
  <c r="T30" i="20"/>
  <c r="G10" i="9"/>
  <c r="H10" i="9" s="1"/>
  <c r="I10" i="9"/>
  <c r="J10" i="9" s="1"/>
  <c r="G89" i="9"/>
  <c r="H89" i="9" s="1"/>
  <c r="I89" i="9"/>
  <c r="J89" i="9" s="1"/>
  <c r="I14" i="9"/>
  <c r="J14" i="9" s="1"/>
  <c r="G75" i="9"/>
  <c r="H75" i="9" s="1"/>
  <c r="I45" i="9"/>
  <c r="J45" i="9" s="1"/>
  <c r="G45" i="9"/>
  <c r="H45" i="9" s="1"/>
  <c r="I176" i="9"/>
  <c r="J176" i="9" s="1"/>
  <c r="G176" i="9"/>
  <c r="H176" i="9" s="1"/>
  <c r="I192" i="9"/>
  <c r="J192" i="9" s="1"/>
  <c r="G192" i="9"/>
  <c r="H192" i="9" s="1"/>
  <c r="I86" i="9"/>
  <c r="J86" i="9" s="1"/>
  <c r="G86" i="9"/>
  <c r="H86" i="9" s="1"/>
  <c r="G64" i="9"/>
  <c r="H64" i="9" s="1"/>
  <c r="I64" i="9"/>
  <c r="J64" i="9" s="1"/>
  <c r="I91" i="9"/>
  <c r="J91" i="9" s="1"/>
  <c r="G91" i="9"/>
  <c r="H91" i="9" s="1"/>
  <c r="I134" i="9"/>
  <c r="J134" i="9" s="1"/>
  <c r="G134" i="9"/>
  <c r="H134" i="9" s="1"/>
  <c r="O16" i="3"/>
  <c r="N16" i="3"/>
  <c r="S23" i="20"/>
  <c r="O5" i="3"/>
  <c r="N5" i="3"/>
  <c r="O12" i="3"/>
  <c r="G69" i="9"/>
  <c r="H69" i="9" s="1"/>
  <c r="I69" i="9"/>
  <c r="J69" i="9" s="1"/>
  <c r="I73" i="9"/>
  <c r="J73" i="9" s="1"/>
  <c r="G73" i="9"/>
  <c r="H73" i="9" s="1"/>
  <c r="I107" i="9"/>
  <c r="J107" i="9" s="1"/>
  <c r="G107" i="9"/>
  <c r="H107" i="9" s="1"/>
  <c r="S17" i="20"/>
  <c r="G34" i="9"/>
  <c r="H34" i="9" s="1"/>
  <c r="I34" i="9"/>
  <c r="J34" i="9" s="1"/>
  <c r="G58" i="9"/>
  <c r="H58" i="9" s="1"/>
  <c r="I58" i="9"/>
  <c r="J58" i="9" s="1"/>
  <c r="I100" i="9"/>
  <c r="J100" i="9" s="1"/>
  <c r="G100" i="9"/>
  <c r="H100" i="9" s="1"/>
  <c r="I146" i="9"/>
  <c r="J146" i="9" s="1"/>
  <c r="G146" i="9"/>
  <c r="H146" i="9" s="1"/>
  <c r="V11" i="20"/>
  <c r="U11" i="20"/>
  <c r="I164" i="9"/>
  <c r="J164" i="9" s="1"/>
  <c r="G164" i="9"/>
  <c r="H164" i="9" s="1"/>
  <c r="G82" i="9"/>
  <c r="H82" i="9" s="1"/>
  <c r="I82" i="9"/>
  <c r="J82" i="9" s="1"/>
  <c r="I49" i="9"/>
  <c r="J49" i="9" s="1"/>
  <c r="G49" i="9"/>
  <c r="H49" i="9" s="1"/>
  <c r="I98" i="9"/>
  <c r="J98" i="9" s="1"/>
  <c r="G98" i="9"/>
  <c r="H98" i="9" s="1"/>
  <c r="G116" i="9"/>
  <c r="H116" i="9" s="1"/>
  <c r="I128" i="9"/>
  <c r="J128" i="9" s="1"/>
  <c r="G128" i="9"/>
  <c r="H128" i="9" s="1"/>
  <c r="O24" i="3"/>
  <c r="N24" i="3"/>
  <c r="G21" i="9"/>
  <c r="H21" i="9" s="1"/>
  <c r="I21" i="9"/>
  <c r="J21" i="9" s="1"/>
  <c r="I25" i="9"/>
  <c r="J25" i="9" s="1"/>
  <c r="G25" i="9"/>
  <c r="H25" i="9" s="1"/>
  <c r="G40" i="9"/>
  <c r="H40" i="9" s="1"/>
  <c r="I40" i="9"/>
  <c r="J40" i="9" s="1"/>
  <c r="I62" i="9"/>
  <c r="J62" i="9" s="1"/>
  <c r="T10" i="20"/>
  <c r="W10" i="20"/>
  <c r="V10" i="20"/>
  <c r="L9" i="3" s="1"/>
  <c r="G148" i="9"/>
  <c r="H148" i="9" s="1"/>
  <c r="W16" i="20"/>
  <c r="V16" i="20"/>
  <c r="L13" i="3" s="1"/>
  <c r="T16" i="20"/>
  <c r="J13" i="3" s="1"/>
  <c r="G112" i="9"/>
  <c r="H112" i="9" s="1"/>
  <c r="G144" i="9"/>
  <c r="H144" i="9" s="1"/>
  <c r="G160" i="9"/>
  <c r="H160" i="9" s="1"/>
  <c r="G188" i="9"/>
  <c r="H188" i="9" s="1"/>
  <c r="W4" i="20"/>
  <c r="V4" i="20"/>
  <c r="L3" i="3" s="1"/>
  <c r="T4" i="20"/>
  <c r="S11" i="20"/>
  <c r="W18" i="20"/>
  <c r="V18" i="20"/>
  <c r="L15" i="3" s="1"/>
  <c r="U18" i="20"/>
  <c r="S31" i="20"/>
  <c r="S37" i="20"/>
  <c r="I8" i="9"/>
  <c r="J8" i="9" s="1"/>
  <c r="G17" i="9"/>
  <c r="H17" i="9" s="1"/>
  <c r="I32" i="9"/>
  <c r="J32" i="9" s="1"/>
  <c r="G41" i="9"/>
  <c r="H41" i="9" s="1"/>
  <c r="I56" i="9"/>
  <c r="J56" i="9" s="1"/>
  <c r="G65" i="9"/>
  <c r="H65" i="9" s="1"/>
  <c r="I80" i="9"/>
  <c r="J80" i="9" s="1"/>
  <c r="G87" i="9"/>
  <c r="H87" i="9" s="1"/>
  <c r="G96" i="9"/>
  <c r="H96" i="9" s="1"/>
  <c r="I110" i="9"/>
  <c r="J110" i="9" s="1"/>
  <c r="G110" i="9"/>
  <c r="H110" i="9" s="1"/>
  <c r="G126" i="9"/>
  <c r="H126" i="9" s="1"/>
  <c r="G142" i="9"/>
  <c r="H142" i="9" s="1"/>
  <c r="I158" i="9"/>
  <c r="J158" i="9" s="1"/>
  <c r="G158" i="9"/>
  <c r="H158" i="9" s="1"/>
  <c r="G174" i="9"/>
  <c r="H174" i="9" s="1"/>
  <c r="G200" i="9"/>
  <c r="H200" i="9" s="1"/>
  <c r="S4" i="20"/>
  <c r="S5" i="20"/>
  <c r="S18" i="20"/>
  <c r="T18" i="20"/>
  <c r="D19" i="3" s="1"/>
  <c r="S10" i="20"/>
  <c r="S30" i="20"/>
  <c r="G19" i="9"/>
  <c r="H19" i="9" s="1"/>
  <c r="G67" i="9"/>
  <c r="H67" i="9" s="1"/>
  <c r="G103" i="9"/>
  <c r="H103" i="9" s="1"/>
  <c r="I30" i="9"/>
  <c r="J30" i="9" s="1"/>
  <c r="I54" i="9"/>
  <c r="J54" i="9" s="1"/>
  <c r="I78" i="9"/>
  <c r="J78" i="9" s="1"/>
  <c r="I186" i="9"/>
  <c r="J186" i="9" s="1"/>
  <c r="G186" i="9"/>
  <c r="H186" i="9" s="1"/>
  <c r="I4" i="9"/>
  <c r="J4" i="9" s="1"/>
  <c r="G13" i="9"/>
  <c r="H13" i="9" s="1"/>
  <c r="I28" i="9"/>
  <c r="J28" i="9" s="1"/>
  <c r="G37" i="9"/>
  <c r="H37" i="9" s="1"/>
  <c r="I52" i="9"/>
  <c r="J52" i="9" s="1"/>
  <c r="G61" i="9"/>
  <c r="H61" i="9" s="1"/>
  <c r="I76" i="9"/>
  <c r="J76" i="9" s="1"/>
  <c r="G85" i="9"/>
  <c r="H85" i="9" s="1"/>
  <c r="G92" i="9"/>
  <c r="H92" i="9" s="1"/>
  <c r="I106" i="9"/>
  <c r="J106" i="9" s="1"/>
  <c r="G124" i="9"/>
  <c r="H124" i="9" s="1"/>
  <c r="G172" i="9"/>
  <c r="H172" i="9" s="1"/>
  <c r="G198" i="9"/>
  <c r="H198" i="9" s="1"/>
  <c r="S6" i="20"/>
  <c r="I26" i="9"/>
  <c r="J26" i="9" s="1"/>
  <c r="I50" i="9"/>
  <c r="J50" i="9" s="1"/>
  <c r="I74" i="9"/>
  <c r="J74" i="9" s="1"/>
  <c r="I90" i="9"/>
  <c r="J90" i="9" s="1"/>
  <c r="I104" i="9"/>
  <c r="J104" i="9" s="1"/>
  <c r="N32" i="3"/>
  <c r="I6" i="9"/>
  <c r="J6" i="9" s="1"/>
  <c r="I43" i="9"/>
  <c r="J43" i="9" s="1"/>
  <c r="N27" i="3"/>
  <c r="N22" i="3"/>
  <c r="I24" i="9"/>
  <c r="J24" i="9" s="1"/>
  <c r="I48" i="9"/>
  <c r="J48" i="9" s="1"/>
  <c r="I72" i="9"/>
  <c r="J72" i="9" s="1"/>
  <c r="G90" i="9"/>
  <c r="H90" i="9" s="1"/>
  <c r="G104" i="9"/>
  <c r="H104" i="9" s="1"/>
  <c r="G122" i="9"/>
  <c r="H122" i="9" s="1"/>
  <c r="G152" i="9"/>
  <c r="H152" i="9" s="1"/>
  <c r="G170" i="9"/>
  <c r="H170" i="9" s="1"/>
  <c r="G196" i="9"/>
  <c r="H196" i="9" s="1"/>
  <c r="I88" i="9"/>
  <c r="J88" i="9" s="1"/>
  <c r="I102" i="9"/>
  <c r="J102" i="9" s="1"/>
  <c r="I182" i="9"/>
  <c r="J182" i="9" s="1"/>
  <c r="G182" i="9"/>
  <c r="H182" i="9" s="1"/>
  <c r="W6" i="20"/>
  <c r="V6" i="20"/>
  <c r="L5" i="3" s="1"/>
  <c r="U6" i="20"/>
  <c r="S19" i="20"/>
  <c r="S25" i="20"/>
  <c r="I202" i="9"/>
  <c r="J202" i="9" s="1"/>
  <c r="S32" i="20"/>
  <c r="S38" i="20"/>
  <c r="S7" i="20"/>
  <c r="S13" i="20"/>
  <c r="S20" i="20"/>
  <c r="S26" i="20"/>
  <c r="S8" i="20"/>
  <c r="S14" i="20"/>
  <c r="U22" i="20"/>
  <c r="U28" i="20"/>
  <c r="V33" i="20"/>
  <c r="L28" i="3" s="1"/>
  <c r="U34" i="20"/>
  <c r="S39" i="20"/>
  <c r="U16" i="20"/>
  <c r="S27" i="20"/>
  <c r="S33" i="20"/>
  <c r="T34" i="20"/>
  <c r="W34" i="20"/>
  <c r="V35" i="20"/>
  <c r="L29" i="3" s="1"/>
  <c r="U35" i="20"/>
  <c r="W40" i="20"/>
  <c r="V40" i="20"/>
  <c r="T40" i="20"/>
  <c r="U4" i="20"/>
  <c r="U10" i="20"/>
  <c r="S15" i="20"/>
  <c r="S21" i="20"/>
  <c r="T22" i="20"/>
  <c r="W22" i="20"/>
  <c r="V23" i="20"/>
  <c r="U23" i="20"/>
  <c r="W28" i="20"/>
  <c r="V28" i="20"/>
  <c r="L30" i="3" s="1"/>
  <c r="T28" i="20"/>
  <c r="S34" i="20"/>
  <c r="W35" i="20"/>
  <c r="S40" i="20"/>
  <c r="V15" i="20"/>
  <c r="L12" i="3" s="1"/>
  <c r="V27" i="20"/>
  <c r="V39" i="20"/>
  <c r="T9" i="20"/>
  <c r="T21" i="20"/>
  <c r="J17" i="3" s="1"/>
  <c r="T33" i="20"/>
  <c r="S12" i="20"/>
  <c r="V24" i="20"/>
  <c r="V36" i="20"/>
  <c r="V41" i="20"/>
  <c r="L33" i="3" s="1"/>
  <c r="J28" i="3" l="1"/>
  <c r="D28" i="3"/>
  <c r="J25" i="3"/>
  <c r="D25" i="3"/>
  <c r="J18" i="3"/>
  <c r="J3" i="3"/>
  <c r="D3" i="3"/>
  <c r="O13" i="3"/>
  <c r="N13" i="3"/>
  <c r="L19" i="3"/>
  <c r="L26" i="3"/>
  <c r="J30" i="3"/>
  <c r="D30" i="3"/>
  <c r="L20" i="3"/>
  <c r="L27" i="3"/>
  <c r="J9" i="3"/>
  <c r="D10" i="3"/>
  <c r="O17" i="3"/>
  <c r="N17" i="3"/>
  <c r="D9" i="3"/>
  <c r="J8" i="3"/>
  <c r="N30" i="3" l="1"/>
  <c r="O30" i="3"/>
  <c r="O18" i="3"/>
  <c r="N18" i="3"/>
  <c r="O25" i="3"/>
  <c r="N25" i="3"/>
  <c r="O8" i="3"/>
  <c r="N8" i="3"/>
  <c r="O3" i="3"/>
  <c r="N3" i="3"/>
  <c r="O9" i="3"/>
  <c r="N9" i="3"/>
  <c r="O28" i="3"/>
  <c r="N28" i="3"/>
</calcChain>
</file>

<file path=xl/sharedStrings.xml><?xml version="1.0" encoding="utf-8"?>
<sst xmlns="http://schemas.openxmlformats.org/spreadsheetml/2006/main" count="26011" uniqueCount="5615">
  <si>
    <t>MONTHLY BASE DATA SHEET – SOURCE FOR ALL KRI CALCULATIONS</t>
  </si>
  <si>
    <t>Metric</t>
  </si>
  <si>
    <t>Unit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</si>
  <si>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</si>
  <si>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</si>
  <si>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</si>
  <si>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</si>
  <si>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</si>
  <si>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</si>
  <si>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</si>
  <si>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</si>
  <si>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</si>
  <si>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</si>
  <si>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</si>
  <si>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</si>
  <si>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Source</t>
  </si>
  <si>
    <t>Formula / Note</t>
  </si>
  <si>
    <t>--- CREDIT RISK ---</t>
  </si>
  <si>
    <t>P1_Credit_Risk</t>
  </si>
  <si>
    <t>Gross NPA Amount (₹ Cr)</t>
  </si>
  <si>
    <t>₹ Cr</t>
  </si>
  <si>
    <t>SUMIF(NPA_Category&lt;&gt;Standard, Outstanding)</t>
  </si>
  <si>
    <t>Gross Advances (₹ Cr)</t>
  </si>
  <si>
    <t>SUM(Outstanding_Cr)</t>
  </si>
  <si>
    <t>Net NPA Amount (₹ Cr)</t>
  </si>
  <si>
    <t>Gross NPA – Provisions held</t>
  </si>
  <si>
    <t>Net Advances (₹ Cr)</t>
  </si>
  <si>
    <t>Gross Adv – Total Provisions</t>
  </si>
  <si>
    <t>SMA-0 Balance (₹ Cr)</t>
  </si>
  <si>
    <t>SUMIF(SMA_Flag=SMA-0, Outstanding)</t>
  </si>
  <si>
    <t>SMA-1 Balance (₹ Cr)</t>
  </si>
  <si>
    <t>SUMIF(SMA_Flag=SMA-1, Outstanding)</t>
  </si>
  <si>
    <t>SMA-2 Balance (₹ Cr)</t>
  </si>
  <si>
    <t>SUMIF(SMA_Flag=SMA-2, Outstanding)</t>
  </si>
  <si>
    <t>Total Provisions (₹ Cr)</t>
  </si>
  <si>
    <t>SUM(ECL_Cr)</t>
  </si>
  <si>
    <t>PCR Provisions (₹ Cr)</t>
  </si>
  <si>
    <t>Provisions / Gross NPA * 100</t>
  </si>
  <si>
    <t>ECL Stage 3 EAD (₹ Cr)</t>
  </si>
  <si>
    <t>ECL Engine</t>
  </si>
  <si>
    <t>Stage 3 Exposure at Default</t>
  </si>
  <si>
    <t>ECL Stage 3 Provisions (₹Cr)</t>
  </si>
  <si>
    <t>Provisions held against Stage 3</t>
  </si>
  <si>
    <t>--- MARKET RISK ---</t>
  </si>
  <si>
    <t>P1_Market_Risk</t>
  </si>
  <si>
    <t>Trading Book VaR 1D (₹ Cr)</t>
  </si>
  <si>
    <t>Treasury/Murex</t>
  </si>
  <si>
    <t>PERCENTILE(VaR_1D_Cr, 99%)</t>
  </si>
  <si>
    <t>VaR Limit (₹ Cr)</t>
  </si>
  <si>
    <t>Board approved limit</t>
  </si>
  <si>
    <t>SVaR Total (₹ Cr)</t>
  </si>
  <si>
    <t>SUM(SVaR_Cr)</t>
  </si>
  <si>
    <t>IRC Total (₹ Cr)</t>
  </si>
  <si>
    <t>SUM(IRC_Cr)</t>
  </si>
  <si>
    <t>FX Open Position (₹ Cr)</t>
  </si>
  <si>
    <t>SWIFT/Murex</t>
  </si>
  <si>
    <t>Net open FX position</t>
  </si>
  <si>
    <t>DV01 Total (₹ Lakhs)</t>
  </si>
  <si>
    <t>₹ Lk</t>
  </si>
  <si>
    <t>Murex</t>
  </si>
  <si>
    <t>SUM(DV01_Lakhs)</t>
  </si>
  <si>
    <t>DV01 Limit (₹ Lakhs)</t>
  </si>
  <si>
    <t>--- OPERATIONAL RISK ---</t>
  </si>
  <si>
    <t>P1_Operational_Risk</t>
  </si>
  <si>
    <t>Op Loss Net (₹ Cr)</t>
  </si>
  <si>
    <t>ORMS</t>
  </si>
  <si>
    <t>SUM Net_Loss_Lakhs per month</t>
  </si>
  <si>
    <t>NII (Net Interest Income ₹Cr)</t>
  </si>
  <si>
    <t>P&amp;L</t>
  </si>
  <si>
    <t>Monthly NII figure</t>
  </si>
  <si>
    <t>KCI Breach Count</t>
  </si>
  <si>
    <t>Count</t>
  </si>
  <si>
    <t>COUNTIF(KRI_Breach=Yes)</t>
  </si>
  <si>
    <t>Overdue Actions</t>
  </si>
  <si>
    <t>GRC Tool</t>
  </si>
  <si>
    <t>COUNTIF(Status=Overdue)</t>
  </si>
  <si>
    <t>--- CAPITAL ADEQUACY ---</t>
  </si>
  <si>
    <t>P1_Capital_Adequacy</t>
  </si>
  <si>
    <t>CET1 Capital (₹ Cr)</t>
  </si>
  <si>
    <t>CAR Return</t>
  </si>
  <si>
    <t>From quarterly CAR return (interpolated monthly)</t>
  </si>
  <si>
    <t>Tier1 Capital (₹ Cr)</t>
  </si>
  <si>
    <t>Total Capital (₹ Cr)</t>
  </si>
  <si>
    <t>Total RWA (₹ Cr)</t>
  </si>
  <si>
    <t>Tier1 (Leverage Exposure₹Cr)</t>
  </si>
  <si>
    <t>Exposure measure for leverage ratio</t>
  </si>
  <si>
    <t>--- LIQUIDITY ---</t>
  </si>
  <si>
    <t>P2_Liquidity_Risk</t>
  </si>
  <si>
    <t>HQLA Total (₹ Cr)</t>
  </si>
  <si>
    <t>ALM System</t>
  </si>
  <si>
    <t>AVERAGE(HQLA_Cr) for month</t>
  </si>
  <si>
    <t>Net Cash Outflow 30D (₹ Cr)</t>
  </si>
  <si>
    <t>AVERAGE(Net_Cash_Outflow_30D_Cr)</t>
  </si>
  <si>
    <t>NSFR ASF (₹ Cr)</t>
  </si>
  <si>
    <t>AVERAGE(NSFR_ASF_Cr)</t>
  </si>
  <si>
    <t>NSFR RSF (₹ Cr)</t>
  </si>
  <si>
    <t>AVERAGE(NSFR_RSF_Cr)</t>
  </si>
  <si>
    <t>SLR (% NDTL)</t>
  </si>
  <si>
    <t>%</t>
  </si>
  <si>
    <t>CBS</t>
  </si>
  <si>
    <t>Fortnightly SLR filing</t>
  </si>
  <si>
    <t>CRR (% NDTL)</t>
  </si>
  <si>
    <t>Fortnightly CRR filing</t>
  </si>
  <si>
    <t>Cumulative Gap 1M (₹ Cr)</t>
  </si>
  <si>
    <t>AVERAGE(cumulative gap for 1M bucket)</t>
  </si>
  <si>
    <t>--- IRRBB ---</t>
  </si>
  <si>
    <t>P2_IRRBB</t>
  </si>
  <si>
    <t>NII Sensitivity +200bps (%)</t>
  </si>
  <si>
    <t>Avg NII_Impact_% for +200bps scenario</t>
  </si>
  <si>
    <t>EVE Sensitivity +200bps(%T1)</t>
  </si>
  <si>
    <t>% T1</t>
  </si>
  <si>
    <t>Avg EVE_Impact_Pct_Tier1 for +200bps</t>
  </si>
  <si>
    <t>Duration Gap (Years)</t>
  </si>
  <si>
    <t>Yrs</t>
  </si>
  <si>
    <t>AVERAGE(Duration_Gap_Yrs)</t>
  </si>
  <si>
    <t>Repricing Gap 1Y (%)</t>
  </si>
  <si>
    <t>AVERAGE(NII_Impact_%) all shocks</t>
  </si>
  <si>
    <t>--- CLIMATE RISK ---</t>
  </si>
  <si>
    <t>P2_Climate_Risk</t>
  </si>
  <si>
    <t>High Physical Risk Exp (₹Cr)</t>
  </si>
  <si>
    <t>Climate Tool</t>
  </si>
  <si>
    <t>SUMIF(Physical_Risk_Score&gt;7, Exposure_Cr)</t>
  </si>
  <si>
    <t>Total Advances (₹ Cr)</t>
  </si>
  <si>
    <t>Gross Advances</t>
  </si>
  <si>
    <t>Green Finance Advances (₹Cr)</t>
  </si>
  <si>
    <t>DW</t>
  </si>
  <si>
    <t>SUMIF(Green_Finance=Yes, Exposure_Cr)</t>
  </si>
  <si>
    <t>--- CYBER RISK ---</t>
  </si>
  <si>
    <t>P2_Cyber_Risk</t>
  </si>
  <si>
    <t>Critical Vulns Unpatched</t>
  </si>
  <si>
    <t>SIEM</t>
  </si>
  <si>
    <t>COUNTIF(CVSS_Score&gt;7, Patch_Status&lt;&gt;Patched)</t>
  </si>
  <si>
    <t>MTTD Avg (Hours)</t>
  </si>
  <si>
    <t>Hrs</t>
  </si>
  <si>
    <t>SOC</t>
  </si>
  <si>
    <t>AVERAGE(MTTD_Hrs)</t>
  </si>
  <si>
    <t>MTTR Avg (Hours)</t>
  </si>
  <si>
    <t>AVERAGE(MTTR_Hrs)</t>
  </si>
  <si>
    <t>--- FRAUD RISK ---</t>
  </si>
  <si>
    <t>P2_Fraud_Risk</t>
  </si>
  <si>
    <t>Fraud Loss Net (₹ Cr)</t>
  </si>
  <si>
    <t>FMS</t>
  </si>
  <si>
    <t>SUM(Net_Loss_Lakhs) per month</t>
  </si>
  <si>
    <t>Total Income (₹ Cr)</t>
  </si>
  <si>
    <t>Monthly Total Income</t>
  </si>
  <si>
    <t>Fraud Recovered (₹ Cr)</t>
  </si>
  <si>
    <t>SUM(Recovered_Lakhs) per month</t>
  </si>
  <si>
    <t>Fraud Amount (₹ Cr)</t>
  </si>
  <si>
    <t>SUM(Amount_Lakhs) per month</t>
  </si>
  <si>
    <t>--- THIRD PARTY RISK ---</t>
  </si>
  <si>
    <t>P2_Third_Party_Risk</t>
  </si>
  <si>
    <t>Critical Vendor SLA Breaches</t>
  </si>
  <si>
    <t>Vendor Mgmt</t>
  </si>
  <si>
    <t>COUNTIF(Criticality=Critical, SLA_Breach=Yes) monthly</t>
  </si>
  <si>
    <t>--- REPUTATIONAL RISK ---</t>
  </si>
  <si>
    <t>P2_Reputational_Risk</t>
  </si>
  <si>
    <t>Media Sentiment Score</t>
  </si>
  <si>
    <t>Score</t>
  </si>
  <si>
    <t>Media Analytics</t>
  </si>
  <si>
    <t>AVERAGE(Sentiment_Score) for month</t>
  </si>
  <si>
    <t>Total Complaints</t>
  </si>
  <si>
    <t>CRM</t>
  </si>
  <si>
    <t>COUNT(Customer_Complaints) monthly</t>
  </si>
  <si>
    <t>Complaints Resolved</t>
  </si>
  <si>
    <t>COUNT(Complaints_Resolved) monthly</t>
  </si>
  <si>
    <t>--- CONCENTRATION RISK ---</t>
  </si>
  <si>
    <t>P2_Concentration_Risk</t>
  </si>
  <si>
    <t>Single Borrower Max Exp(₹Cr)</t>
  </si>
  <si>
    <t>MAX single borrower exposure</t>
  </si>
  <si>
    <t>Capital Funds (₹ Cr)</t>
  </si>
  <si>
    <t>Tier1 + Tier2 capital</t>
  </si>
  <si>
    <t>BANK – ENTERPRISE RISK MANAGEMENT DASHBOARD
Table of Contents</t>
  </si>
  <si>
    <t>#</t>
  </si>
  <si>
    <t>Sheet Name</t>
  </si>
  <si>
    <t>Description</t>
  </si>
  <si>
    <t>Pillar</t>
  </si>
  <si>
    <t>Last Updated</t>
  </si>
  <si>
    <t>KRI_Master_Summary</t>
  </si>
  <si>
    <t>Master KRI tracker – all risk types with RAG status</t>
  </si>
  <si>
    <t>All Pillars</t>
  </si>
  <si>
    <t>Apr-2026</t>
  </si>
  <si>
    <t>KRI_Thresholds</t>
  </si>
  <si>
    <t>Threshold definitions &amp; breach logic for every KRI</t>
  </si>
  <si>
    <t>Pillar 1 – Credit risk: NPA, ECL, PD, LGD, CRAR by segment</t>
  </si>
  <si>
    <t>Pillar 1</t>
  </si>
  <si>
    <t>Pillar 1 – Market risk: VaR, SVaR, IRC, DV01, limits</t>
  </si>
  <si>
    <t>Pillar 1 – Op risk: loss events, RCSA, BIA capital</t>
  </si>
  <si>
    <t>Pillar 1 – CRAR, Tier-1, CET-1, RWA by risk type</t>
  </si>
  <si>
    <t>Pillar 2 – LCR, NSFR, SLR, CRR, gap analysis</t>
  </si>
  <si>
    <t>Pillar 2</t>
  </si>
  <si>
    <t>Pillar 2 – IRRBB: NII sensitivity, EVE shock, duration gap</t>
  </si>
  <si>
    <t>Pillar 2 – Single-borrower, sector &amp; geography concentration</t>
  </si>
  <si>
    <t>Pillar 2 – Physical &amp; transition risk, TCFD, GHG, ESG</t>
  </si>
  <si>
    <t>Pillar 2 – Cyber incidents, CVSS, MTTD, MTTR</t>
  </si>
  <si>
    <t>Pillar 2 – Fraud detection, channel, recovery rate</t>
  </si>
  <si>
    <t>Pillar 2 – Vendor/third-party risk, SLA, criticality</t>
  </si>
  <si>
    <t>Pillar 2 – Media sentiment, complaints, NPS trend</t>
  </si>
  <si>
    <t>P2_Strategic_Risk</t>
  </si>
  <si>
    <t>Pillar 2 – Strategic KPIs, BSC, market share deviation</t>
  </si>
  <si>
    <t>P3_Capital_Disclosure</t>
  </si>
  <si>
    <t>Pillar 3 – Public disclosure: CAR, leverage, RWA breakup</t>
  </si>
  <si>
    <t>Pillar 3</t>
  </si>
  <si>
    <t>P3_Market_Disclosure</t>
  </si>
  <si>
    <t>Pillar 3 – Market discipline: credit, market, op-risk tables</t>
  </si>
  <si>
    <t>Monthly_KRI_Trend</t>
  </si>
  <si>
    <t>12-month KRI trend for executive dashboard</t>
  </si>
  <si>
    <t>KRI MASTER SUMMARY – ENTERPRISE RISK DASHBOARD  |  Reference: /RMD/CCRMD/2025-26/01  |  Current Values &amp; MoM: FORMULA-DRIVEN from Monthly_KRI_Trend → Monthly_Data</t>
  </si>
  <si>
    <t>Risk Category</t>
  </si>
  <si>
    <t>KRI Name</t>
  </si>
  <si>
    <t>Current Value</t>
  </si>
  <si>
    <t>Threshold (Green)</t>
  </si>
  <si>
    <t>Threshold (Amber)</t>
  </si>
  <si>
    <t>Threshold (Red)</t>
  </si>
  <si>
    <t>Frequency</t>
  </si>
  <si>
    <t>RAG Status</t>
  </si>
  <si>
    <t>MoM Change</t>
  </si>
  <si>
    <t>Data Source</t>
  </si>
  <si>
    <t>Regulatory Ref</t>
  </si>
  <si>
    <t>KRI_Score</t>
  </si>
  <si>
    <t>Breach_Flag</t>
  </si>
  <si>
    <t>Pillar 1 – Credit Risk</t>
  </si>
  <si>
    <t>Gross NPA Ratio</t>
  </si>
  <si>
    <t>&lt;5%</t>
  </si>
  <si>
    <t>5-6%</t>
  </si>
  <si>
    <t>&gt;6%</t>
  </si>
  <si>
    <t>Percent</t>
  </si>
  <si>
    <t>Monthly</t>
  </si>
  <si>
    <t>+1.02%</t>
  </si>
  <si>
    <t>IRAC Norms</t>
  </si>
  <si>
    <t>Net NPA Ratio</t>
  </si>
  <si>
    <t>&lt;2%</t>
  </si>
  <si>
    <t>2-3%</t>
  </si>
  <si>
    <t>&gt;3%</t>
  </si>
  <si>
    <t>-2.36%</t>
  </si>
  <si>
    <t>Credit Cost (Provisioning Ratio)</t>
  </si>
  <si>
    <t>&lt;1.5%</t>
  </si>
  <si>
    <t>1.5-2%</t>
  </si>
  <si>
    <t>&gt;2%</t>
  </si>
  <si>
    <t>Quarterly</t>
  </si>
  <si>
    <t>-0.99%</t>
  </si>
  <si>
    <t>RBI MAS</t>
  </si>
  <si>
    <t>SMA-0 Ratio</t>
  </si>
  <si>
    <t>&lt;3%</t>
  </si>
  <si>
    <t>3-5%</t>
  </si>
  <si>
    <t>&gt;5%</t>
  </si>
  <si>
    <t>-1.27%</t>
  </si>
  <si>
    <t>RBI Circular</t>
  </si>
  <si>
    <t>SMA-1 Ratio</t>
  </si>
  <si>
    <t>&lt;1%</t>
  </si>
  <si>
    <t>1-2%</t>
  </si>
  <si>
    <t>+1.55%</t>
  </si>
  <si>
    <t>SMA-2 Ratio</t>
  </si>
  <si>
    <t>&lt;0.5%</t>
  </si>
  <si>
    <t>0.5-1%</t>
  </si>
  <si>
    <t>&gt;1%</t>
  </si>
  <si>
    <t>+1.22%</t>
  </si>
  <si>
    <t>PCR (Provision Coverage Ratio)</t>
  </si>
  <si>
    <t>&gt;75%</t>
  </si>
  <si>
    <t>65-75%</t>
  </si>
  <si>
    <t>&lt;65%</t>
  </si>
  <si>
    <t>-2.02%</t>
  </si>
  <si>
    <t>RBI</t>
  </si>
  <si>
    <t>ECL Stage 3 Coverage</t>
  </si>
  <si>
    <t>&gt;60%</t>
  </si>
  <si>
    <t>50-60%</t>
  </si>
  <si>
    <t>&lt;50%</t>
  </si>
  <si>
    <t>Green</t>
  </si>
  <si>
    <t>-0.18%</t>
  </si>
  <si>
    <t>Ind AS 109</t>
  </si>
  <si>
    <t>Pillar 1 – Market Risk</t>
  </si>
  <si>
    <t>IRC (Incremental Risk Charge)</t>
  </si>
  <si>
    <t>&lt;1500</t>
  </si>
  <si>
    <t>1500-2000</t>
  </si>
  <si>
    <t>&gt;2000</t>
  </si>
  <si>
    <t>Weekly</t>
  </si>
  <si>
    <t>-2.35%</t>
  </si>
  <si>
    <t>Basel III</t>
  </si>
  <si>
    <t>Modified Duration (Investment)</t>
  </si>
  <si>
    <t>&lt;4</t>
  </si>
  <si>
    <t>4-5</t>
  </si>
  <si>
    <t>&gt;5</t>
  </si>
  <si>
    <t>Years</t>
  </si>
  <si>
    <t>-1.41%</t>
  </si>
  <si>
    <t>Internal</t>
  </si>
  <si>
    <t>G-Sec Portfolio MTM Loss</t>
  </si>
  <si>
    <t>&gt;-500</t>
  </si>
  <si>
    <t>(-500)-(-750)</t>
  </si>
  <si>
    <t>&lt;-750</t>
  </si>
  <si>
    <t>Daily</t>
  </si>
  <si>
    <t>+1.07%</t>
  </si>
  <si>
    <t>FX Open Position (USD equiv.)</t>
  </si>
  <si>
    <t>&lt;100</t>
  </si>
  <si>
    <t>100-150</t>
  </si>
  <si>
    <t>&gt;150</t>
  </si>
  <si>
    <t>+0.5%</t>
  </si>
  <si>
    <t>FEMA / RBI</t>
  </si>
  <si>
    <t>DV01 Limit Utilisation</t>
  </si>
  <si>
    <t>&lt;60%</t>
  </si>
  <si>
    <t>60-80%</t>
  </si>
  <si>
    <t>&gt;80%</t>
  </si>
  <si>
    <t>-1.29%</t>
  </si>
  <si>
    <t>Equity VaR Limit Utilisation</t>
  </si>
  <si>
    <t>50-70%</t>
  </si>
  <si>
    <t>&gt;70%</t>
  </si>
  <si>
    <t>+0.74%</t>
  </si>
  <si>
    <t>Pillar 1 – Op Risk</t>
  </si>
  <si>
    <t>RCSA Average Score</t>
  </si>
  <si>
    <t>&lt;2.5</t>
  </si>
  <si>
    <t>2.5-3.5</t>
  </si>
  <si>
    <t>&gt;3.5</t>
  </si>
  <si>
    <t>Score (1-5)</t>
  </si>
  <si>
    <t>Semi-Annual</t>
  </si>
  <si>
    <t>-2.46%</t>
  </si>
  <si>
    <t>&lt;3</t>
  </si>
  <si>
    <t>3-6</t>
  </si>
  <si>
    <t>&gt;6</t>
  </si>
  <si>
    <t>+1.93%</t>
  </si>
  <si>
    <t>Overdue Action Items</t>
  </si>
  <si>
    <t>&lt;10</t>
  </si>
  <si>
    <t>10-20</t>
  </si>
  <si>
    <t>&gt;20</t>
  </si>
  <si>
    <t>Amber</t>
  </si>
  <si>
    <t>+1.34%</t>
  </si>
  <si>
    <t>BCBS 239 Compliance Score</t>
  </si>
  <si>
    <t>&gt;85</t>
  </si>
  <si>
    <t>75-85</t>
  </si>
  <si>
    <t>&lt;75</t>
  </si>
  <si>
    <t>-0.63%</t>
  </si>
  <si>
    <t>BCBS 239</t>
  </si>
  <si>
    <t>Pillar 1 – Capital</t>
  </si>
  <si>
    <t>CRAR (Total)</t>
  </si>
  <si>
    <t>&gt;11.5%</t>
  </si>
  <si>
    <t>11.6-12%</t>
  </si>
  <si>
    <t>&lt;11.5%</t>
  </si>
  <si>
    <t>-1.64%</t>
  </si>
  <si>
    <t>Basel III RBI</t>
  </si>
  <si>
    <t>CET-1 Ratio</t>
  </si>
  <si>
    <t>&gt;5.5%</t>
  </si>
  <si>
    <t>5.6-6%</t>
  </si>
  <si>
    <t>&lt;5.5%</t>
  </si>
  <si>
    <t>+2.76%</t>
  </si>
  <si>
    <t>Tier-1 Capital Ratio</t>
  </si>
  <si>
    <t>&gt;12%</t>
  </si>
  <si>
    <t>10-12%</t>
  </si>
  <si>
    <t>&lt;10%</t>
  </si>
  <si>
    <t>-0.65%</t>
  </si>
  <si>
    <t>Capital Conservation Buffer</t>
  </si>
  <si>
    <t>&gt;2.5%</t>
  </si>
  <si>
    <t>2-2.4%</t>
  </si>
  <si>
    <t>&lt;2.5%</t>
  </si>
  <si>
    <t>-1.99%</t>
  </si>
  <si>
    <t>Pillar 2 – Liquidity</t>
  </si>
  <si>
    <t>LCR (Liquidity Coverage Ratio)</t>
  </si>
  <si>
    <t>&gt;120%</t>
  </si>
  <si>
    <t>100-120%</t>
  </si>
  <si>
    <t>&lt;100%</t>
  </si>
  <si>
    <t>+2.16%</t>
  </si>
  <si>
    <t>NSFR (Net Stable Funding Ratio)</t>
  </si>
  <si>
    <t>&gt;100%</t>
  </si>
  <si>
    <t>99-100%</t>
  </si>
  <si>
    <t>+0.82%</t>
  </si>
  <si>
    <t>SLR (Statutory Liquidity Ratio)</t>
  </si>
  <si>
    <t>&gt;18%</t>
  </si>
  <si>
    <t>18-19%</t>
  </si>
  <si>
    <t>&lt;18%</t>
  </si>
  <si>
    <t>Fortnightly</t>
  </si>
  <si>
    <t>+1.94%</t>
  </si>
  <si>
    <t>CRR (Cash Reserve Ratio)</t>
  </si>
  <si>
    <t>2.8-2.9%</t>
  </si>
  <si>
    <t>+1.51%</t>
  </si>
  <si>
    <t>HQLA Buffer (₹ Cr)</t>
  </si>
  <si>
    <t>&gt;60</t>
  </si>
  <si>
    <t>40-60</t>
  </si>
  <si>
    <t>&lt;40</t>
  </si>
  <si>
    <t>+2.85%</t>
  </si>
  <si>
    <t>RBI LCR</t>
  </si>
  <si>
    <t>Pillar 2 – IRRBB</t>
  </si>
  <si>
    <t>EVE Sensitivity (+200bps)</t>
  </si>
  <si>
    <t>&gt;-8%</t>
  </si>
  <si>
    <t>-8 to -12%</t>
  </si>
  <si>
    <t>&lt;-12%</t>
  </si>
  <si>
    <t>Percent of Tier-1</t>
  </si>
  <si>
    <t>+0.54%</t>
  </si>
  <si>
    <t>Basel IRRBB</t>
  </si>
  <si>
    <t>Duration Gap</t>
  </si>
  <si>
    <t>&lt;1.5</t>
  </si>
  <si>
    <t>1.5-2</t>
  </si>
  <si>
    <t>&gt;2</t>
  </si>
  <si>
    <t>+2.06%</t>
  </si>
  <si>
    <t>MCLR Reset Sensitivity</t>
  </si>
  <si>
    <t>1-1.5%</t>
  </si>
  <si>
    <t>&gt;1.5%</t>
  </si>
  <si>
    <t>Percent NII impact</t>
  </si>
  <si>
    <t>+2.24%</t>
  </si>
  <si>
    <t>Pillar 2 – Concentration</t>
  </si>
  <si>
    <t>Single Borrower Limit Util.</t>
  </si>
  <si>
    <t>&lt;80%</t>
  </si>
  <si>
    <t>80-90%</t>
  </si>
  <si>
    <t>&gt;90%</t>
  </si>
  <si>
    <t>+0.68%</t>
  </si>
  <si>
    <t>RBI LSBE</t>
  </si>
  <si>
    <t>Group Borrower Limit Util.</t>
  </si>
  <si>
    <t>&lt;70%</t>
  </si>
  <si>
    <t>70-80%</t>
  </si>
  <si>
    <t>+1.38%</t>
  </si>
  <si>
    <t>Top-10 Sector Conc.</t>
  </si>
  <si>
    <t>&lt;40%</t>
  </si>
  <si>
    <t>40-50%</t>
  </si>
  <si>
    <t>&gt;50%</t>
  </si>
  <si>
    <t>Percent of Advances</t>
  </si>
  <si>
    <t>-2.25%</t>
  </si>
  <si>
    <t>Geographic HHI Score</t>
  </si>
  <si>
    <t>&lt;0.20</t>
  </si>
  <si>
    <t>0.20-0.25</t>
  </si>
  <si>
    <t>&gt;0.25</t>
  </si>
  <si>
    <t>HHI Index</t>
  </si>
  <si>
    <t>-1.25%</t>
  </si>
  <si>
    <t>Unsecured Loan Ratio</t>
  </si>
  <si>
    <t>&lt;20%</t>
  </si>
  <si>
    <t>20-25%</t>
  </si>
  <si>
    <t>&gt;25%</t>
  </si>
  <si>
    <t>-0.91%</t>
  </si>
  <si>
    <t>Finacle</t>
  </si>
  <si>
    <t>Pillar 2 – Climate</t>
  </si>
  <si>
    <t>Physical Risk Exposure (High) ₹Cr</t>
  </si>
  <si>
    <t>&lt;4000</t>
  </si>
  <si>
    <t>4000-6000</t>
  </si>
  <si>
    <t>&gt;6000</t>
  </si>
  <si>
    <t>-2.06%</t>
  </si>
  <si>
    <t>NGFS/RBI</t>
  </si>
  <si>
    <t>Transition Risk Score (Portfolio)</t>
  </si>
  <si>
    <t>&lt;5</t>
  </si>
  <si>
    <t>5-7</t>
  </si>
  <si>
    <t>&gt;7</t>
  </si>
  <si>
    <t>Score (1-10)</t>
  </si>
  <si>
    <t>-1.22%</t>
  </si>
  <si>
    <t>TCFD</t>
  </si>
  <si>
    <t>Green Finance Ratio</t>
  </si>
  <si>
    <t>&gt;10%</t>
  </si>
  <si>
    <t>7-10%</t>
  </si>
  <si>
    <t>&lt;7%</t>
  </si>
  <si>
    <t>-1.94%</t>
  </si>
  <si>
    <t>Carbon Intensity (Portfolio avg.)</t>
  </si>
  <si>
    <t>&lt;150</t>
  </si>
  <si>
    <t>150-200</t>
  </si>
  <si>
    <t>&gt;200</t>
  </si>
  <si>
    <t>tCO2/₹Cr</t>
  </si>
  <si>
    <t>Annual</t>
  </si>
  <si>
    <t>-0.97%</t>
  </si>
  <si>
    <t>Flood-Exposed Advances</t>
  </si>
  <si>
    <t>&lt;6000</t>
  </si>
  <si>
    <t>6000-9000</t>
  </si>
  <si>
    <t>&gt;9000</t>
  </si>
  <si>
    <t>+1.0%</t>
  </si>
  <si>
    <t>Pillar 2 – Cyber</t>
  </si>
  <si>
    <t>Critical Vulnerabilities Unpatched</t>
  </si>
  <si>
    <t>5-10</t>
  </si>
  <si>
    <t>&gt;10</t>
  </si>
  <si>
    <t>-0.49%</t>
  </si>
  <si>
    <t>RBI IT</t>
  </si>
  <si>
    <t>Mean Time to Detect (MTTD hrs)</t>
  </si>
  <si>
    <t>4-8</t>
  </si>
  <si>
    <t>&gt;8</t>
  </si>
  <si>
    <t>Hours</t>
  </si>
  <si>
    <t>-0.46%</t>
  </si>
  <si>
    <t>NIST</t>
  </si>
  <si>
    <t>Mean Time to Respond (MTTR hrs)</t>
  </si>
  <si>
    <t>&lt;8</t>
  </si>
  <si>
    <t>8-24</t>
  </si>
  <si>
    <t>&gt;24</t>
  </si>
  <si>
    <t>-1.35%</t>
  </si>
  <si>
    <t>CERT-In Reportable Incidents</t>
  </si>
  <si>
    <t>&lt;2</t>
  </si>
  <si>
    <t>2-4</t>
  </si>
  <si>
    <t>&gt;4</t>
  </si>
  <si>
    <t>Count/Qtr</t>
  </si>
  <si>
    <t>-1.03%</t>
  </si>
  <si>
    <t>CERT-In</t>
  </si>
  <si>
    <t>Avg CVSS Score (Active Incidents)</t>
  </si>
  <si>
    <t>&lt;6</t>
  </si>
  <si>
    <t>6-8</t>
  </si>
  <si>
    <t>CVSS 0-10</t>
  </si>
  <si>
    <t>+2.65%</t>
  </si>
  <si>
    <t>NIST NVD</t>
  </si>
  <si>
    <t>Phishing Success Rate</t>
  </si>
  <si>
    <t>+1.06%</t>
  </si>
  <si>
    <t>Pillar 2 – Fraud</t>
  </si>
  <si>
    <t>Fraud Loss / Total Income</t>
  </si>
  <si>
    <t>&lt;0.1%</t>
  </si>
  <si>
    <t>0.1-0.2%</t>
  </si>
  <si>
    <t>&gt;0.2%</t>
  </si>
  <si>
    <t>+0.85%</t>
  </si>
  <si>
    <t>Recovery Rate</t>
  </si>
  <si>
    <t>&gt;65%</t>
  </si>
  <si>
    <t>50-65%</t>
  </si>
  <si>
    <t>Red</t>
  </si>
  <si>
    <t>-1.56%</t>
  </si>
  <si>
    <t>Fraud Incidents (Digital) per Mn Txn</t>
  </si>
  <si>
    <t>KYC Non-Compliance Rate</t>
  </si>
  <si>
    <t>-1.6%</t>
  </si>
  <si>
    <t>RBI KYC</t>
  </si>
  <si>
    <t>Pillar 2 – Third Party</t>
  </si>
  <si>
    <t>Critical Vendors with SLA Breach</t>
  </si>
  <si>
    <t>3-5</t>
  </si>
  <si>
    <t>-0.41%</t>
  </si>
  <si>
    <t>RBI Outsourcing</t>
  </si>
  <si>
    <t>Vendor Risk Rating (Avg)</t>
  </si>
  <si>
    <t>+2.94%</t>
  </si>
  <si>
    <t>Data Shared with 3rd Party (GB)</t>
  </si>
  <si>
    <t>&lt;500</t>
  </si>
  <si>
    <t>500-750</t>
  </si>
  <si>
    <t>&gt;750</t>
  </si>
  <si>
    <t>GB</t>
  </si>
  <si>
    <t>DLP Tool</t>
  </si>
  <si>
    <t>IT Policy</t>
  </si>
  <si>
    <t>Pillar 2 – Reputational</t>
  </si>
  <si>
    <t>50-60</t>
  </si>
  <si>
    <t>&lt;50</t>
  </si>
  <si>
    <t>Score 0-100</t>
  </si>
  <si>
    <t>+0.56%</t>
  </si>
  <si>
    <t>Customer Complaint Resolution %</t>
  </si>
  <si>
    <t>+1.27%</t>
  </si>
  <si>
    <t>RBI Penalty Amount (₹ Cr)</t>
  </si>
  <si>
    <t>&lt;1</t>
  </si>
  <si>
    <t>1-5</t>
  </si>
  <si>
    <t>+2.14%</t>
  </si>
  <si>
    <t>NPS (Net Promoter Score)</t>
  </si>
  <si>
    <t>&gt;40</t>
  </si>
  <si>
    <t>30-40</t>
  </si>
  <si>
    <t>&lt;30</t>
  </si>
  <si>
    <t>+1.77%</t>
  </si>
  <si>
    <t>Survey</t>
  </si>
  <si>
    <t>Pillar 3 – Disclosure</t>
  </si>
  <si>
    <t>Disclosure Completeness</t>
  </si>
  <si>
    <t>&gt;95%</t>
  </si>
  <si>
    <t>90-95%</t>
  </si>
  <si>
    <t>&lt;90%</t>
  </si>
  <si>
    <t>-1.24%</t>
  </si>
  <si>
    <t>Pillar 3 Report Timeliness</t>
  </si>
  <si>
    <t>Percent on-time</t>
  </si>
  <si>
    <t>-2.32%</t>
  </si>
  <si>
    <t>ICAAP Submission Date</t>
  </si>
  <si>
    <t>On-Time</t>
  </si>
  <si>
    <t>Within 7 days</t>
  </si>
  <si>
    <t>Overdue</t>
  </si>
  <si>
    <t>Text</t>
  </si>
  <si>
    <t>PILLAR 1  |  Credit Risk – Loan Book Details  |  Bank Risk Management Dashboard</t>
  </si>
  <si>
    <t>Loan_ID</t>
  </si>
  <si>
    <t>Borrower</t>
  </si>
  <si>
    <t>Segment</t>
  </si>
  <si>
    <t>Loan_Type</t>
  </si>
  <si>
    <t>Sanction_Amt_Cr</t>
  </si>
  <si>
    <t>Outstanding_Cr</t>
  </si>
  <si>
    <t>DPD_Days</t>
  </si>
  <si>
    <t>NPA_Category</t>
  </si>
  <si>
    <t>PD_%</t>
  </si>
  <si>
    <t>LGD_%</t>
  </si>
  <si>
    <t>EAD_Cr</t>
  </si>
  <si>
    <t>ECL_Cr</t>
  </si>
  <si>
    <t>CRAR_%</t>
  </si>
  <si>
    <t>Collateral</t>
  </si>
  <si>
    <t>Risk_Rating</t>
  </si>
  <si>
    <t>SMA_Flag</t>
  </si>
  <si>
    <t>PCR_%</t>
  </si>
  <si>
    <t>Review_Date</t>
  </si>
  <si>
    <t>Sector</t>
  </si>
  <si>
    <t>Geography</t>
  </si>
  <si>
    <t>Status</t>
  </si>
  <si>
    <t>RAG</t>
  </si>
  <si>
    <t>LN20000</t>
  </si>
  <si>
    <t>Borrower_001</t>
  </si>
  <si>
    <t>Retail</t>
  </si>
  <si>
    <t>Home Loan</t>
  </si>
  <si>
    <t>SMA-2</t>
  </si>
  <si>
    <t>Stocks</t>
  </si>
  <si>
    <t>A-</t>
  </si>
  <si>
    <t>Yes</t>
  </si>
  <si>
    <t>22-Oct-2024</t>
  </si>
  <si>
    <t>Gujarat</t>
  </si>
  <si>
    <t>Watch</t>
  </si>
  <si>
    <t>LN20001</t>
  </si>
  <si>
    <t>Borrower_002</t>
  </si>
  <si>
    <t>Corporate</t>
  </si>
  <si>
    <t>Working Capital</t>
  </si>
  <si>
    <t>Standard</t>
  </si>
  <si>
    <t>Plant &amp; Machinery</t>
  </si>
  <si>
    <t>A</t>
  </si>
  <si>
    <t>No</t>
  </si>
  <si>
    <t>06-Oct-2025</t>
  </si>
  <si>
    <t>Andhra Pradesh</t>
  </si>
  <si>
    <t>Normal</t>
  </si>
  <si>
    <t>LN20002</t>
  </si>
  <si>
    <t>Borrower_003</t>
  </si>
  <si>
    <t>MSME Loan</t>
  </si>
  <si>
    <t>Guarantee</t>
  </si>
  <si>
    <t>17-Apr-2025</t>
  </si>
  <si>
    <t>Shipping</t>
  </si>
  <si>
    <t>Rajasthan</t>
  </si>
  <si>
    <t>LN20003</t>
  </si>
  <si>
    <t>Borrower_004</t>
  </si>
  <si>
    <t>SME</t>
  </si>
  <si>
    <t>Clean</t>
  </si>
  <si>
    <t>BBB</t>
  </si>
  <si>
    <t>21-Apr-2024</t>
  </si>
  <si>
    <t>Real Estate</t>
  </si>
  <si>
    <t>Telangana</t>
  </si>
  <si>
    <t>LN20004</t>
  </si>
  <si>
    <t>Borrower_005</t>
  </si>
  <si>
    <t>Immovable Property</t>
  </si>
  <si>
    <t>A+</t>
  </si>
  <si>
    <t>12-May-2026</t>
  </si>
  <si>
    <t>Cement</t>
  </si>
  <si>
    <t>LN20005</t>
  </si>
  <si>
    <t>Borrower_006</t>
  </si>
  <si>
    <t>Agri</t>
  </si>
  <si>
    <t>Project Finance</t>
  </si>
  <si>
    <t>Sub-Standard</t>
  </si>
  <si>
    <t>FD</t>
  </si>
  <si>
    <t>BB</t>
  </si>
  <si>
    <t>28-Apr-2024</t>
  </si>
  <si>
    <t>Infra</t>
  </si>
  <si>
    <t>Punjab</t>
  </si>
  <si>
    <t>High</t>
  </si>
  <si>
    <t>LN20006</t>
  </si>
  <si>
    <t>Borrower_007</t>
  </si>
  <si>
    <t>Government</t>
  </si>
  <si>
    <t>CC/OD</t>
  </si>
  <si>
    <t>Doubtful-1</t>
  </si>
  <si>
    <t>B</t>
  </si>
  <si>
    <t>10-Apr-2024</t>
  </si>
  <si>
    <t>UP</t>
  </si>
  <si>
    <t>LN20007</t>
  </si>
  <si>
    <t>Borrower_008</t>
  </si>
  <si>
    <t>Personal</t>
  </si>
  <si>
    <t>Personal Loan</t>
  </si>
  <si>
    <t>27-Nov-2025</t>
  </si>
  <si>
    <t>LN20008</t>
  </si>
  <si>
    <t>Borrower_009</t>
  </si>
  <si>
    <t>AA</t>
  </si>
  <si>
    <t>05-Jun-2026</t>
  </si>
  <si>
    <t>LN20009</t>
  </si>
  <si>
    <t>Borrower_010</t>
  </si>
  <si>
    <t>Auto Loan</t>
  </si>
  <si>
    <t>25-Sep-2024</t>
  </si>
  <si>
    <t>Delhi</t>
  </si>
  <si>
    <t>LN20010</t>
  </si>
  <si>
    <t>Borrower_011</t>
  </si>
  <si>
    <t>AA+</t>
  </si>
  <si>
    <t>16-Sep-2025</t>
  </si>
  <si>
    <t>West Bengal</t>
  </si>
  <si>
    <t>LN20011</t>
  </si>
  <si>
    <t>Borrower_012</t>
  </si>
  <si>
    <t>Doubtful-2</t>
  </si>
  <si>
    <t>CCC</t>
  </si>
  <si>
    <t>25-May-2026</t>
  </si>
  <si>
    <t>Coal</t>
  </si>
  <si>
    <t>Maharashtra</t>
  </si>
  <si>
    <t>LN20012</t>
  </si>
  <si>
    <t>Borrower_013</t>
  </si>
  <si>
    <t>Housing</t>
  </si>
  <si>
    <t>27-Apr-2025</t>
  </si>
  <si>
    <t>Karnataka</t>
  </si>
  <si>
    <t>LN20013</t>
  </si>
  <si>
    <t>Borrower_014</t>
  </si>
  <si>
    <t>Hypothecation</t>
  </si>
  <si>
    <t>15-Jun-2025</t>
  </si>
  <si>
    <t>FMCG</t>
  </si>
  <si>
    <t>Tamil Nadu</t>
  </si>
  <si>
    <t>LN20014</t>
  </si>
  <si>
    <t>Borrower_015</t>
  </si>
  <si>
    <t>29-Mar-2024</t>
  </si>
  <si>
    <t>Power</t>
  </si>
  <si>
    <t>LN20015</t>
  </si>
  <si>
    <t>Borrower_016</t>
  </si>
  <si>
    <t>MSME</t>
  </si>
  <si>
    <t>21-May-2025</t>
  </si>
  <si>
    <t>LN20016</t>
  </si>
  <si>
    <t>Borrower_017</t>
  </si>
  <si>
    <t>D</t>
  </si>
  <si>
    <t>12-Feb-2026</t>
  </si>
  <si>
    <t>IT</t>
  </si>
  <si>
    <t>LN20017</t>
  </si>
  <si>
    <t>Borrower_018</t>
  </si>
  <si>
    <t>14-May-2026</t>
  </si>
  <si>
    <t>LN20018</t>
  </si>
  <si>
    <t>Borrower_019</t>
  </si>
  <si>
    <t>SMA-0</t>
  </si>
  <si>
    <t>07-Feb-2025</t>
  </si>
  <si>
    <t>Bihar</t>
  </si>
  <si>
    <t>LN20019</t>
  </si>
  <si>
    <t>Borrower_020</t>
  </si>
  <si>
    <t>Textile</t>
  </si>
  <si>
    <t>LN20020</t>
  </si>
  <si>
    <t>Borrower_021</t>
  </si>
  <si>
    <t>03-Jul-2024</t>
  </si>
  <si>
    <t>Pharma</t>
  </si>
  <si>
    <t>LN20021</t>
  </si>
  <si>
    <t>Borrower_022</t>
  </si>
  <si>
    <t>SMA-1</t>
  </si>
  <si>
    <t>09-Apr-2026</t>
  </si>
  <si>
    <t>Auto</t>
  </si>
  <si>
    <t>LN20022</t>
  </si>
  <si>
    <t>Borrower_023</t>
  </si>
  <si>
    <t>04-Aug-2024</t>
  </si>
  <si>
    <t>LN20023</t>
  </si>
  <si>
    <t>Borrower_024</t>
  </si>
  <si>
    <t>11-Oct-2025</t>
  </si>
  <si>
    <t>LN20024</t>
  </si>
  <si>
    <t>Borrower_025</t>
  </si>
  <si>
    <t>11-Jul-2025</t>
  </si>
  <si>
    <t>LN20025</t>
  </si>
  <si>
    <t>Borrower_026</t>
  </si>
  <si>
    <t>16-Jun-2025</t>
  </si>
  <si>
    <t>Steel</t>
  </si>
  <si>
    <t>LN20026</t>
  </si>
  <si>
    <t>Borrower_027</t>
  </si>
  <si>
    <t>AAA</t>
  </si>
  <si>
    <t>23-Apr-2024</t>
  </si>
  <si>
    <t>LN20027</t>
  </si>
  <si>
    <t>Borrower_028</t>
  </si>
  <si>
    <t>Term Loan</t>
  </si>
  <si>
    <t>25-Apr-2026</t>
  </si>
  <si>
    <t>LN20028</t>
  </si>
  <si>
    <t>Borrower_029</t>
  </si>
  <si>
    <t>03-Dec-2025</t>
  </si>
  <si>
    <t>LN20029</t>
  </si>
  <si>
    <t>Borrower_030</t>
  </si>
  <si>
    <t>18-May-2025</t>
  </si>
  <si>
    <t>LN20030</t>
  </si>
  <si>
    <t>Borrower_031</t>
  </si>
  <si>
    <t>Loss</t>
  </si>
  <si>
    <t>07-Nov-2024</t>
  </si>
  <si>
    <t>LN20031</t>
  </si>
  <si>
    <t>Borrower_032</t>
  </si>
  <si>
    <t>01-Nov-2025</t>
  </si>
  <si>
    <t>LN20032</t>
  </si>
  <si>
    <t>Borrower_033</t>
  </si>
  <si>
    <t>19-Apr-2025</t>
  </si>
  <si>
    <t>LN20033</t>
  </si>
  <si>
    <t>Borrower_034</t>
  </si>
  <si>
    <t>31-Mar-2026</t>
  </si>
  <si>
    <t>LN20034</t>
  </si>
  <si>
    <t>Borrower_035</t>
  </si>
  <si>
    <t>24-Feb-2026</t>
  </si>
  <si>
    <t>LN20035</t>
  </si>
  <si>
    <t>Borrower_036</t>
  </si>
  <si>
    <t>12-Feb-2025</t>
  </si>
  <si>
    <t>LN20036</t>
  </si>
  <si>
    <t>Borrower_037</t>
  </si>
  <si>
    <t>30-Jun-2024</t>
  </si>
  <si>
    <t>LN20037</t>
  </si>
  <si>
    <t>Borrower_038</t>
  </si>
  <si>
    <t>29-Sep-2024</t>
  </si>
  <si>
    <t>LN20038</t>
  </si>
  <si>
    <t>Borrower_039</t>
  </si>
  <si>
    <t>08-Jun-2025</t>
  </si>
  <si>
    <t>LN20039</t>
  </si>
  <si>
    <t>Borrower_040</t>
  </si>
  <si>
    <t>17-Aug-2024</t>
  </si>
  <si>
    <t>LN20040</t>
  </si>
  <si>
    <t>Borrower_041</t>
  </si>
  <si>
    <t>27-Mar-2024</t>
  </si>
  <si>
    <t>LN20041</t>
  </si>
  <si>
    <t>Borrower_042</t>
  </si>
  <si>
    <t>23-Apr-2025</t>
  </si>
  <si>
    <t>LN20042</t>
  </si>
  <si>
    <t>Borrower_043</t>
  </si>
  <si>
    <t>18-Apr-2025</t>
  </si>
  <si>
    <t>LN20043</t>
  </si>
  <si>
    <t>Borrower_044</t>
  </si>
  <si>
    <t>10-Jul-2025</t>
  </si>
  <si>
    <t>LN20044</t>
  </si>
  <si>
    <t>Borrower_045</t>
  </si>
  <si>
    <t>04-Mar-2026</t>
  </si>
  <si>
    <t>LN20045</t>
  </si>
  <si>
    <t>Borrower_046</t>
  </si>
  <si>
    <t>18-May-2026</t>
  </si>
  <si>
    <t>LN20046</t>
  </si>
  <si>
    <t>Borrower_047</t>
  </si>
  <si>
    <t>24-Jan-2025</t>
  </si>
  <si>
    <t>LN20047</t>
  </si>
  <si>
    <t>Borrower_048</t>
  </si>
  <si>
    <t>21-Jul-2025</t>
  </si>
  <si>
    <t>LN20048</t>
  </si>
  <si>
    <t>Borrower_049</t>
  </si>
  <si>
    <t>27-Nov-2024</t>
  </si>
  <si>
    <t>LN20049</t>
  </si>
  <si>
    <t>Borrower_050</t>
  </si>
  <si>
    <t>27-Oct-2024</t>
  </si>
  <si>
    <t>LN20050</t>
  </si>
  <si>
    <t>Borrower_051</t>
  </si>
  <si>
    <t>19-Mar-2025</t>
  </si>
  <si>
    <t>LN20051</t>
  </si>
  <si>
    <t>Borrower_052</t>
  </si>
  <si>
    <t>14-Dec-2025</t>
  </si>
  <si>
    <t>LN20052</t>
  </si>
  <si>
    <t>Borrower_053</t>
  </si>
  <si>
    <t>04-Jan-2025</t>
  </si>
  <si>
    <t>LN20053</t>
  </si>
  <si>
    <t>Borrower_054</t>
  </si>
  <si>
    <t>03-Apr-2026</t>
  </si>
  <si>
    <t>LN20054</t>
  </si>
  <si>
    <t>Borrower_055</t>
  </si>
  <si>
    <t>20-Mar-2026</t>
  </si>
  <si>
    <t>LN20055</t>
  </si>
  <si>
    <t>Borrower_056</t>
  </si>
  <si>
    <t>28-Dec-2024</t>
  </si>
  <si>
    <t>LN20056</t>
  </si>
  <si>
    <t>Borrower_057</t>
  </si>
  <si>
    <t>15-Mar-2024</t>
  </si>
  <si>
    <t>LN20057</t>
  </si>
  <si>
    <t>Borrower_058</t>
  </si>
  <si>
    <t>26-Sep-2025</t>
  </si>
  <si>
    <t>LN20058</t>
  </si>
  <si>
    <t>Borrower_059</t>
  </si>
  <si>
    <t>02-Sep-2025</t>
  </si>
  <si>
    <t>LN20059</t>
  </si>
  <si>
    <t>Borrower_060</t>
  </si>
  <si>
    <t>12-Dec-2024</t>
  </si>
  <si>
    <t>MP</t>
  </si>
  <si>
    <t>LN20060</t>
  </si>
  <si>
    <t>Borrower_061</t>
  </si>
  <si>
    <t>04-Jul-2024</t>
  </si>
  <si>
    <t>LN20061</t>
  </si>
  <si>
    <t>Borrower_062</t>
  </si>
  <si>
    <t>08-Oct-2024</t>
  </si>
  <si>
    <t>LN20062</t>
  </si>
  <si>
    <t>Borrower_063</t>
  </si>
  <si>
    <t>02-Mar-2025</t>
  </si>
  <si>
    <t>LN20063</t>
  </si>
  <si>
    <t>Borrower_064</t>
  </si>
  <si>
    <t>29-Jul-2025</t>
  </si>
  <si>
    <t>LN20064</t>
  </si>
  <si>
    <t>Borrower_065</t>
  </si>
  <si>
    <t>LN20065</t>
  </si>
  <si>
    <t>Borrower_066</t>
  </si>
  <si>
    <t>26-Jun-2024</t>
  </si>
  <si>
    <t>LN20066</t>
  </si>
  <si>
    <t>Borrower_067</t>
  </si>
  <si>
    <t>02-Feb-2026</t>
  </si>
  <si>
    <t>Chemicals</t>
  </si>
  <si>
    <t>LN20067</t>
  </si>
  <si>
    <t>Borrower_068</t>
  </si>
  <si>
    <t>26-Feb-2025</t>
  </si>
  <si>
    <t>LN20068</t>
  </si>
  <si>
    <t>Borrower_069</t>
  </si>
  <si>
    <t>11-Dec-2024</t>
  </si>
  <si>
    <t>LN20069</t>
  </si>
  <si>
    <t>Borrower_070</t>
  </si>
  <si>
    <t>01-Oct-2025</t>
  </si>
  <si>
    <t>LN20070</t>
  </si>
  <si>
    <t>Borrower_071</t>
  </si>
  <si>
    <t>LN20071</t>
  </si>
  <si>
    <t>Borrower_072</t>
  </si>
  <si>
    <t>15-May-2025</t>
  </si>
  <si>
    <t>LN20072</t>
  </si>
  <si>
    <t>Borrower_073</t>
  </si>
  <si>
    <t>23-Jul-2025</t>
  </si>
  <si>
    <t>LN20073</t>
  </si>
  <si>
    <t>Borrower_074</t>
  </si>
  <si>
    <t>19-May-2024</t>
  </si>
  <si>
    <t>LN20074</t>
  </si>
  <si>
    <t>Borrower_075</t>
  </si>
  <si>
    <t>17-Jun-2024</t>
  </si>
  <si>
    <t>LN20075</t>
  </si>
  <si>
    <t>Borrower_076</t>
  </si>
  <si>
    <t>15-Mar-2026</t>
  </si>
  <si>
    <t>LN20076</t>
  </si>
  <si>
    <t>Borrower_077</t>
  </si>
  <si>
    <t>18-Apr-2026</t>
  </si>
  <si>
    <t>LN20077</t>
  </si>
  <si>
    <t>Borrower_078</t>
  </si>
  <si>
    <t>13-Mar-2025</t>
  </si>
  <si>
    <t>LN20078</t>
  </si>
  <si>
    <t>Borrower_079</t>
  </si>
  <si>
    <t>10-Nov-2025</t>
  </si>
  <si>
    <t>LN20079</t>
  </si>
  <si>
    <t>Borrower_080</t>
  </si>
  <si>
    <t>15-Dec-2024</t>
  </si>
  <si>
    <t>LN20080</t>
  </si>
  <si>
    <t>Borrower_081</t>
  </si>
  <si>
    <t>23-May-2024</t>
  </si>
  <si>
    <t>LN20081</t>
  </si>
  <si>
    <t>Borrower_082</t>
  </si>
  <si>
    <t>16-Jan-2026</t>
  </si>
  <si>
    <t>LN20082</t>
  </si>
  <si>
    <t>Borrower_083</t>
  </si>
  <si>
    <t>17-May-2026</t>
  </si>
  <si>
    <t>LN20083</t>
  </si>
  <si>
    <t>Borrower_084</t>
  </si>
  <si>
    <t>09-Mar-2025</t>
  </si>
  <si>
    <t>LN20084</t>
  </si>
  <si>
    <t>Borrower_085</t>
  </si>
  <si>
    <t>LN20085</t>
  </si>
  <si>
    <t>Borrower_086</t>
  </si>
  <si>
    <t>14-Jun-2024</t>
  </si>
  <si>
    <t>LN20086</t>
  </si>
  <si>
    <t>Borrower_087</t>
  </si>
  <si>
    <t>10-Apr-2025</t>
  </si>
  <si>
    <t>LN20087</t>
  </si>
  <si>
    <t>Borrower_088</t>
  </si>
  <si>
    <t>21-Jul-2024</t>
  </si>
  <si>
    <t>LN20088</t>
  </si>
  <si>
    <t>Borrower_089</t>
  </si>
  <si>
    <t>03-Jan-2025</t>
  </si>
  <si>
    <t>LN20089</t>
  </si>
  <si>
    <t>Borrower_090</t>
  </si>
  <si>
    <t>20-Nov-2025</t>
  </si>
  <si>
    <t>LN20090</t>
  </si>
  <si>
    <t>Borrower_091</t>
  </si>
  <si>
    <t>14-Apr-2024</t>
  </si>
  <si>
    <t>LN20091</t>
  </si>
  <si>
    <t>Borrower_092</t>
  </si>
  <si>
    <t>11-Sep-2025</t>
  </si>
  <si>
    <t>LN20092</t>
  </si>
  <si>
    <t>Borrower_093</t>
  </si>
  <si>
    <t>12-Apr-2024</t>
  </si>
  <si>
    <t>LN20093</t>
  </si>
  <si>
    <t>Borrower_094</t>
  </si>
  <si>
    <t>14-Apr-2025</t>
  </si>
  <si>
    <t>LN20094</t>
  </si>
  <si>
    <t>Borrower_095</t>
  </si>
  <si>
    <t>01-Sep-2024</t>
  </si>
  <si>
    <t>LN20095</t>
  </si>
  <si>
    <t>Borrower_096</t>
  </si>
  <si>
    <t>07-Dec-2024</t>
  </si>
  <si>
    <t>LN20096</t>
  </si>
  <si>
    <t>Borrower_097</t>
  </si>
  <si>
    <t>08-May-2024</t>
  </si>
  <si>
    <t>LN20097</t>
  </si>
  <si>
    <t>Borrower_098</t>
  </si>
  <si>
    <t>16-Jan-2025</t>
  </si>
  <si>
    <t>LN20098</t>
  </si>
  <si>
    <t>Borrower_099</t>
  </si>
  <si>
    <t>16-Jul-2025</t>
  </si>
  <si>
    <t>LN20099</t>
  </si>
  <si>
    <t>Borrower_100</t>
  </si>
  <si>
    <t>23-Dec-2024</t>
  </si>
  <si>
    <t>LN20100</t>
  </si>
  <si>
    <t>Borrower_101</t>
  </si>
  <si>
    <t>LN20101</t>
  </si>
  <si>
    <t>Borrower_102</t>
  </si>
  <si>
    <t>26-Jan-2026</t>
  </si>
  <si>
    <t>LN20102</t>
  </si>
  <si>
    <t>Borrower_103</t>
  </si>
  <si>
    <t>14-Aug-2025</t>
  </si>
  <si>
    <t>LN20103</t>
  </si>
  <si>
    <t>Borrower_104</t>
  </si>
  <si>
    <t>30-Nov-2025</t>
  </si>
  <si>
    <t>LN20104</t>
  </si>
  <si>
    <t>Borrower_105</t>
  </si>
  <si>
    <t>18-Dec-2025</t>
  </si>
  <si>
    <t>LN20105</t>
  </si>
  <si>
    <t>Borrower_106</t>
  </si>
  <si>
    <t>17-Feb-2025</t>
  </si>
  <si>
    <t>LN20106</t>
  </si>
  <si>
    <t>Borrower_107</t>
  </si>
  <si>
    <t>11-Aug-2024</t>
  </si>
  <si>
    <t>LN20107</t>
  </si>
  <si>
    <t>Borrower_108</t>
  </si>
  <si>
    <t>25-Feb-2025</t>
  </si>
  <si>
    <t>LN20108</t>
  </si>
  <si>
    <t>Borrower_109</t>
  </si>
  <si>
    <t>10-Mar-2025</t>
  </si>
  <si>
    <t>LN20109</t>
  </si>
  <si>
    <t>Borrower_110</t>
  </si>
  <si>
    <t>08-Apr-2025</t>
  </si>
  <si>
    <t>LN20110</t>
  </si>
  <si>
    <t>Borrower_111</t>
  </si>
  <si>
    <t>10-Aug-2025</t>
  </si>
  <si>
    <t>LN20111</t>
  </si>
  <si>
    <t>Borrower_112</t>
  </si>
  <si>
    <t>LN20112</t>
  </si>
  <si>
    <t>Borrower_113</t>
  </si>
  <si>
    <t>19-Oct-2025</t>
  </si>
  <si>
    <t>LN20113</t>
  </si>
  <si>
    <t>Borrower_114</t>
  </si>
  <si>
    <t>03-May-2026</t>
  </si>
  <si>
    <t>LN20114</t>
  </si>
  <si>
    <t>Borrower_115</t>
  </si>
  <si>
    <t>09-Mar-2026</t>
  </si>
  <si>
    <t>LN20115</t>
  </si>
  <si>
    <t>Borrower_116</t>
  </si>
  <si>
    <t>21-Feb-2025</t>
  </si>
  <si>
    <t>LN20116</t>
  </si>
  <si>
    <t>Borrower_117</t>
  </si>
  <si>
    <t>27-May-2025</t>
  </si>
  <si>
    <t>LN20117</t>
  </si>
  <si>
    <t>Borrower_118</t>
  </si>
  <si>
    <t>LN20118</t>
  </si>
  <si>
    <t>Borrower_119</t>
  </si>
  <si>
    <t>23-Jan-2025</t>
  </si>
  <si>
    <t>LN20119</t>
  </si>
  <si>
    <t>Borrower_120</t>
  </si>
  <si>
    <t>07-Sep-2024</t>
  </si>
  <si>
    <t>LN20120</t>
  </si>
  <si>
    <t>Borrower_121</t>
  </si>
  <si>
    <t>05-Dec-2024</t>
  </si>
  <si>
    <t>LN20121</t>
  </si>
  <si>
    <t>Borrower_122</t>
  </si>
  <si>
    <t>15-Dec-2025</t>
  </si>
  <si>
    <t>LN20122</t>
  </si>
  <si>
    <t>Borrower_123</t>
  </si>
  <si>
    <t>01-Feb-2025</t>
  </si>
  <si>
    <t>LN20123</t>
  </si>
  <si>
    <t>Borrower_124</t>
  </si>
  <si>
    <t>29-Jun-2024</t>
  </si>
  <si>
    <t>LN20124</t>
  </si>
  <si>
    <t>Borrower_125</t>
  </si>
  <si>
    <t>09-Nov-2024</t>
  </si>
  <si>
    <t>LN20125</t>
  </si>
  <si>
    <t>Borrower_126</t>
  </si>
  <si>
    <t>15-Aug-2025</t>
  </si>
  <si>
    <t>LN20126</t>
  </si>
  <si>
    <t>Borrower_127</t>
  </si>
  <si>
    <t>LN20127</t>
  </si>
  <si>
    <t>Borrower_128</t>
  </si>
  <si>
    <t>24-Apr-2026</t>
  </si>
  <si>
    <t>LN20128</t>
  </si>
  <si>
    <t>Borrower_129</t>
  </si>
  <si>
    <t>LN20129</t>
  </si>
  <si>
    <t>Borrower_130</t>
  </si>
  <si>
    <t>08-Dec-2024</t>
  </si>
  <si>
    <t>LN20130</t>
  </si>
  <si>
    <t>Borrower_131</t>
  </si>
  <si>
    <t>15-Apr-2024</t>
  </si>
  <si>
    <t>LN20131</t>
  </si>
  <si>
    <t>Borrower_132</t>
  </si>
  <si>
    <t>29-Oct-2024</t>
  </si>
  <si>
    <t>LN20132</t>
  </si>
  <si>
    <t>Borrower_133</t>
  </si>
  <si>
    <t>21-Jan-2025</t>
  </si>
  <si>
    <t>LN20133</t>
  </si>
  <si>
    <t>Borrower_134</t>
  </si>
  <si>
    <t>01-May-2025</t>
  </si>
  <si>
    <t>LN20134</t>
  </si>
  <si>
    <t>Borrower_135</t>
  </si>
  <si>
    <t>LN20135</t>
  </si>
  <si>
    <t>Borrower_136</t>
  </si>
  <si>
    <t>30-Mar-2026</t>
  </si>
  <si>
    <t>LN20136</t>
  </si>
  <si>
    <t>Borrower_137</t>
  </si>
  <si>
    <t>08-Aug-2025</t>
  </si>
  <si>
    <t>LN20137</t>
  </si>
  <si>
    <t>Borrower_138</t>
  </si>
  <si>
    <t>18-Sep-2025</t>
  </si>
  <si>
    <t>LN20138</t>
  </si>
  <si>
    <t>Borrower_139</t>
  </si>
  <si>
    <t>LN20139</t>
  </si>
  <si>
    <t>Borrower_140</t>
  </si>
  <si>
    <t>16-May-2024</t>
  </si>
  <si>
    <t>LN20140</t>
  </si>
  <si>
    <t>Borrower_141</t>
  </si>
  <si>
    <t>05-Jan-2026</t>
  </si>
  <si>
    <t>LN20141</t>
  </si>
  <si>
    <t>Borrower_142</t>
  </si>
  <si>
    <t>19-Aug-2025</t>
  </si>
  <si>
    <t>LN20142</t>
  </si>
  <si>
    <t>Borrower_143</t>
  </si>
  <si>
    <t>22-May-2024</t>
  </si>
  <si>
    <t>LN20143</t>
  </si>
  <si>
    <t>Borrower_144</t>
  </si>
  <si>
    <t>06-Jun-2024</t>
  </si>
  <si>
    <t>LN20144</t>
  </si>
  <si>
    <t>Borrower_145</t>
  </si>
  <si>
    <t>17-Jan-2025</t>
  </si>
  <si>
    <t>LN20145</t>
  </si>
  <si>
    <t>Borrower_146</t>
  </si>
  <si>
    <t>04-Feb-2026</t>
  </si>
  <si>
    <t>LN20146</t>
  </si>
  <si>
    <t>Borrower_147</t>
  </si>
  <si>
    <t>LN20147</t>
  </si>
  <si>
    <t>Borrower_148</t>
  </si>
  <si>
    <t>18-Jun-2024</t>
  </si>
  <si>
    <t>LN20148</t>
  </si>
  <si>
    <t>Borrower_149</t>
  </si>
  <si>
    <t>02-Nov-2025</t>
  </si>
  <si>
    <t>LN20149</t>
  </si>
  <si>
    <t>Borrower_150</t>
  </si>
  <si>
    <t>LN20150</t>
  </si>
  <si>
    <t>Borrower_151</t>
  </si>
  <si>
    <t>17-Jul-2024</t>
  </si>
  <si>
    <t>LN20151</t>
  </si>
  <si>
    <t>Borrower_152</t>
  </si>
  <si>
    <t>10-Feb-2026</t>
  </si>
  <si>
    <t>LN20152</t>
  </si>
  <si>
    <t>Borrower_153</t>
  </si>
  <si>
    <t>29-Sep-2025</t>
  </si>
  <si>
    <t>LN20153</t>
  </si>
  <si>
    <t>Borrower_154</t>
  </si>
  <si>
    <t>LN20154</t>
  </si>
  <si>
    <t>Borrower_155</t>
  </si>
  <si>
    <t>19-May-2026</t>
  </si>
  <si>
    <t>LN20155</t>
  </si>
  <si>
    <t>Borrower_156</t>
  </si>
  <si>
    <t>11-Mar-2024</t>
  </si>
  <si>
    <t>LN20156</t>
  </si>
  <si>
    <t>Borrower_157</t>
  </si>
  <si>
    <t>27-May-2024</t>
  </si>
  <si>
    <t>LN20157</t>
  </si>
  <si>
    <t>Borrower_158</t>
  </si>
  <si>
    <t>26-Feb-2026</t>
  </si>
  <si>
    <t>LN20158</t>
  </si>
  <si>
    <t>Borrower_159</t>
  </si>
  <si>
    <t>05-Dec-2025</t>
  </si>
  <si>
    <t>LN20159</t>
  </si>
  <si>
    <t>Borrower_160</t>
  </si>
  <si>
    <t>13-Jun-2024</t>
  </si>
  <si>
    <t>LN20160</t>
  </si>
  <si>
    <t>Borrower_161</t>
  </si>
  <si>
    <t>12-Jun-2025</t>
  </si>
  <si>
    <t>LN20161</t>
  </si>
  <si>
    <t>Borrower_162</t>
  </si>
  <si>
    <t>LN20162</t>
  </si>
  <si>
    <t>Borrower_163</t>
  </si>
  <si>
    <t>27-Sep-2025</t>
  </si>
  <si>
    <t>LN20163</t>
  </si>
  <si>
    <t>Borrower_164</t>
  </si>
  <si>
    <t>21-Dec-2024</t>
  </si>
  <si>
    <t>LN20164</t>
  </si>
  <si>
    <t>Borrower_165</t>
  </si>
  <si>
    <t>30-Dec-2025</t>
  </si>
  <si>
    <t>LN20165</t>
  </si>
  <si>
    <t>Borrower_166</t>
  </si>
  <si>
    <t>15-Nov-2025</t>
  </si>
  <si>
    <t>LN20166</t>
  </si>
  <si>
    <t>Borrower_167</t>
  </si>
  <si>
    <t>29-Nov-2024</t>
  </si>
  <si>
    <t>LN20167</t>
  </si>
  <si>
    <t>Borrower_168</t>
  </si>
  <si>
    <t>19-Apr-2026</t>
  </si>
  <si>
    <t>LN20168</t>
  </si>
  <si>
    <t>Borrower_169</t>
  </si>
  <si>
    <t>LN20169</t>
  </si>
  <si>
    <t>Borrower_170</t>
  </si>
  <si>
    <t>03-Oct-2024</t>
  </si>
  <si>
    <t>LN20170</t>
  </si>
  <si>
    <t>Borrower_171</t>
  </si>
  <si>
    <t>09-Aug-2024</t>
  </si>
  <si>
    <t>LN20171</t>
  </si>
  <si>
    <t>Borrower_172</t>
  </si>
  <si>
    <t>25-Dec-2025</t>
  </si>
  <si>
    <t>LN20172</t>
  </si>
  <si>
    <t>Borrower_173</t>
  </si>
  <si>
    <t>10-Mar-2024</t>
  </si>
  <si>
    <t>LN20173</t>
  </si>
  <si>
    <t>Borrower_174</t>
  </si>
  <si>
    <t>02-May-2026</t>
  </si>
  <si>
    <t>LN20174</t>
  </si>
  <si>
    <t>Borrower_175</t>
  </si>
  <si>
    <t>09-Oct-2024</t>
  </si>
  <si>
    <t>LN20175</t>
  </si>
  <si>
    <t>Borrower_176</t>
  </si>
  <si>
    <t>06-Feb-2026</t>
  </si>
  <si>
    <t>LN20176</t>
  </si>
  <si>
    <t>Borrower_177</t>
  </si>
  <si>
    <t>LN20177</t>
  </si>
  <si>
    <t>Borrower_178</t>
  </si>
  <si>
    <t>09-May-2024</t>
  </si>
  <si>
    <t>LN20178</t>
  </si>
  <si>
    <t>Borrower_179</t>
  </si>
  <si>
    <t>21-Nov-2025</t>
  </si>
  <si>
    <t>LN20179</t>
  </si>
  <si>
    <t>Borrower_180</t>
  </si>
  <si>
    <t>22-May-2025</t>
  </si>
  <si>
    <t>LN20180</t>
  </si>
  <si>
    <t>Borrower_181</t>
  </si>
  <si>
    <t>12-Mar-2024</t>
  </si>
  <si>
    <t>LN20181</t>
  </si>
  <si>
    <t>Borrower_182</t>
  </si>
  <si>
    <t>25-Nov-2024</t>
  </si>
  <si>
    <t>LN20182</t>
  </si>
  <si>
    <t>Borrower_183</t>
  </si>
  <si>
    <t>29-Mar-2026</t>
  </si>
  <si>
    <t>LN20183</t>
  </si>
  <si>
    <t>Borrower_184</t>
  </si>
  <si>
    <t>16-Oct-2024</t>
  </si>
  <si>
    <t>LN20184</t>
  </si>
  <si>
    <t>Borrower_185</t>
  </si>
  <si>
    <t>LN20185</t>
  </si>
  <si>
    <t>Borrower_186</t>
  </si>
  <si>
    <t>LN20186</t>
  </si>
  <si>
    <t>Borrower_187</t>
  </si>
  <si>
    <t>26-Mar-2026</t>
  </si>
  <si>
    <t>LN20187</t>
  </si>
  <si>
    <t>Borrower_188</t>
  </si>
  <si>
    <t>16-Feb-2026</t>
  </si>
  <si>
    <t>LN20188</t>
  </si>
  <si>
    <t>Borrower_189</t>
  </si>
  <si>
    <t>LN20189</t>
  </si>
  <si>
    <t>Borrower_190</t>
  </si>
  <si>
    <t>02-Jul-2024</t>
  </si>
  <si>
    <t>LN20190</t>
  </si>
  <si>
    <t>Borrower_191</t>
  </si>
  <si>
    <t>30-Jul-2024</t>
  </si>
  <si>
    <t>LN20191</t>
  </si>
  <si>
    <t>Borrower_192</t>
  </si>
  <si>
    <t>02-Jun-2026</t>
  </si>
  <si>
    <t>LN20192</t>
  </si>
  <si>
    <t>Borrower_193</t>
  </si>
  <si>
    <t>11-Jun-2026</t>
  </si>
  <si>
    <t>LN20193</t>
  </si>
  <si>
    <t>Borrower_194</t>
  </si>
  <si>
    <t>22-Jul-2025</t>
  </si>
  <si>
    <t>LN20194</t>
  </si>
  <si>
    <t>Borrower_195</t>
  </si>
  <si>
    <t>15-Sep-2025</t>
  </si>
  <si>
    <t>LN20195</t>
  </si>
  <si>
    <t>Borrower_196</t>
  </si>
  <si>
    <t>10-May-2026</t>
  </si>
  <si>
    <t>LN20196</t>
  </si>
  <si>
    <t>Borrower_197</t>
  </si>
  <si>
    <t>25-Oct-2024</t>
  </si>
  <si>
    <t>LN20197</t>
  </si>
  <si>
    <t>Borrower_198</t>
  </si>
  <si>
    <t>25-Aug-2024</t>
  </si>
  <si>
    <t>LN20198</t>
  </si>
  <si>
    <t>Borrower_199</t>
  </si>
  <si>
    <t>08-Apr-2024</t>
  </si>
  <si>
    <t>LN20199</t>
  </si>
  <si>
    <t>Borrower_200</t>
  </si>
  <si>
    <t>PILLAR 1  |  Market Risk – Trading Book Positions  |  Bank Risk Management Dashboard</t>
  </si>
  <si>
    <t>Position_ID</t>
  </si>
  <si>
    <t>Trade_Date</t>
  </si>
  <si>
    <t>Desk</t>
  </si>
  <si>
    <t>Asset_Class</t>
  </si>
  <si>
    <t>Instrument</t>
  </si>
  <si>
    <t>Currency</t>
  </si>
  <si>
    <t>Face_Value_Cr</t>
  </si>
  <si>
    <t>MTM_Cr</t>
  </si>
  <si>
    <t>VaR_1D_Cr</t>
  </si>
  <si>
    <t>SVaR_Cr</t>
  </si>
  <si>
    <t>IRC_Cr</t>
  </si>
  <si>
    <t>ES_99_Cr</t>
  </si>
  <si>
    <t>Duration</t>
  </si>
  <si>
    <t>DV01_Lakhs</t>
  </si>
  <si>
    <t>Greeks_Delta</t>
  </si>
  <si>
    <t>Limit_Cr</t>
  </si>
  <si>
    <t>Limit_Used_%</t>
  </si>
  <si>
    <t>Rating</t>
  </si>
  <si>
    <t>Maturity_Date</t>
  </si>
  <si>
    <t>POS00001</t>
  </si>
  <si>
    <t>24-Aug-2024</t>
  </si>
  <si>
    <t>Commodity</t>
  </si>
  <si>
    <t>Corporate Bond</t>
  </si>
  <si>
    <t>Derivative</t>
  </si>
  <si>
    <t>JPY</t>
  </si>
  <si>
    <t>29-Mar-2036</t>
  </si>
  <si>
    <t>POS00002</t>
  </si>
  <si>
    <t>12-Aug-2025</t>
  </si>
  <si>
    <t>Equity</t>
  </si>
  <si>
    <t>FX Forward</t>
  </si>
  <si>
    <t>Forward</t>
  </si>
  <si>
    <t>SGD</t>
  </si>
  <si>
    <t>31-Mar-2028</t>
  </si>
  <si>
    <t>POS00003</t>
  </si>
  <si>
    <t>02-Apr-2024</t>
  </si>
  <si>
    <t>31-Mar-2031</t>
  </si>
  <si>
    <t>POS00004</t>
  </si>
  <si>
    <t>22-Feb-2025</t>
  </si>
  <si>
    <t>30-Mar-2032</t>
  </si>
  <si>
    <t>POS00005</t>
  </si>
  <si>
    <t>23-Jun-2025</t>
  </si>
  <si>
    <t>GBP</t>
  </si>
  <si>
    <t>01-Apr-2026</t>
  </si>
  <si>
    <t>POS00006</t>
  </si>
  <si>
    <t>27-Jan-2025</t>
  </si>
  <si>
    <t>G-Sec</t>
  </si>
  <si>
    <t>Option</t>
  </si>
  <si>
    <t>INR</t>
  </si>
  <si>
    <t>29-Mar-2037</t>
  </si>
  <si>
    <t>POS00007</t>
  </si>
  <si>
    <t>02-May-2024</t>
  </si>
  <si>
    <t>FX</t>
  </si>
  <si>
    <t>T-Bill</t>
  </si>
  <si>
    <t>Swap</t>
  </si>
  <si>
    <t>01-Apr-2027</t>
  </si>
  <si>
    <t>POS00008</t>
  </si>
  <si>
    <t>21-May-2024</t>
  </si>
  <si>
    <t>Interest Rate Swap</t>
  </si>
  <si>
    <t>POS00009</t>
  </si>
  <si>
    <t>30-Mar-2033</t>
  </si>
  <si>
    <t>POS00010</t>
  </si>
  <si>
    <t>26-Dec-2024</t>
  </si>
  <si>
    <t>CD</t>
  </si>
  <si>
    <t>30-Mar-2034</t>
  </si>
  <si>
    <t>POS00011</t>
  </si>
  <si>
    <t>03-Jun-2025</t>
  </si>
  <si>
    <t>Derivatives</t>
  </si>
  <si>
    <t>CDS</t>
  </si>
  <si>
    <t>USD</t>
  </si>
  <si>
    <t>POS00012</t>
  </si>
  <si>
    <t>CP</t>
  </si>
  <si>
    <t>POS00013</t>
  </si>
  <si>
    <t>03-May-2025</t>
  </si>
  <si>
    <t>EUR</t>
  </si>
  <si>
    <t>POS00014</t>
  </si>
  <si>
    <t>13-Jul-2024</t>
  </si>
  <si>
    <t>POS00015</t>
  </si>
  <si>
    <t>11-May-2025</t>
  </si>
  <si>
    <t>Money Market</t>
  </si>
  <si>
    <t>Bond</t>
  </si>
  <si>
    <t>POS00016</t>
  </si>
  <si>
    <t>02-Feb-2025</t>
  </si>
  <si>
    <t>POS00017</t>
  </si>
  <si>
    <t>10-Sep-2024</t>
  </si>
  <si>
    <t>Equity Share</t>
  </si>
  <si>
    <t>POS00018</t>
  </si>
  <si>
    <t>21-Oct-2024</t>
  </si>
  <si>
    <t>POS00019</t>
  </si>
  <si>
    <t>15-Sep-2024</t>
  </si>
  <si>
    <t>POS00020</t>
  </si>
  <si>
    <t>Future</t>
  </si>
  <si>
    <t>POS00021</t>
  </si>
  <si>
    <t>15-Jul-2025</t>
  </si>
  <si>
    <t>31-Mar-2030</t>
  </si>
  <si>
    <t>POS00022</t>
  </si>
  <si>
    <t>20-Jul-2024</t>
  </si>
  <si>
    <t>POS00023</t>
  </si>
  <si>
    <t>POS00024</t>
  </si>
  <si>
    <t>30-Sep-2025</t>
  </si>
  <si>
    <t>POS00025</t>
  </si>
  <si>
    <t>POS00026</t>
  </si>
  <si>
    <t>17-Oct-2024</t>
  </si>
  <si>
    <t>POS00027</t>
  </si>
  <si>
    <t>18-Feb-2025</t>
  </si>
  <si>
    <t>POS00028</t>
  </si>
  <si>
    <t>POS00029</t>
  </si>
  <si>
    <t>05-Apr-2024</t>
  </si>
  <si>
    <t>30-Mar-2035</t>
  </si>
  <si>
    <t>POS00030</t>
  </si>
  <si>
    <t>19-Sep-2025</t>
  </si>
  <si>
    <t>31-Mar-2029</t>
  </si>
  <si>
    <t>POS00031</t>
  </si>
  <si>
    <t>POS00032</t>
  </si>
  <si>
    <t>28-Jul-2024</t>
  </si>
  <si>
    <t>POS00033</t>
  </si>
  <si>
    <t>POS00034</t>
  </si>
  <si>
    <t>30-Oct-2024</t>
  </si>
  <si>
    <t>POS00035</t>
  </si>
  <si>
    <t>23-Nov-2024</t>
  </si>
  <si>
    <t>POS00036</t>
  </si>
  <si>
    <t>20-Aug-2024</t>
  </si>
  <si>
    <t>POS00037</t>
  </si>
  <si>
    <t>03-Aug-2025</t>
  </si>
  <si>
    <t>POS00038</t>
  </si>
  <si>
    <t>24-Apr-2025</t>
  </si>
  <si>
    <t>POS00039</t>
  </si>
  <si>
    <t>20-Sep-2025</t>
  </si>
  <si>
    <t>POS00040</t>
  </si>
  <si>
    <t>26-May-2024</t>
  </si>
  <si>
    <t>POS00041</t>
  </si>
  <si>
    <t>20-Jun-2024</t>
  </si>
  <si>
    <t>POS00042</t>
  </si>
  <si>
    <t>06-Feb-2025</t>
  </si>
  <si>
    <t>POS00043</t>
  </si>
  <si>
    <t>08-Jul-2025</t>
  </si>
  <si>
    <t>POS00044</t>
  </si>
  <si>
    <t>25-May-2025</t>
  </si>
  <si>
    <t>POS00045</t>
  </si>
  <si>
    <t>13-Jul-2025</t>
  </si>
  <si>
    <t>POS00046</t>
  </si>
  <si>
    <t>10-Aug-2024</t>
  </si>
  <si>
    <t>POS00047</t>
  </si>
  <si>
    <t>15-Aug-2024</t>
  </si>
  <si>
    <t>POS00048</t>
  </si>
  <si>
    <t>20-Mar-2025</t>
  </si>
  <si>
    <t>POS00049</t>
  </si>
  <si>
    <t>POS00050</t>
  </si>
  <si>
    <t>28-Jan-2025</t>
  </si>
  <si>
    <t>POS00051</t>
  </si>
  <si>
    <t>POS00052</t>
  </si>
  <si>
    <t>19-Oct-2024</t>
  </si>
  <si>
    <t>POS00053</t>
  </si>
  <si>
    <t>05-Mar-2025</t>
  </si>
  <si>
    <t>POS00054</t>
  </si>
  <si>
    <t>12-Nov-2024</t>
  </si>
  <si>
    <t>POS00055</t>
  </si>
  <si>
    <t>POS00056</t>
  </si>
  <si>
    <t>15-Jan-2025</t>
  </si>
  <si>
    <t>POS00057</t>
  </si>
  <si>
    <t>POS00058</t>
  </si>
  <si>
    <t>05-Sep-2024</t>
  </si>
  <si>
    <t>POS00059</t>
  </si>
  <si>
    <t>POS00060</t>
  </si>
  <si>
    <t>28-Jun-2024</t>
  </si>
  <si>
    <t>POS00061</t>
  </si>
  <si>
    <t>POS00062</t>
  </si>
  <si>
    <t>07-Sep-2025</t>
  </si>
  <si>
    <t>POS00063</t>
  </si>
  <si>
    <t>POS00064</t>
  </si>
  <si>
    <t>03-Mar-2025</t>
  </si>
  <si>
    <t>POS00065</t>
  </si>
  <si>
    <t>16-Aug-2024</t>
  </si>
  <si>
    <t>POS00066</t>
  </si>
  <si>
    <t>POS00067</t>
  </si>
  <si>
    <t>07-May-2025</t>
  </si>
  <si>
    <t>POS00068</t>
  </si>
  <si>
    <t>11-Sep-2024</t>
  </si>
  <si>
    <t>POS00069</t>
  </si>
  <si>
    <t>25-Jul-2025</t>
  </si>
  <si>
    <t>POS00070</t>
  </si>
  <si>
    <t>19-Jun-2024</t>
  </si>
  <si>
    <t>POS00071</t>
  </si>
  <si>
    <t>13-Jan-2025</t>
  </si>
  <si>
    <t>POS00072</t>
  </si>
  <si>
    <t>26-May-2025</t>
  </si>
  <si>
    <t>POS00073</t>
  </si>
  <si>
    <t>POS00074</t>
  </si>
  <si>
    <t>17-Mar-2025</t>
  </si>
  <si>
    <t>POS00075</t>
  </si>
  <si>
    <t>29-Aug-2025</t>
  </si>
  <si>
    <t>POS00076</t>
  </si>
  <si>
    <t>21-Nov-2024</t>
  </si>
  <si>
    <t>POS00077</t>
  </si>
  <si>
    <t>24-May-2025</t>
  </si>
  <si>
    <t>POS00078</t>
  </si>
  <si>
    <t>16-Dec-2024</t>
  </si>
  <si>
    <t>POS00079</t>
  </si>
  <si>
    <t>POS00080</t>
  </si>
  <si>
    <t>24-May-2024</t>
  </si>
  <si>
    <t>POS00081</t>
  </si>
  <si>
    <t>POS00082</t>
  </si>
  <si>
    <t>21-Sep-2024</t>
  </si>
  <si>
    <t>POS00083</t>
  </si>
  <si>
    <t>POS00084</t>
  </si>
  <si>
    <t>POS00085</t>
  </si>
  <si>
    <t>POS00086</t>
  </si>
  <si>
    <t>20-Jan-2025</t>
  </si>
  <si>
    <t>POS00087</t>
  </si>
  <si>
    <t>POS00088</t>
  </si>
  <si>
    <t>14-May-2024</t>
  </si>
  <si>
    <t>POS00089</t>
  </si>
  <si>
    <t>21-Sep-2025</t>
  </si>
  <si>
    <t>POS00090</t>
  </si>
  <si>
    <t>POS00091</t>
  </si>
  <si>
    <t>12-Jan-2025</t>
  </si>
  <si>
    <t>POS00092</t>
  </si>
  <si>
    <t>POS00093</t>
  </si>
  <si>
    <t>POS00094</t>
  </si>
  <si>
    <t>26-Sep-2024</t>
  </si>
  <si>
    <t>POS00095</t>
  </si>
  <si>
    <t>20-May-2025</t>
  </si>
  <si>
    <t>POS00096</t>
  </si>
  <si>
    <t>29-May-2025</t>
  </si>
  <si>
    <t>POS00097</t>
  </si>
  <si>
    <t>POS00098</t>
  </si>
  <si>
    <t>30-Apr-2024</t>
  </si>
  <si>
    <t>POS00099</t>
  </si>
  <si>
    <t>20-Jun-2025</t>
  </si>
  <si>
    <t>POS00100</t>
  </si>
  <si>
    <t>19-Jan-2025</t>
  </si>
  <si>
    <t>POS00101</t>
  </si>
  <si>
    <t>22-Jun-2025</t>
  </si>
  <si>
    <t>POS00102</t>
  </si>
  <si>
    <t>POS00103</t>
  </si>
  <si>
    <t>POS00104</t>
  </si>
  <si>
    <t>03-May-2024</t>
  </si>
  <si>
    <t>POS00105</t>
  </si>
  <si>
    <t>28-Jun-2025</t>
  </si>
  <si>
    <t>POS00106</t>
  </si>
  <si>
    <t>POS00107</t>
  </si>
  <si>
    <t>POS00108</t>
  </si>
  <si>
    <t>31-Mar-2025</t>
  </si>
  <si>
    <t>POS00109</t>
  </si>
  <si>
    <t>POS00110</t>
  </si>
  <si>
    <t>10-Jun-2024</t>
  </si>
  <si>
    <t>POS00111</t>
  </si>
  <si>
    <t>04-Jun-2024</t>
  </si>
  <si>
    <t>POS00112</t>
  </si>
  <si>
    <t>30-Sep-2024</t>
  </si>
  <si>
    <t>POS00113</t>
  </si>
  <si>
    <t>31-Oct-2024</t>
  </si>
  <si>
    <t>POS00114</t>
  </si>
  <si>
    <t>12-Jun-2024</t>
  </si>
  <si>
    <t>POS00115</t>
  </si>
  <si>
    <t>18-Jul-2024</t>
  </si>
  <si>
    <t>POS00116</t>
  </si>
  <si>
    <t>27-Feb-2025</t>
  </si>
  <si>
    <t>POS00117</t>
  </si>
  <si>
    <t>01-Apr-2024</t>
  </si>
  <si>
    <t>POS00118</t>
  </si>
  <si>
    <t>06-Sep-2025</t>
  </si>
  <si>
    <t>POS00119</t>
  </si>
  <si>
    <t>POS00120</t>
  </si>
  <si>
    <t>POS00121</t>
  </si>
  <si>
    <t>POS00122</t>
  </si>
  <si>
    <t>11-Mar-2025</t>
  </si>
  <si>
    <t>POS00123</t>
  </si>
  <si>
    <t>POS00124</t>
  </si>
  <si>
    <t>POS00125</t>
  </si>
  <si>
    <t>POS00126</t>
  </si>
  <si>
    <t>22-Sep-2025</t>
  </si>
  <si>
    <t>POS00127</t>
  </si>
  <si>
    <t>20-Apr-2024</t>
  </si>
  <si>
    <t>POS00128</t>
  </si>
  <si>
    <t>10-Dec-2024</t>
  </si>
  <si>
    <t>POS00129</t>
  </si>
  <si>
    <t>01-May-2024</t>
  </si>
  <si>
    <t>POS00130</t>
  </si>
  <si>
    <t>14-Feb-2025</t>
  </si>
  <si>
    <t>POS00131</t>
  </si>
  <si>
    <t>09-Sep-2024</t>
  </si>
  <si>
    <t>POS00132</t>
  </si>
  <si>
    <t>06-Jan-2025</t>
  </si>
  <si>
    <t>POS00133</t>
  </si>
  <si>
    <t>28-Aug-2025</t>
  </si>
  <si>
    <t>POS00134</t>
  </si>
  <si>
    <t>POS00135</t>
  </si>
  <si>
    <t>15-Feb-2025</t>
  </si>
  <si>
    <t>POS00136</t>
  </si>
  <si>
    <t>02-May-2025</t>
  </si>
  <si>
    <t>POS00137</t>
  </si>
  <si>
    <t>07-Jul-2025</t>
  </si>
  <si>
    <t>POS00138</t>
  </si>
  <si>
    <t>POS00139</t>
  </si>
  <si>
    <t>POS00140</t>
  </si>
  <si>
    <t>01-Jul-2025</t>
  </si>
  <si>
    <t>POS00141</t>
  </si>
  <si>
    <t>01-Aug-2025</t>
  </si>
  <si>
    <t>POS00142</t>
  </si>
  <si>
    <t>27-Aug-2024</t>
  </si>
  <si>
    <t>POS00143</t>
  </si>
  <si>
    <t>POS00144</t>
  </si>
  <si>
    <t>POS00145</t>
  </si>
  <si>
    <t>19-Feb-2025</t>
  </si>
  <si>
    <t>POS00146</t>
  </si>
  <si>
    <t>31-Jul-2024</t>
  </si>
  <si>
    <t>POS00147</t>
  </si>
  <si>
    <t>09-Jun-2024</t>
  </si>
  <si>
    <t>POS00148</t>
  </si>
  <si>
    <t>04-Aug-2025</t>
  </si>
  <si>
    <t>POS00149</t>
  </si>
  <si>
    <t>POS00150</t>
  </si>
  <si>
    <t>04-May-2025</t>
  </si>
  <si>
    <t>POS00151</t>
  </si>
  <si>
    <t>24-Jul-2024</t>
  </si>
  <si>
    <t>POS00152</t>
  </si>
  <si>
    <t>10-Jul-2024</t>
  </si>
  <si>
    <t>POS00153</t>
  </si>
  <si>
    <t>18-May-2024</t>
  </si>
  <si>
    <t>POS00154</t>
  </si>
  <si>
    <t>31-Aug-2024</t>
  </si>
  <si>
    <t>POS00155</t>
  </si>
  <si>
    <t>13-Feb-2025</t>
  </si>
  <si>
    <t>POS00156</t>
  </si>
  <si>
    <t>POS00157</t>
  </si>
  <si>
    <t>POS00158</t>
  </si>
  <si>
    <t>13-Aug-2025</t>
  </si>
  <si>
    <t>POS00159</t>
  </si>
  <si>
    <t>POS00160</t>
  </si>
  <si>
    <t>POS00161</t>
  </si>
  <si>
    <t>11-Jun-2024</t>
  </si>
  <si>
    <t>POS00162</t>
  </si>
  <si>
    <t>POS00163</t>
  </si>
  <si>
    <t>09-Apr-2024</t>
  </si>
  <si>
    <t>POS00164</t>
  </si>
  <si>
    <t>17-Jun-2025</t>
  </si>
  <si>
    <t>POS00165</t>
  </si>
  <si>
    <t>POS00166</t>
  </si>
  <si>
    <t>10-Jun-2025</t>
  </si>
  <si>
    <t>POS00167</t>
  </si>
  <si>
    <t>11-Apr-2025</t>
  </si>
  <si>
    <t>POS00168</t>
  </si>
  <si>
    <t>POS00169</t>
  </si>
  <si>
    <t>09-Jul-2025</t>
  </si>
  <si>
    <t>POS00170</t>
  </si>
  <si>
    <t>POS00171</t>
  </si>
  <si>
    <t>20-Dec-2024</t>
  </si>
  <si>
    <t>POS00172</t>
  </si>
  <si>
    <t>POS00173</t>
  </si>
  <si>
    <t>POS00174</t>
  </si>
  <si>
    <t>04-Jul-2025</t>
  </si>
  <si>
    <t>POS00175</t>
  </si>
  <si>
    <t>06-May-2025</t>
  </si>
  <si>
    <t>POS00176</t>
  </si>
  <si>
    <t>16-Jul-2024</t>
  </si>
  <si>
    <t>POS00177</t>
  </si>
  <si>
    <t>01-Aug-2024</t>
  </si>
  <si>
    <t>POS00178</t>
  </si>
  <si>
    <t>POS00179</t>
  </si>
  <si>
    <t>08-May-2025</t>
  </si>
  <si>
    <t>POS00180</t>
  </si>
  <si>
    <t>23-Aug-2025</t>
  </si>
  <si>
    <t>POS00181</t>
  </si>
  <si>
    <t>18-Nov-2024</t>
  </si>
  <si>
    <t>POS00182</t>
  </si>
  <si>
    <t>POS00183</t>
  </si>
  <si>
    <t>12-Oct-2024</t>
  </si>
  <si>
    <t>POS00184</t>
  </si>
  <si>
    <t>14-Mar-2025</t>
  </si>
  <si>
    <t>POS00185</t>
  </si>
  <si>
    <t>23-Aug-2024</t>
  </si>
  <si>
    <t>POS00186</t>
  </si>
  <si>
    <t>26-Jul-2024</t>
  </si>
  <si>
    <t>POS00187</t>
  </si>
  <si>
    <t>POS00188</t>
  </si>
  <si>
    <t>17-Apr-2024</t>
  </si>
  <si>
    <t>POS00189</t>
  </si>
  <si>
    <t>06-Jul-2025</t>
  </si>
  <si>
    <t>POS00190</t>
  </si>
  <si>
    <t>25-Sep-2025</t>
  </si>
  <si>
    <t>POS00191</t>
  </si>
  <si>
    <t>POS00192</t>
  </si>
  <si>
    <t>POS00193</t>
  </si>
  <si>
    <t>20-Apr-2025</t>
  </si>
  <si>
    <t>POS00194</t>
  </si>
  <si>
    <t>POS00195</t>
  </si>
  <si>
    <t>22-Nov-2024</t>
  </si>
  <si>
    <t>POS00196</t>
  </si>
  <si>
    <t>POS00197</t>
  </si>
  <si>
    <t>13-Apr-2024</t>
  </si>
  <si>
    <t>POS00198</t>
  </si>
  <si>
    <t>POS00199</t>
  </si>
  <si>
    <t>POS00200</t>
  </si>
  <si>
    <t>08-Jun-2024</t>
  </si>
  <si>
    <t>PILLAR 1  |  Operational Risk – Loss Event Register  |  Bank Risk Management Dashboard</t>
  </si>
  <si>
    <t>Incident_ID</t>
  </si>
  <si>
    <t>Date</t>
  </si>
  <si>
    <t>Business_Unit</t>
  </si>
  <si>
    <t>Risk_Category</t>
  </si>
  <si>
    <t>Event_Type</t>
  </si>
  <si>
    <t>Gross_Loss_Cr</t>
  </si>
  <si>
    <t>Net_Loss_Cr</t>
  </si>
  <si>
    <t>Recovery_Cr</t>
  </si>
  <si>
    <t>RCSA_Score</t>
  </si>
  <si>
    <t>KRI_Breach</t>
  </si>
  <si>
    <t>RCA_Done</t>
  </si>
  <si>
    <t>Control_Adequacy</t>
  </si>
  <si>
    <t>Residual_Risk</t>
  </si>
  <si>
    <t>BEL_Estimate_Cr</t>
  </si>
  <si>
    <t>Action_Owner</t>
  </si>
  <si>
    <t>Target_Date</t>
  </si>
  <si>
    <t>Op_Capital_Cr</t>
  </si>
  <si>
    <t>INC2024001</t>
  </si>
  <si>
    <t>30-May-2025</t>
  </si>
  <si>
    <t>HR</t>
  </si>
  <si>
    <t>People Risk</t>
  </si>
  <si>
    <t>Fraud</t>
  </si>
  <si>
    <t>Weak</t>
  </si>
  <si>
    <t>Medium</t>
  </si>
  <si>
    <t>Owner_40</t>
  </si>
  <si>
    <t>07-Aug-2025</t>
  </si>
  <si>
    <t>Open</t>
  </si>
  <si>
    <t>INC2024002</t>
  </si>
  <si>
    <t>11-Jul-2024</t>
  </si>
  <si>
    <t>Trade Finance</t>
  </si>
  <si>
    <t>Internal Fraud</t>
  </si>
  <si>
    <t>System Failure</t>
  </si>
  <si>
    <t>Adequate</t>
  </si>
  <si>
    <t>Owner_10</t>
  </si>
  <si>
    <t>23-Apr-2026</t>
  </si>
  <si>
    <t>Closed</t>
  </si>
  <si>
    <t>INC2024003</t>
  </si>
  <si>
    <t>Retail Banking</t>
  </si>
  <si>
    <t>Natural Disaster</t>
  </si>
  <si>
    <t>Strong</t>
  </si>
  <si>
    <t>Owner_13</t>
  </si>
  <si>
    <t>04-Mar-2025</t>
  </si>
  <si>
    <t>INC2024004</t>
  </si>
  <si>
    <t>Forex</t>
  </si>
  <si>
    <t>Technology Risk</t>
  </si>
  <si>
    <t>Owner_9</t>
  </si>
  <si>
    <t>05-May-2026</t>
  </si>
  <si>
    <t>INC2024005</t>
  </si>
  <si>
    <t>24-Jun-2024</t>
  </si>
  <si>
    <t>Cards</t>
  </si>
  <si>
    <t>Process Risk</t>
  </si>
  <si>
    <t>Third Party Failure</t>
  </si>
  <si>
    <t>Owner_11</t>
  </si>
  <si>
    <t>30-Jan-2026</t>
  </si>
  <si>
    <t>INC2024006</t>
  </si>
  <si>
    <t>05-Jul-2024</t>
  </si>
  <si>
    <t>ATM</t>
  </si>
  <si>
    <t>Cyber</t>
  </si>
  <si>
    <t>Process Error</t>
  </si>
  <si>
    <t>Low</t>
  </si>
  <si>
    <t>Owner_14</t>
  </si>
  <si>
    <t>14-Nov-2025</t>
  </si>
  <si>
    <t>INC2024007</t>
  </si>
  <si>
    <t>12-Nov-2025</t>
  </si>
  <si>
    <t>Inadequate</t>
  </si>
  <si>
    <t>Owner_50</t>
  </si>
  <si>
    <t>15-Apr-2025</t>
  </si>
  <si>
    <t>In Progress</t>
  </si>
  <si>
    <t>INC2024008</t>
  </si>
  <si>
    <t>External Fraud</t>
  </si>
  <si>
    <t>Theft</t>
  </si>
  <si>
    <t>Owner_47</t>
  </si>
  <si>
    <t>INC2024009</t>
  </si>
  <si>
    <t>Treasury</t>
  </si>
  <si>
    <t>Business Continuity</t>
  </si>
  <si>
    <t>Owner_21</t>
  </si>
  <si>
    <t>28-Feb-2025</t>
  </si>
  <si>
    <t>INC2024010</t>
  </si>
  <si>
    <t>20-Aug-2025</t>
  </si>
  <si>
    <t>Regulatory Action</t>
  </si>
  <si>
    <t>Owner_32</t>
  </si>
  <si>
    <t>12-Jul-2025</t>
  </si>
  <si>
    <t>INC2024011</t>
  </si>
  <si>
    <t>13-Nov-2025</t>
  </si>
  <si>
    <t>Legal/Compliance</t>
  </si>
  <si>
    <t>Owner_29</t>
  </si>
  <si>
    <t>INC2024012</t>
  </si>
  <si>
    <t>08-Aug-2024</t>
  </si>
  <si>
    <t>05-Jul-2025</t>
  </si>
  <si>
    <t>INC2024013</t>
  </si>
  <si>
    <t>21-Jun-2025</t>
  </si>
  <si>
    <t>Rogue Trading</t>
  </si>
  <si>
    <t>Owner_30</t>
  </si>
  <si>
    <t>29-Jan-2026</t>
  </si>
  <si>
    <t>INC2024014</t>
  </si>
  <si>
    <t>23-Jul-2024</t>
  </si>
  <si>
    <t>Owner_2</t>
  </si>
  <si>
    <t>12-Mar-2026</t>
  </si>
  <si>
    <t>INC2024015</t>
  </si>
  <si>
    <t>Owner_8</t>
  </si>
  <si>
    <t>INC2024016</t>
  </si>
  <si>
    <t>19-May-2025</t>
  </si>
  <si>
    <t>Reputational</t>
  </si>
  <si>
    <t>Employee Misconduct</t>
  </si>
  <si>
    <t>Owner_33</t>
  </si>
  <si>
    <t>INC2024017</t>
  </si>
  <si>
    <t>22-Sep-2024</t>
  </si>
  <si>
    <t>Owner_27</t>
  </si>
  <si>
    <t>22-Dec-2025</t>
  </si>
  <si>
    <t>INC2024018</t>
  </si>
  <si>
    <t>19-Feb-2024</t>
  </si>
  <si>
    <t>22-Apr-2026</t>
  </si>
  <si>
    <t>INC2024019</t>
  </si>
  <si>
    <t>04-Nov-2024</t>
  </si>
  <si>
    <t>Owner_22</t>
  </si>
  <si>
    <t>INC2024020</t>
  </si>
  <si>
    <t>INC2024021</t>
  </si>
  <si>
    <t>18-Jan-2024</t>
  </si>
  <si>
    <t>Owner_48</t>
  </si>
  <si>
    <t>24-Mar-2026</t>
  </si>
  <si>
    <t>INC2024022</t>
  </si>
  <si>
    <t>Data Breach</t>
  </si>
  <si>
    <t>Owner_49</t>
  </si>
  <si>
    <t>08-Sep-2025</t>
  </si>
  <si>
    <t>INC2024023</t>
  </si>
  <si>
    <t>INC2024024</t>
  </si>
  <si>
    <t>24-Aug-2025</t>
  </si>
  <si>
    <t>08-Feb-2026</t>
  </si>
  <si>
    <t>INC2024025</t>
  </si>
  <si>
    <t>01-Jun-2025</t>
  </si>
  <si>
    <t>Agri Lending</t>
  </si>
  <si>
    <t>Owner_1</t>
  </si>
  <si>
    <t>13-Jun-2026</t>
  </si>
  <si>
    <t>INC2024026</t>
  </si>
  <si>
    <t>07-Aug-2024</t>
  </si>
  <si>
    <t>21-Oct-2025</t>
  </si>
  <si>
    <t>INC2024027</t>
  </si>
  <si>
    <t>10-Oct-2025</t>
  </si>
  <si>
    <t>INC2024028</t>
  </si>
  <si>
    <t>29-Jan-2025</t>
  </si>
  <si>
    <t>Owner_5</t>
  </si>
  <si>
    <t>04-May-2026</t>
  </si>
  <si>
    <t>INC2024029</t>
  </si>
  <si>
    <t>26-Nov-2025</t>
  </si>
  <si>
    <t>Owner_26</t>
  </si>
  <si>
    <t>21-Jan-2026</t>
  </si>
  <si>
    <t>INC2024030</t>
  </si>
  <si>
    <t>21-Jun-2024</t>
  </si>
  <si>
    <t>31-Jan-2026</t>
  </si>
  <si>
    <t>INC2024031</t>
  </si>
  <si>
    <t>Owner_17</t>
  </si>
  <si>
    <t>08-Oct-2025</t>
  </si>
  <si>
    <t>INC2024032</t>
  </si>
  <si>
    <t>Owner_20</t>
  </si>
  <si>
    <t>INC2024033</t>
  </si>
  <si>
    <t>19-Mar-2024</t>
  </si>
  <si>
    <t>Owner_28</t>
  </si>
  <si>
    <t>26-Apr-2026</t>
  </si>
  <si>
    <t>INC2024034</t>
  </si>
  <si>
    <t>09-Apr-2025</t>
  </si>
  <si>
    <t>INC2024035</t>
  </si>
  <si>
    <t>Owner_4</t>
  </si>
  <si>
    <t>INC2024036</t>
  </si>
  <si>
    <t>Owner_24</t>
  </si>
  <si>
    <t>28-Jul-2025</t>
  </si>
  <si>
    <t>INC2024037</t>
  </si>
  <si>
    <t>02-Oct-2025</t>
  </si>
  <si>
    <t>INC2024038</t>
  </si>
  <si>
    <t>08-Mar-2024</t>
  </si>
  <si>
    <t>22-Jan-2026</t>
  </si>
  <si>
    <t>INC2024039</t>
  </si>
  <si>
    <t>25-Aug-2025</t>
  </si>
  <si>
    <t>15-Oct-2025</t>
  </si>
  <si>
    <t>INC2024040</t>
  </si>
  <si>
    <t>24-Feb-2025</t>
  </si>
  <si>
    <t>INC2024041</t>
  </si>
  <si>
    <t>Owner_34</t>
  </si>
  <si>
    <t>INC2024042</t>
  </si>
  <si>
    <t>02-Aug-2024</t>
  </si>
  <si>
    <t>INC2024043</t>
  </si>
  <si>
    <t>18-Nov-2025</t>
  </si>
  <si>
    <t>Owner_41</t>
  </si>
  <si>
    <t>30-Oct-2025</t>
  </si>
  <si>
    <t>INC2024044</t>
  </si>
  <si>
    <t>02-Aug-2025</t>
  </si>
  <si>
    <t>Vendor Risk</t>
  </si>
  <si>
    <t>21-Dec-2025</t>
  </si>
  <si>
    <t>INC2024045</t>
  </si>
  <si>
    <t>INC2024046</t>
  </si>
  <si>
    <t>27-Jul-2025</t>
  </si>
  <si>
    <t>Owner_3</t>
  </si>
  <si>
    <t>08-Jun-2026</t>
  </si>
  <si>
    <t>INC2024047</t>
  </si>
  <si>
    <t>21-Jan-2024</t>
  </si>
  <si>
    <t>19-Nov-2025</t>
  </si>
  <si>
    <t>INC2024048</t>
  </si>
  <si>
    <t>18-Jun-2025</t>
  </si>
  <si>
    <t>31-May-2025</t>
  </si>
  <si>
    <t>INC2024049</t>
  </si>
  <si>
    <t>INC2024050</t>
  </si>
  <si>
    <t>Owner_43</t>
  </si>
  <si>
    <t>02-Jun-2025</t>
  </si>
  <si>
    <t>INC2024051</t>
  </si>
  <si>
    <t>19-Jul-2025</t>
  </si>
  <si>
    <t>INC2024052</t>
  </si>
  <si>
    <t>29-Aug-2024</t>
  </si>
  <si>
    <t>Owner_31</t>
  </si>
  <si>
    <t>INC2024053</t>
  </si>
  <si>
    <t>06-Dec-2024</t>
  </si>
  <si>
    <t>Owner_42</t>
  </si>
  <si>
    <t>INC2024054</t>
  </si>
  <si>
    <t>07-Oct-2025</t>
  </si>
  <si>
    <t>Owner_46</t>
  </si>
  <si>
    <t>INC2024055</t>
  </si>
  <si>
    <t>31-Aug-2025</t>
  </si>
  <si>
    <t>INC2024056</t>
  </si>
  <si>
    <t>25-Jan-2026</t>
  </si>
  <si>
    <t>INC2024057</t>
  </si>
  <si>
    <t>20-Feb-2024</t>
  </si>
  <si>
    <t>Owner_44</t>
  </si>
  <si>
    <t>INC2024058</t>
  </si>
  <si>
    <t>12-Jan-2026</t>
  </si>
  <si>
    <t>INC2024059</t>
  </si>
  <si>
    <t>28-Sep-2025</t>
  </si>
  <si>
    <t>INC2024060</t>
  </si>
  <si>
    <t>11-May-2026</t>
  </si>
  <si>
    <t>INC2024061</t>
  </si>
  <si>
    <t>12-Sep-2025</t>
  </si>
  <si>
    <t>Owner_12</t>
  </si>
  <si>
    <t>13-Jun-2025</t>
  </si>
  <si>
    <t>INC2024062</t>
  </si>
  <si>
    <t>13-Oct-2025</t>
  </si>
  <si>
    <t>INC2024063</t>
  </si>
  <si>
    <t>INC2024064</t>
  </si>
  <si>
    <t>24-Jun-2026</t>
  </si>
  <si>
    <t>INC2024065</t>
  </si>
  <si>
    <t>11-Feb-2024</t>
  </si>
  <si>
    <t>Owner_19</t>
  </si>
  <si>
    <t>INC2024066</t>
  </si>
  <si>
    <t>04-Jun-2025</t>
  </si>
  <si>
    <t>INC2024067</t>
  </si>
  <si>
    <t>02-Dec-2024</t>
  </si>
  <si>
    <t>03-Jan-2026</t>
  </si>
  <si>
    <t>INC2024068</t>
  </si>
  <si>
    <t>17-Mar-2026</t>
  </si>
  <si>
    <t>INC2024069</t>
  </si>
  <si>
    <t>26-Nov-2024</t>
  </si>
  <si>
    <t>INC2024070</t>
  </si>
  <si>
    <t>16-Feb-2025</t>
  </si>
  <si>
    <t>21-Mar-2025</t>
  </si>
  <si>
    <t>INC2024071</t>
  </si>
  <si>
    <t>10-Sep-2025</t>
  </si>
  <si>
    <t>INC2024072</t>
  </si>
  <si>
    <t>INC2024073</t>
  </si>
  <si>
    <t>15-May-2026</t>
  </si>
  <si>
    <t>INC2024074</t>
  </si>
  <si>
    <t>09-Jun-2025</t>
  </si>
  <si>
    <t>Owner_6</t>
  </si>
  <si>
    <t>28-Feb-2026</t>
  </si>
  <si>
    <t>INC2024075</t>
  </si>
  <si>
    <t>26-Apr-2024</t>
  </si>
  <si>
    <t>16-Dec-2025</t>
  </si>
  <si>
    <t>INC2024076</t>
  </si>
  <si>
    <t>INC2024077</t>
  </si>
  <si>
    <t>INC2024078</t>
  </si>
  <si>
    <t>05-Nov-2024</t>
  </si>
  <si>
    <t>INC2024079</t>
  </si>
  <si>
    <t>22-Mar-2025</t>
  </si>
  <si>
    <t>Owner_45</t>
  </si>
  <si>
    <t>INC2024080</t>
  </si>
  <si>
    <t>INC2024081</t>
  </si>
  <si>
    <t>07-Feb-2024</t>
  </si>
  <si>
    <t>04-Sep-2025</t>
  </si>
  <si>
    <t>INC2024082</t>
  </si>
  <si>
    <t>20-Jul-2025</t>
  </si>
  <si>
    <t>27-Jun-2025</t>
  </si>
  <si>
    <t>INC2024083</t>
  </si>
  <si>
    <t>25-Apr-2025</t>
  </si>
  <si>
    <t>18-Aug-2025</t>
  </si>
  <si>
    <t>INC2024084</t>
  </si>
  <si>
    <t>07-Dec-2025</t>
  </si>
  <si>
    <t>INC2024085</t>
  </si>
  <si>
    <t>INC2024086</t>
  </si>
  <si>
    <t>Owner_18</t>
  </si>
  <si>
    <t>INC2024087</t>
  </si>
  <si>
    <t>11-Jun-2025</t>
  </si>
  <si>
    <t>17-Oct-2025</t>
  </si>
  <si>
    <t>INC2024088</t>
  </si>
  <si>
    <t>05-Aug-2025</t>
  </si>
  <si>
    <t>INC2024089</t>
  </si>
  <si>
    <t>15-Mar-2025</t>
  </si>
  <si>
    <t>INC2024090</t>
  </si>
  <si>
    <t>INC2024091</t>
  </si>
  <si>
    <t>31-Jan-2024</t>
  </si>
  <si>
    <t>INC2024092</t>
  </si>
  <si>
    <t>07-Nov-2025</t>
  </si>
  <si>
    <t>INC2024093</t>
  </si>
  <si>
    <t>17-Nov-2024</t>
  </si>
  <si>
    <t>10-Mar-2026</t>
  </si>
  <si>
    <t>INC2024094</t>
  </si>
  <si>
    <t>19-Dec-2024</t>
  </si>
  <si>
    <t>INC2024095</t>
  </si>
  <si>
    <t>09-Feb-2026</t>
  </si>
  <si>
    <t>INC2024096</t>
  </si>
  <si>
    <t>21-Jun-2026</t>
  </si>
  <si>
    <t>INC2024097</t>
  </si>
  <si>
    <t>24-Dec-2024</t>
  </si>
  <si>
    <t>INC2024098</t>
  </si>
  <si>
    <t>Owner_36</t>
  </si>
  <si>
    <t>23-Oct-2025</t>
  </si>
  <si>
    <t>INC2024099</t>
  </si>
  <si>
    <t>27-Sep-2024</t>
  </si>
  <si>
    <t>INC2024100</t>
  </si>
  <si>
    <t>12-May-2024</t>
  </si>
  <si>
    <t>INC2024101</t>
  </si>
  <si>
    <t>INC2024102</t>
  </si>
  <si>
    <t>06-May-2026</t>
  </si>
  <si>
    <t>INC2024103</t>
  </si>
  <si>
    <t>06-Jan-2026</t>
  </si>
  <si>
    <t>INC2024104</t>
  </si>
  <si>
    <t>31-Jan-2025</t>
  </si>
  <si>
    <t>14-Mar-2026</t>
  </si>
  <si>
    <t>INC2024105</t>
  </si>
  <si>
    <t>INC2024106</t>
  </si>
  <si>
    <t>20-Jan-2024</t>
  </si>
  <si>
    <t>24-Jul-2025</t>
  </si>
  <si>
    <t>INC2024107</t>
  </si>
  <si>
    <t>INC2024108</t>
  </si>
  <si>
    <t>13-Apr-2025</t>
  </si>
  <si>
    <t>INC2024109</t>
  </si>
  <si>
    <t>INC2024110</t>
  </si>
  <si>
    <t>11-Nov-2025</t>
  </si>
  <si>
    <t>INC2024111</t>
  </si>
  <si>
    <t>Owner_35</t>
  </si>
  <si>
    <t>INC2024112</t>
  </si>
  <si>
    <t>INC2024113</t>
  </si>
  <si>
    <t>03-Apr-2025</t>
  </si>
  <si>
    <t>INC2024114</t>
  </si>
  <si>
    <t>19-Jun-2025</t>
  </si>
  <si>
    <t>INC2024115</t>
  </si>
  <si>
    <t>09-Nov-2025</t>
  </si>
  <si>
    <t>INC2024116</t>
  </si>
  <si>
    <t>INC2024117</t>
  </si>
  <si>
    <t>INC2024118</t>
  </si>
  <si>
    <t>14-Aug-2024</t>
  </si>
  <si>
    <t>INC2024119</t>
  </si>
  <si>
    <t>16-Nov-2025</t>
  </si>
  <si>
    <t>INC2024120</t>
  </si>
  <si>
    <t>07-Mar-2024</t>
  </si>
  <si>
    <t>INC2024121</t>
  </si>
  <si>
    <t>28-Nov-2025</t>
  </si>
  <si>
    <t>14-Jan-2026</t>
  </si>
  <si>
    <t>INC2024122</t>
  </si>
  <si>
    <t>INC2024123</t>
  </si>
  <si>
    <t>09-Sep-2025</t>
  </si>
  <si>
    <t>INC2024124</t>
  </si>
  <si>
    <t>04-Dec-2025</t>
  </si>
  <si>
    <t>INC2024125</t>
  </si>
  <si>
    <t>07-Apr-2024</t>
  </si>
  <si>
    <t>INC2024126</t>
  </si>
  <si>
    <t>Owner_25</t>
  </si>
  <si>
    <t>INC2024127</t>
  </si>
  <si>
    <t>Owner_7</t>
  </si>
  <si>
    <t>INC2024128</t>
  </si>
  <si>
    <t>30-Aug-2025</t>
  </si>
  <si>
    <t>INC2024129</t>
  </si>
  <si>
    <t>15-Nov-2024</t>
  </si>
  <si>
    <t>Owner_39</t>
  </si>
  <si>
    <t>INC2024130</t>
  </si>
  <si>
    <t>24-Dec-2025</t>
  </si>
  <si>
    <t>INC2024131</t>
  </si>
  <si>
    <t>INC2024132</t>
  </si>
  <si>
    <t>INC2024133</t>
  </si>
  <si>
    <t>13-Sep-2025</t>
  </si>
  <si>
    <t>INC2024134</t>
  </si>
  <si>
    <t>05-Jun-2025</t>
  </si>
  <si>
    <t>INC2024135</t>
  </si>
  <si>
    <t>19-Jul-2024</t>
  </si>
  <si>
    <t>INC2024136</t>
  </si>
  <si>
    <t>INC2024137</t>
  </si>
  <si>
    <t>19-Dec-2025</t>
  </si>
  <si>
    <t>INC2024138</t>
  </si>
  <si>
    <t>18-Oct-2025</t>
  </si>
  <si>
    <t>INC2024139</t>
  </si>
  <si>
    <t>23-Dec-2025</t>
  </si>
  <si>
    <t>INC2024140</t>
  </si>
  <si>
    <t>08-Nov-2025</t>
  </si>
  <si>
    <t>INC2024141</t>
  </si>
  <si>
    <t>17-May-2024</t>
  </si>
  <si>
    <t>INC2024142</t>
  </si>
  <si>
    <t>06-Nov-2025</t>
  </si>
  <si>
    <t>INC2024143</t>
  </si>
  <si>
    <t>10-Oct-2024</t>
  </si>
  <si>
    <t>15-Jan-2026</t>
  </si>
  <si>
    <t>INC2024144</t>
  </si>
  <si>
    <t>14-Jul-2024</t>
  </si>
  <si>
    <t>01-Jan-2026</t>
  </si>
  <si>
    <t>INC2024145</t>
  </si>
  <si>
    <t>28-Apr-2025</t>
  </si>
  <si>
    <t>INC2024146</t>
  </si>
  <si>
    <t>INC2024147</t>
  </si>
  <si>
    <t>13-Dec-2024</t>
  </si>
  <si>
    <t>INC2024148</t>
  </si>
  <si>
    <t>INC2024149</t>
  </si>
  <si>
    <t>12-May-2025</t>
  </si>
  <si>
    <t>INC2024150</t>
  </si>
  <si>
    <t>30-Jan-2025</t>
  </si>
  <si>
    <t>21-Apr-2025</t>
  </si>
  <si>
    <t>INC2024151</t>
  </si>
  <si>
    <t>INC2024152</t>
  </si>
  <si>
    <t>06-Dec-2025</t>
  </si>
  <si>
    <t>INC2024153</t>
  </si>
  <si>
    <t>28-Mar-2026</t>
  </si>
  <si>
    <t>INC2024154</t>
  </si>
  <si>
    <t>01-Mar-2025</t>
  </si>
  <si>
    <t>INC2024155</t>
  </si>
  <si>
    <t>INC2024156</t>
  </si>
  <si>
    <t>INC2024157</t>
  </si>
  <si>
    <t>13-Sep-2024</t>
  </si>
  <si>
    <t>27-Mar-2026</t>
  </si>
  <si>
    <t>INC2024158</t>
  </si>
  <si>
    <t>INC2024159</t>
  </si>
  <si>
    <t>01-Jan-2025</t>
  </si>
  <si>
    <t>INC2024160</t>
  </si>
  <si>
    <t>08-Jan-2026</t>
  </si>
  <si>
    <t>INC2024161</t>
  </si>
  <si>
    <t>13-Aug-2024</t>
  </si>
  <si>
    <t>26-May-2026</t>
  </si>
  <si>
    <t>INC2024162</t>
  </si>
  <si>
    <t>Owner_15</t>
  </si>
  <si>
    <t>INC2024163</t>
  </si>
  <si>
    <t>27-Oct-2025</t>
  </si>
  <si>
    <t>INC2024164</t>
  </si>
  <si>
    <t>INC2024165</t>
  </si>
  <si>
    <t>26-Jan-2025</t>
  </si>
  <si>
    <t>22-Feb-2026</t>
  </si>
  <si>
    <t>INC2024166</t>
  </si>
  <si>
    <t>INC2024167</t>
  </si>
  <si>
    <t>INC2024168</t>
  </si>
  <si>
    <t>22-Jun-2026</t>
  </si>
  <si>
    <t>INC2024169</t>
  </si>
  <si>
    <t>INC2024170</t>
  </si>
  <si>
    <t>22-Aug-2025</t>
  </si>
  <si>
    <t>INC2024171</t>
  </si>
  <si>
    <t>23-Feb-2026</t>
  </si>
  <si>
    <t>INC2024172</t>
  </si>
  <si>
    <t>01-Sep-2025</t>
  </si>
  <si>
    <t>INC2024173</t>
  </si>
  <si>
    <t>INC2024174</t>
  </si>
  <si>
    <t>11-Nov-2024</t>
  </si>
  <si>
    <t>13-May-2026</t>
  </si>
  <si>
    <t>INC2024175</t>
  </si>
  <si>
    <t>INC2024176</t>
  </si>
  <si>
    <t>INC2024177</t>
  </si>
  <si>
    <t>11-Feb-2025</t>
  </si>
  <si>
    <t>INC2024178</t>
  </si>
  <si>
    <t>23-Jan-2026</t>
  </si>
  <si>
    <t>INC2024179</t>
  </si>
  <si>
    <t>07-Jan-2024</t>
  </si>
  <si>
    <t>INC2024180</t>
  </si>
  <si>
    <t>21-Mar-2026</t>
  </si>
  <si>
    <t>INC2024181</t>
  </si>
  <si>
    <t>INC2024182</t>
  </si>
  <si>
    <t>11-Aug-2025</t>
  </si>
  <si>
    <t>INC2024183</t>
  </si>
  <si>
    <t>INC2024184</t>
  </si>
  <si>
    <t>04-Dec-2024</t>
  </si>
  <si>
    <t>INC2024185</t>
  </si>
  <si>
    <t>INC2024186</t>
  </si>
  <si>
    <t>30-Jun-2025</t>
  </si>
  <si>
    <t>INC2024187</t>
  </si>
  <si>
    <t>INC2024188</t>
  </si>
  <si>
    <t>06-Sep-2024</t>
  </si>
  <si>
    <t>INC2024189</t>
  </si>
  <si>
    <t>17-Nov-2025</t>
  </si>
  <si>
    <t>INC2024190</t>
  </si>
  <si>
    <t>31-Oct-2025</t>
  </si>
  <si>
    <t>INC2024191</t>
  </si>
  <si>
    <t>10-May-2024</t>
  </si>
  <si>
    <t>24-May-2026</t>
  </si>
  <si>
    <t>INC2024192</t>
  </si>
  <si>
    <t>16-Apr-2025</t>
  </si>
  <si>
    <t>INC2024193</t>
  </si>
  <si>
    <t>29-May-2024</t>
  </si>
  <si>
    <t>INC2024194</t>
  </si>
  <si>
    <t>01-Mar-2024</t>
  </si>
  <si>
    <t>03-Jul-2025</t>
  </si>
  <si>
    <t>INC2024195</t>
  </si>
  <si>
    <t>23-Jan-2024</t>
  </si>
  <si>
    <t>INC2024196</t>
  </si>
  <si>
    <t>14-Sep-2025</t>
  </si>
  <si>
    <t>INC2024197</t>
  </si>
  <si>
    <t>13-Jan-2026</t>
  </si>
  <si>
    <t>INC2024198</t>
  </si>
  <si>
    <t>27-Feb-2024</t>
  </si>
  <si>
    <t>01-Apr-2025</t>
  </si>
  <si>
    <t>INC2024199</t>
  </si>
  <si>
    <t>10-Feb-2025</t>
  </si>
  <si>
    <t>31-Dec-2025</t>
  </si>
  <si>
    <t>INC2024200</t>
  </si>
  <si>
    <t>11-Jan-2025</t>
  </si>
  <si>
    <t>PILLAR 1  |  Capital Adequacy – CRAR &amp; RWA Trend  |  Bank Risk Management Dashboard</t>
  </si>
  <si>
    <t>Quarter</t>
  </si>
  <si>
    <t>CET1_Cr</t>
  </si>
  <si>
    <t>Tier1_Cr</t>
  </si>
  <si>
    <t>Tier2_Cr</t>
  </si>
  <si>
    <t>Total_Capital_Cr</t>
  </si>
  <si>
    <t>Credit_RWA_Cr</t>
  </si>
  <si>
    <t>Market_RWA_Cr</t>
  </si>
  <si>
    <t>Op_RWA_Cr</t>
  </si>
  <si>
    <t>Total_RWA_Cr</t>
  </si>
  <si>
    <t>CET1_%</t>
  </si>
  <si>
    <t>Tier1_%</t>
  </si>
  <si>
    <t>CCB_%</t>
  </si>
  <si>
    <t>D-SIB_Buffer_%</t>
  </si>
  <si>
    <t>Leverage_Ratio_%</t>
  </si>
  <si>
    <t>Capital_Buffer_Cr</t>
  </si>
  <si>
    <t>ICAAP_Headroom_Cr</t>
  </si>
  <si>
    <t>Q1-FY24</t>
  </si>
  <si>
    <t>Q2-FY24</t>
  </si>
  <si>
    <t>Q3-FY24</t>
  </si>
  <si>
    <t>Q4-FY24</t>
  </si>
  <si>
    <t>Q1-FY25</t>
  </si>
  <si>
    <t>Q2-FY25</t>
  </si>
  <si>
    <t>Q3-FY25</t>
  </si>
  <si>
    <t>Q4-FY25</t>
  </si>
  <si>
    <t>Q1-FY26</t>
  </si>
  <si>
    <t>Q2-FY26</t>
  </si>
  <si>
    <t>Q3-FY26</t>
  </si>
  <si>
    <t>Q4-FY26</t>
  </si>
  <si>
    <t>PILLAR 2  |  Liquidity Risk – LCR/NSFR/Gap Analysis  |  Bank Risk Management Dashboard</t>
  </si>
  <si>
    <t>Record_ID</t>
  </si>
  <si>
    <t>Time_Bucket</t>
  </si>
  <si>
    <t>Inflow_Cr</t>
  </si>
  <si>
    <t>Outflow_Cr</t>
  </si>
  <si>
    <t>Net_Gap_Cr</t>
  </si>
  <si>
    <t>Cumul_Gap_Cr</t>
  </si>
  <si>
    <t>LCR_%</t>
  </si>
  <si>
    <t>NSFR_%</t>
  </si>
  <si>
    <t>SLR_%</t>
  </si>
  <si>
    <t>CRR_%</t>
  </si>
  <si>
    <t>HQLA_Cr</t>
  </si>
  <si>
    <t>HQLA_L1_Cr</t>
  </si>
  <si>
    <t>HQLA_L2_Cr</t>
  </si>
  <si>
    <t>Net_Cash_Outflow_30D_Cr</t>
  </si>
  <si>
    <t>Stress_Scenario</t>
  </si>
  <si>
    <t>NSFR_RSF_Cr</t>
  </si>
  <si>
    <t>NSFR_ASF_Cr</t>
  </si>
  <si>
    <t>LIQ00001</t>
  </si>
  <si>
    <t>8-14 Days</t>
  </si>
  <si>
    <t>Moderate Stress</t>
  </si>
  <si>
    <t>LIQ00002</t>
  </si>
  <si>
    <t>08-Jul-2024</t>
  </si>
  <si>
    <t>2-3 Months</t>
  </si>
  <si>
    <t>Severe Stress</t>
  </si>
  <si>
    <t>LIQ00003</t>
  </si>
  <si>
    <t>1-2 Months</t>
  </si>
  <si>
    <t>LIQ00004</t>
  </si>
  <si>
    <t>19-Aug-2024</t>
  </si>
  <si>
    <t>Overnight</t>
  </si>
  <si>
    <t>LIQ00005</t>
  </si>
  <si>
    <t>1-3Y</t>
  </si>
  <si>
    <t>LIQ00006</t>
  </si>
  <si>
    <t>Mild Stress</t>
  </si>
  <si>
    <t>LIQ00007</t>
  </si>
  <si>
    <t>LIQ00008</t>
  </si>
  <si>
    <t>14-Dec-2024</t>
  </si>
  <si>
    <t>LIQ00009</t>
  </si>
  <si>
    <t>5+ Years</t>
  </si>
  <si>
    <t>LIQ00010</t>
  </si>
  <si>
    <t>30-Jul-2025</t>
  </si>
  <si>
    <t>3-6 Months</t>
  </si>
  <si>
    <t>Base</t>
  </si>
  <si>
    <t>LIQ00011</t>
  </si>
  <si>
    <t>LIQ00012</t>
  </si>
  <si>
    <t>12-Mar-2025</t>
  </si>
  <si>
    <t>LIQ00013</t>
  </si>
  <si>
    <t>LIQ00014</t>
  </si>
  <si>
    <t>LIQ00015</t>
  </si>
  <si>
    <t>03-Apr-2024</t>
  </si>
  <si>
    <t>LIQ00016</t>
  </si>
  <si>
    <t>04-Apr-2024</t>
  </si>
  <si>
    <t>LIQ00017</t>
  </si>
  <si>
    <t>6M-1Y</t>
  </si>
  <si>
    <t>LIQ00018</t>
  </si>
  <si>
    <t>17-Sep-2024</t>
  </si>
  <si>
    <t>LIQ00019</t>
  </si>
  <si>
    <t>26-Jun-2025</t>
  </si>
  <si>
    <t>LIQ00020</t>
  </si>
  <si>
    <t>15-30 Days</t>
  </si>
  <si>
    <t>LIQ00021</t>
  </si>
  <si>
    <t>LIQ00022</t>
  </si>
  <si>
    <t>25-Mar-2025</t>
  </si>
  <si>
    <t>LIQ00023</t>
  </si>
  <si>
    <t>LIQ00024</t>
  </si>
  <si>
    <t>LIQ00025</t>
  </si>
  <si>
    <t>LIQ00026</t>
  </si>
  <si>
    <t>16-Mar-2025</t>
  </si>
  <si>
    <t>LIQ00027</t>
  </si>
  <si>
    <t>14-Oct-2024</t>
  </si>
  <si>
    <t>2-7 Days</t>
  </si>
  <si>
    <t>LIQ00028</t>
  </si>
  <si>
    <t>LIQ00029</t>
  </si>
  <si>
    <t>LIQ00030</t>
  </si>
  <si>
    <t>09-Aug-2025</t>
  </si>
  <si>
    <t>LIQ00031</t>
  </si>
  <si>
    <t>LIQ00032</t>
  </si>
  <si>
    <t>LIQ00033</t>
  </si>
  <si>
    <t>LIQ00034</t>
  </si>
  <si>
    <t>LIQ00035</t>
  </si>
  <si>
    <t>LIQ00036</t>
  </si>
  <si>
    <t>LIQ00037</t>
  </si>
  <si>
    <t>07-Apr-2025</t>
  </si>
  <si>
    <t>LIQ00038</t>
  </si>
  <si>
    <t>LIQ00039</t>
  </si>
  <si>
    <t>LIQ00040</t>
  </si>
  <si>
    <t>LIQ00041</t>
  </si>
  <si>
    <t>14-Jan-2025</t>
  </si>
  <si>
    <t>LIQ00042</t>
  </si>
  <si>
    <t>30-Aug-2024</t>
  </si>
  <si>
    <t>LIQ00043</t>
  </si>
  <si>
    <t>LIQ00044</t>
  </si>
  <si>
    <t>02-Oct-2024</t>
  </si>
  <si>
    <t>LIQ00045</t>
  </si>
  <si>
    <t>LIQ00046</t>
  </si>
  <si>
    <t>15-Jun-2024</t>
  </si>
  <si>
    <t>LIQ00047</t>
  </si>
  <si>
    <t>LIQ00048</t>
  </si>
  <si>
    <t>LIQ00049</t>
  </si>
  <si>
    <t>LIQ00050</t>
  </si>
  <si>
    <t>LIQ00051</t>
  </si>
  <si>
    <t>LIQ00052</t>
  </si>
  <si>
    <t>3-5Y</t>
  </si>
  <si>
    <t>LIQ00053</t>
  </si>
  <si>
    <t>LIQ00054</t>
  </si>
  <si>
    <t>LIQ00055</t>
  </si>
  <si>
    <t>LIQ00056</t>
  </si>
  <si>
    <t>LIQ00057</t>
  </si>
  <si>
    <t>LIQ00058</t>
  </si>
  <si>
    <t>LIQ00059</t>
  </si>
  <si>
    <t>18-Oct-2024</t>
  </si>
  <si>
    <t>LIQ00060</t>
  </si>
  <si>
    <t>01-Dec-2024</t>
  </si>
  <si>
    <t>LIQ00061</t>
  </si>
  <si>
    <t>LIQ00062</t>
  </si>
  <si>
    <t>LIQ00063</t>
  </si>
  <si>
    <t>LIQ00064</t>
  </si>
  <si>
    <t>LIQ00065</t>
  </si>
  <si>
    <t>18-Jul-2025</t>
  </si>
  <si>
    <t>LIQ00066</t>
  </si>
  <si>
    <t>LIQ00067</t>
  </si>
  <si>
    <t>LIQ00068</t>
  </si>
  <si>
    <t>LIQ00069</t>
  </si>
  <si>
    <t>LIQ00070</t>
  </si>
  <si>
    <t>LIQ00071</t>
  </si>
  <si>
    <t>LIQ00072</t>
  </si>
  <si>
    <t>LIQ00073</t>
  </si>
  <si>
    <t>LIQ00074</t>
  </si>
  <si>
    <t>LIQ00075</t>
  </si>
  <si>
    <t>LIQ00076</t>
  </si>
  <si>
    <t>19-Apr-2024</t>
  </si>
  <si>
    <t>LIQ00077</t>
  </si>
  <si>
    <t>LIQ00078</t>
  </si>
  <si>
    <t>LIQ00079</t>
  </si>
  <si>
    <t>07-Jun-2025</t>
  </si>
  <si>
    <t>LIQ00080</t>
  </si>
  <si>
    <t>LIQ00081</t>
  </si>
  <si>
    <t>LIQ00082</t>
  </si>
  <si>
    <t>LIQ00083</t>
  </si>
  <si>
    <t>10-May-2025</t>
  </si>
  <si>
    <t>LIQ00084</t>
  </si>
  <si>
    <t>LIQ00085</t>
  </si>
  <si>
    <t>16-May-2025</t>
  </si>
  <si>
    <t>LIQ00086</t>
  </si>
  <si>
    <t>10-Nov-2024</t>
  </si>
  <si>
    <t>LIQ00087</t>
  </si>
  <si>
    <t>LIQ00088</t>
  </si>
  <si>
    <t>LIQ00089</t>
  </si>
  <si>
    <t>LIQ00090</t>
  </si>
  <si>
    <t>18-Mar-2025</t>
  </si>
  <si>
    <t>LIQ00091</t>
  </si>
  <si>
    <t>LIQ00092</t>
  </si>
  <si>
    <t>LIQ00093</t>
  </si>
  <si>
    <t>29-Mar-2025</t>
  </si>
  <si>
    <t>LIQ00094</t>
  </si>
  <si>
    <t>22-Aug-2024</t>
  </si>
  <si>
    <t>LIQ00095</t>
  </si>
  <si>
    <t>23-May-2025</t>
  </si>
  <si>
    <t>LIQ00096</t>
  </si>
  <si>
    <t>LIQ00097</t>
  </si>
  <si>
    <t>LIQ00098</t>
  </si>
  <si>
    <t>LIQ00099</t>
  </si>
  <si>
    <t>LIQ00100</t>
  </si>
  <si>
    <t>LIQ00101</t>
  </si>
  <si>
    <t>LIQ00102</t>
  </si>
  <si>
    <t>11-May-2024</t>
  </si>
  <si>
    <t>LIQ00103</t>
  </si>
  <si>
    <t>LIQ00104</t>
  </si>
  <si>
    <t>06-Oct-2024</t>
  </si>
  <si>
    <t>LIQ00105</t>
  </si>
  <si>
    <t>LIQ00106</t>
  </si>
  <si>
    <t>LIQ00107</t>
  </si>
  <si>
    <t>LIQ00108</t>
  </si>
  <si>
    <t>LIQ00109</t>
  </si>
  <si>
    <t>LIQ00110</t>
  </si>
  <si>
    <t>LIQ00111</t>
  </si>
  <si>
    <t>28-Sep-2024</t>
  </si>
  <si>
    <t>LIQ00112</t>
  </si>
  <si>
    <t>LIQ00113</t>
  </si>
  <si>
    <t>06-Aug-2024</t>
  </si>
  <si>
    <t>LIQ00114</t>
  </si>
  <si>
    <t>LIQ00115</t>
  </si>
  <si>
    <t>LIQ00116</t>
  </si>
  <si>
    <t>11-Apr-2024</t>
  </si>
  <si>
    <t>LIQ00117</t>
  </si>
  <si>
    <t>LIQ00118</t>
  </si>
  <si>
    <t>19-Sep-2024</t>
  </si>
  <si>
    <t>LIQ00119</t>
  </si>
  <si>
    <t>LIQ00120</t>
  </si>
  <si>
    <t>LIQ00121</t>
  </si>
  <si>
    <t>24-Jun-2025</t>
  </si>
  <si>
    <t>LIQ00122</t>
  </si>
  <si>
    <t>LIQ00123</t>
  </si>
  <si>
    <t>LIQ00124</t>
  </si>
  <si>
    <t>LIQ00125</t>
  </si>
  <si>
    <t>LIQ00126</t>
  </si>
  <si>
    <t>LIQ00127</t>
  </si>
  <si>
    <t>LIQ00128</t>
  </si>
  <si>
    <t>05-Jan-2025</t>
  </si>
  <si>
    <t>LIQ00129</t>
  </si>
  <si>
    <t>02-Nov-2024</t>
  </si>
  <si>
    <t>LIQ00130</t>
  </si>
  <si>
    <t>LIQ00131</t>
  </si>
  <si>
    <t>LIQ00132</t>
  </si>
  <si>
    <t>LIQ00133</t>
  </si>
  <si>
    <t>05-May-2024</t>
  </si>
  <si>
    <t>LIQ00134</t>
  </si>
  <si>
    <t>LIQ00135</t>
  </si>
  <si>
    <t>LIQ00136</t>
  </si>
  <si>
    <t>08-Mar-2025</t>
  </si>
  <si>
    <t>LIQ00137</t>
  </si>
  <si>
    <t>LIQ00138</t>
  </si>
  <si>
    <t>LIQ00139</t>
  </si>
  <si>
    <t>LIQ00140</t>
  </si>
  <si>
    <t>LIQ00141</t>
  </si>
  <si>
    <t>LIQ00142</t>
  </si>
  <si>
    <t>LIQ00143</t>
  </si>
  <si>
    <t>17-Jul-2025</t>
  </si>
  <si>
    <t>LIQ00144</t>
  </si>
  <si>
    <t>LIQ00145</t>
  </si>
  <si>
    <t>LIQ00146</t>
  </si>
  <si>
    <t>LIQ00147</t>
  </si>
  <si>
    <t>LIQ00148</t>
  </si>
  <si>
    <t>LIQ00149</t>
  </si>
  <si>
    <t>LIQ00150</t>
  </si>
  <si>
    <t>LIQ00151</t>
  </si>
  <si>
    <t>LIQ00152</t>
  </si>
  <si>
    <t>LIQ00153</t>
  </si>
  <si>
    <t>08-Jan-2025</t>
  </si>
  <si>
    <t>LIQ00154</t>
  </si>
  <si>
    <t>LIQ00155</t>
  </si>
  <si>
    <t>04-Apr-2025</t>
  </si>
  <si>
    <t>LIQ00156</t>
  </si>
  <si>
    <t>LIQ00157</t>
  </si>
  <si>
    <t>05-Oct-2024</t>
  </si>
  <si>
    <t>LIQ00158</t>
  </si>
  <si>
    <t>LIQ00159</t>
  </si>
  <si>
    <t>LIQ00160</t>
  </si>
  <si>
    <t>LIQ00161</t>
  </si>
  <si>
    <t>LIQ00162</t>
  </si>
  <si>
    <t>LIQ00163</t>
  </si>
  <si>
    <t>24-Nov-2024</t>
  </si>
  <si>
    <t>LIQ00164</t>
  </si>
  <si>
    <t>LIQ00165</t>
  </si>
  <si>
    <t>LIQ00166</t>
  </si>
  <si>
    <t>LIQ00167</t>
  </si>
  <si>
    <t>LIQ00168</t>
  </si>
  <si>
    <t>LIQ00169</t>
  </si>
  <si>
    <t>LIQ00170</t>
  </si>
  <si>
    <t>LIQ00171</t>
  </si>
  <si>
    <t>16-Jun-2024</t>
  </si>
  <si>
    <t>LIQ00172</t>
  </si>
  <si>
    <t>LIQ00173</t>
  </si>
  <si>
    <t>LIQ00174</t>
  </si>
  <si>
    <t>LIQ00175</t>
  </si>
  <si>
    <t>LIQ00176</t>
  </si>
  <si>
    <t>25-Jan-2025</t>
  </si>
  <si>
    <t>LIQ00177</t>
  </si>
  <si>
    <t>LIQ00178</t>
  </si>
  <si>
    <t>LIQ00179</t>
  </si>
  <si>
    <t>LIQ00180</t>
  </si>
  <si>
    <t>LIQ00181</t>
  </si>
  <si>
    <t>07-Oct-2024</t>
  </si>
  <si>
    <t>LIQ00182</t>
  </si>
  <si>
    <t>22-Dec-2024</t>
  </si>
  <si>
    <t>LIQ00183</t>
  </si>
  <si>
    <t>25-Jun-2025</t>
  </si>
  <si>
    <t>LIQ00184</t>
  </si>
  <si>
    <t>LIQ00185</t>
  </si>
  <si>
    <t>LIQ00186</t>
  </si>
  <si>
    <t>01-Jun-2024</t>
  </si>
  <si>
    <t>LIQ00187</t>
  </si>
  <si>
    <t>LIQ00188</t>
  </si>
  <si>
    <t>LIQ00189</t>
  </si>
  <si>
    <t>22-Jul-2024</t>
  </si>
  <si>
    <t>LIQ00190</t>
  </si>
  <si>
    <t>LIQ00191</t>
  </si>
  <si>
    <t>LIQ00192</t>
  </si>
  <si>
    <t>LIQ00193</t>
  </si>
  <si>
    <t>LIQ00194</t>
  </si>
  <si>
    <t>LIQ00195</t>
  </si>
  <si>
    <t>LIQ00196</t>
  </si>
  <si>
    <t>LIQ00197</t>
  </si>
  <si>
    <t>09-Jan-2025</t>
  </si>
  <si>
    <t>LIQ00198</t>
  </si>
  <si>
    <t>LIQ00199</t>
  </si>
  <si>
    <t>LIQ00200</t>
  </si>
  <si>
    <t>PILLAR 2  |  IRRBB – Interest Rate Risk in Banking Book  |  Bank Risk Management Dashboard</t>
  </si>
  <si>
    <t>Rate_Shock_bps</t>
  </si>
  <si>
    <t>Asset_Repricing_Cr</t>
  </si>
  <si>
    <t>Liability_Repricing_Cr</t>
  </si>
  <si>
    <t>Repricing_Gap_Cr</t>
  </si>
  <si>
    <t>NII_Impact_Cr</t>
  </si>
  <si>
    <t>NII_Impact_%</t>
  </si>
  <si>
    <t>EVE_Impact_Cr</t>
  </si>
  <si>
    <t>EVE_Impact_Pct_Tier1</t>
  </si>
  <si>
    <t>Duration_Assets_Yrs</t>
  </si>
  <si>
    <t>Duration_Liab_Yrs</t>
  </si>
  <si>
    <t>Duration_Gap_Yrs</t>
  </si>
  <si>
    <t>MCLR_1Y_%</t>
  </si>
  <si>
    <t>Base_Rate_%</t>
  </si>
  <si>
    <t>Deposit_Rate_%</t>
  </si>
  <si>
    <t>Yield_Portfolio_%</t>
  </si>
  <si>
    <t>Delta_NII_Parallel_Up</t>
  </si>
  <si>
    <t>Delta_NII_Parallel_Down</t>
  </si>
  <si>
    <t>Delta_NII_Steepener</t>
  </si>
  <si>
    <t>Scenario</t>
  </si>
  <si>
    <t>IRR0001</t>
  </si>
  <si>
    <t>04-Feb-2025</t>
  </si>
  <si>
    <t>+200bps</t>
  </si>
  <si>
    <t>IRR0002</t>
  </si>
  <si>
    <t>Bull Flat</t>
  </si>
  <si>
    <t>IRR0003</t>
  </si>
  <si>
    <t>+300bps</t>
  </si>
  <si>
    <t>IRR0004</t>
  </si>
  <si>
    <t>+100bps</t>
  </si>
  <si>
    <t>IRR0005</t>
  </si>
  <si>
    <t>03-Jun-2024</t>
  </si>
  <si>
    <t>Bear Steep</t>
  </si>
  <si>
    <t>IRR0006</t>
  </si>
  <si>
    <t>09-May-2025</t>
  </si>
  <si>
    <t>IRR0007</t>
  </si>
  <si>
    <t>IRR0008</t>
  </si>
  <si>
    <t>Flattener</t>
  </si>
  <si>
    <t>IRR0009</t>
  </si>
  <si>
    <t>-200bps</t>
  </si>
  <si>
    <t>IRR0010</t>
  </si>
  <si>
    <t>-100bps</t>
  </si>
  <si>
    <t>IRR0011</t>
  </si>
  <si>
    <t>IRR0012</t>
  </si>
  <si>
    <t>IRR0013</t>
  </si>
  <si>
    <t>IRR0014</t>
  </si>
  <si>
    <t>30-Apr-2025</t>
  </si>
  <si>
    <t>IRR0015</t>
  </si>
  <si>
    <t>Steepener</t>
  </si>
  <si>
    <t>IRR0016</t>
  </si>
  <si>
    <t>IRR0017</t>
  </si>
  <si>
    <t>IRR0018</t>
  </si>
  <si>
    <t>17-May-2025</t>
  </si>
  <si>
    <t>IRR0019</t>
  </si>
  <si>
    <t>IRR0020</t>
  </si>
  <si>
    <t>IRR0021</t>
  </si>
  <si>
    <t>IRR0022</t>
  </si>
  <si>
    <t>31-Mar-2024</t>
  </si>
  <si>
    <t>IRR0023</t>
  </si>
  <si>
    <t>IRR0024</t>
  </si>
  <si>
    <t>IRR0025</t>
  </si>
  <si>
    <t>IRR0026</t>
  </si>
  <si>
    <t>24-Sep-2024</t>
  </si>
  <si>
    <t>IRR0027</t>
  </si>
  <si>
    <t>IRR0028</t>
  </si>
  <si>
    <t>IRR0029</t>
  </si>
  <si>
    <t>IRR0030</t>
  </si>
  <si>
    <t>IRR0031</t>
  </si>
  <si>
    <t>IRR0032</t>
  </si>
  <si>
    <t>05-Aug-2024</t>
  </si>
  <si>
    <t>IRR0033</t>
  </si>
  <si>
    <t>03-Sep-2025</t>
  </si>
  <si>
    <t>IRR0034</t>
  </si>
  <si>
    <t>20-Mar-2024</t>
  </si>
  <si>
    <t>IRR0035</t>
  </si>
  <si>
    <t>07-Mar-2025</t>
  </si>
  <si>
    <t>IRR0036</t>
  </si>
  <si>
    <t>IRR0037</t>
  </si>
  <si>
    <t>24-Apr-2024</t>
  </si>
  <si>
    <t>IRR0038</t>
  </si>
  <si>
    <t>IRR0039</t>
  </si>
  <si>
    <t>IRR0040</t>
  </si>
  <si>
    <t>IRR0041</t>
  </si>
  <si>
    <t>30-May-2024</t>
  </si>
  <si>
    <t>IRR0042</t>
  </si>
  <si>
    <t>29-Apr-2024</t>
  </si>
  <si>
    <t>IRR0043</t>
  </si>
  <si>
    <t>IRR0044</t>
  </si>
  <si>
    <t>IRR0045</t>
  </si>
  <si>
    <t>17-Dec-2024</t>
  </si>
  <si>
    <t>IRR0046</t>
  </si>
  <si>
    <t>IRR0047</t>
  </si>
  <si>
    <t>IRR0048</t>
  </si>
  <si>
    <t>09-Feb-2025</t>
  </si>
  <si>
    <t>IRR0049</t>
  </si>
  <si>
    <t>IRR0050</t>
  </si>
  <si>
    <t>IRR0051</t>
  </si>
  <si>
    <t>IRR0052</t>
  </si>
  <si>
    <t>IRR0053</t>
  </si>
  <si>
    <t>IRR0054</t>
  </si>
  <si>
    <t>08-Jan-2024</t>
  </si>
  <si>
    <t>IRR0055</t>
  </si>
  <si>
    <t>IRR0056</t>
  </si>
  <si>
    <t>IRR0057</t>
  </si>
  <si>
    <t>IRR0058</t>
  </si>
  <si>
    <t>27-Jan-2024</t>
  </si>
  <si>
    <t>IRR0059</t>
  </si>
  <si>
    <t>IRR0060</t>
  </si>
  <si>
    <t>IRR0061</t>
  </si>
  <si>
    <t>15-Jan-2024</t>
  </si>
  <si>
    <t>IRR0062</t>
  </si>
  <si>
    <t>IRR0063</t>
  </si>
  <si>
    <t>02-Apr-2025</t>
  </si>
  <si>
    <t>IRR0064</t>
  </si>
  <si>
    <t>IRR0065</t>
  </si>
  <si>
    <t>IRR0066</t>
  </si>
  <si>
    <t>20-Oct-2025</t>
  </si>
  <si>
    <t>IRR0067</t>
  </si>
  <si>
    <t>IRR0068</t>
  </si>
  <si>
    <t>IRR0069</t>
  </si>
  <si>
    <t>28-May-2025</t>
  </si>
  <si>
    <t>IRR0070</t>
  </si>
  <si>
    <t>IRR0071</t>
  </si>
  <si>
    <t>IRR0072</t>
  </si>
  <si>
    <t>12-Apr-2025</t>
  </si>
  <si>
    <t>IRR0073</t>
  </si>
  <si>
    <t>24-Sep-2025</t>
  </si>
  <si>
    <t>IRR0074</t>
  </si>
  <si>
    <t>12-Sep-2024</t>
  </si>
  <si>
    <t>IRR0075</t>
  </si>
  <si>
    <t>IRR0076</t>
  </si>
  <si>
    <t>IRR0077</t>
  </si>
  <si>
    <t>IRR0078</t>
  </si>
  <si>
    <t>IRR0079</t>
  </si>
  <si>
    <t>IRR0080</t>
  </si>
  <si>
    <t>22-Jan-2024</t>
  </si>
  <si>
    <t>IRR0081</t>
  </si>
  <si>
    <t>IRR0082</t>
  </si>
  <si>
    <t>IRR0083</t>
  </si>
  <si>
    <t>06-May-2024</t>
  </si>
  <si>
    <t>IRR0084</t>
  </si>
  <si>
    <t>IRR0085</t>
  </si>
  <si>
    <t>17-Jan-2024</t>
  </si>
  <si>
    <t>IRR0086</t>
  </si>
  <si>
    <t>IRR0087</t>
  </si>
  <si>
    <t>03-Mar-2024</t>
  </si>
  <si>
    <t>IRR0088</t>
  </si>
  <si>
    <t>IRR0089</t>
  </si>
  <si>
    <t>IRR0090</t>
  </si>
  <si>
    <t>IRR0091</t>
  </si>
  <si>
    <t>IRR0092</t>
  </si>
  <si>
    <t>IRR0093</t>
  </si>
  <si>
    <t>IRR0094</t>
  </si>
  <si>
    <t>IRR0095</t>
  </si>
  <si>
    <t>IRR0096</t>
  </si>
  <si>
    <t>IRR0097</t>
  </si>
  <si>
    <t>25-May-2024</t>
  </si>
  <si>
    <t>IRR0098</t>
  </si>
  <si>
    <t>18-Jan-2025</t>
  </si>
  <si>
    <t>IRR0099</t>
  </si>
  <si>
    <t>IRR0100</t>
  </si>
  <si>
    <t>IRR0101</t>
  </si>
  <si>
    <t>13-Mar-2024</t>
  </si>
  <si>
    <t>IRR0102</t>
  </si>
  <si>
    <t>IRR0103</t>
  </si>
  <si>
    <t>IRR0104</t>
  </si>
  <si>
    <t>04-Sep-2024</t>
  </si>
  <si>
    <t>IRR0105</t>
  </si>
  <si>
    <t>31-Dec-2024</t>
  </si>
  <si>
    <t>IRR0106</t>
  </si>
  <si>
    <t>13-Feb-2024</t>
  </si>
  <si>
    <t>IRR0107</t>
  </si>
  <si>
    <t>IRR0108</t>
  </si>
  <si>
    <t>30-Jan-2024</t>
  </si>
  <si>
    <t>IRR0109</t>
  </si>
  <si>
    <t>IRR0110</t>
  </si>
  <si>
    <t>20-Nov-2024</t>
  </si>
  <si>
    <t>IRR0111</t>
  </si>
  <si>
    <t>IRR0112</t>
  </si>
  <si>
    <t>IRR0113</t>
  </si>
  <si>
    <t>IRR0114</t>
  </si>
  <si>
    <t>26-Mar-2025</t>
  </si>
  <si>
    <t>IRR0115</t>
  </si>
  <si>
    <t>IRR0116</t>
  </si>
  <si>
    <t>IRR0117</t>
  </si>
  <si>
    <t>IRR0118</t>
  </si>
  <si>
    <t>IRR0119</t>
  </si>
  <si>
    <t>IRR0120</t>
  </si>
  <si>
    <t>IRR0121</t>
  </si>
  <si>
    <t>IRR0122</t>
  </si>
  <si>
    <t>IRR0123</t>
  </si>
  <si>
    <t>IRR0124</t>
  </si>
  <si>
    <t>IRR0125</t>
  </si>
  <si>
    <t>IRR0126</t>
  </si>
  <si>
    <t>IRR0127</t>
  </si>
  <si>
    <t>IRR0128</t>
  </si>
  <si>
    <t>26-Oct-2024</t>
  </si>
  <si>
    <t>IRR0129</t>
  </si>
  <si>
    <t>IRR0130</t>
  </si>
  <si>
    <t>IRR0131</t>
  </si>
  <si>
    <t>IRR0132</t>
  </si>
  <si>
    <t>IRR0133</t>
  </si>
  <si>
    <t>IRR0134</t>
  </si>
  <si>
    <t>IRR0135</t>
  </si>
  <si>
    <t>IRR0136</t>
  </si>
  <si>
    <t>IRR0137</t>
  </si>
  <si>
    <t>IRR0138</t>
  </si>
  <si>
    <t>IRR0139</t>
  </si>
  <si>
    <t>IRR0140</t>
  </si>
  <si>
    <t>IRR0141</t>
  </si>
  <si>
    <t>IRR0142</t>
  </si>
  <si>
    <t>14-Oct-2025</t>
  </si>
  <si>
    <t>IRR0143</t>
  </si>
  <si>
    <t>IRR0144</t>
  </si>
  <si>
    <t>IRR0145</t>
  </si>
  <si>
    <t>IRR0146</t>
  </si>
  <si>
    <t>IRR0147</t>
  </si>
  <si>
    <t>IRR0148</t>
  </si>
  <si>
    <t>24-Feb-2024</t>
  </si>
  <si>
    <t>IRR0149</t>
  </si>
  <si>
    <t>IRR0150</t>
  </si>
  <si>
    <t>IRR0151</t>
  </si>
  <si>
    <t>27-Mar-2025</t>
  </si>
  <si>
    <t>IRR0152</t>
  </si>
  <si>
    <t>02-Jun-2024</t>
  </si>
  <si>
    <t>IRR0153</t>
  </si>
  <si>
    <t>22-Jun-2024</t>
  </si>
  <si>
    <t>IRR0154</t>
  </si>
  <si>
    <t>IRR0155</t>
  </si>
  <si>
    <t>IRR0156</t>
  </si>
  <si>
    <t>IRR0157</t>
  </si>
  <si>
    <t>IRR0158</t>
  </si>
  <si>
    <t>IRR0159</t>
  </si>
  <si>
    <t>03-Aug-2024</t>
  </si>
  <si>
    <t>IRR0160</t>
  </si>
  <si>
    <t>IRR0161</t>
  </si>
  <si>
    <t>21-Aug-2024</t>
  </si>
  <si>
    <t>IRR0162</t>
  </si>
  <si>
    <t>15-Oct-2024</t>
  </si>
  <si>
    <t>IRR0163</t>
  </si>
  <si>
    <t>IRR0164</t>
  </si>
  <si>
    <t>IRR0165</t>
  </si>
  <si>
    <t>26-Jan-2024</t>
  </si>
  <si>
    <t>IRR0166</t>
  </si>
  <si>
    <t>IRR0167</t>
  </si>
  <si>
    <t>IRR0168</t>
  </si>
  <si>
    <t>14-Jan-2024</t>
  </si>
  <si>
    <t>IRR0169</t>
  </si>
  <si>
    <t>IRR0170</t>
  </si>
  <si>
    <t>IRR0171</t>
  </si>
  <si>
    <t>IRR0172</t>
  </si>
  <si>
    <t>09-Mar-2024</t>
  </si>
  <si>
    <t>IRR0173</t>
  </si>
  <si>
    <t>IRR0174</t>
  </si>
  <si>
    <t>IRR0175</t>
  </si>
  <si>
    <t>21-Mar-2024</t>
  </si>
  <si>
    <t>IRR0176</t>
  </si>
  <si>
    <t>IRR0177</t>
  </si>
  <si>
    <t>01-Jul-2024</t>
  </si>
  <si>
    <t>IRR0178</t>
  </si>
  <si>
    <t>IRR0179</t>
  </si>
  <si>
    <t>07-Jun-2024</t>
  </si>
  <si>
    <t>IRR0180</t>
  </si>
  <si>
    <t>IRR0181</t>
  </si>
  <si>
    <t>IRR0182</t>
  </si>
  <si>
    <t>IRR0183</t>
  </si>
  <si>
    <t>28-Oct-2025</t>
  </si>
  <si>
    <t>IRR0184</t>
  </si>
  <si>
    <t>06-Aug-2025</t>
  </si>
  <si>
    <t>IRR0185</t>
  </si>
  <si>
    <t>IRR0186</t>
  </si>
  <si>
    <t>IRR0187</t>
  </si>
  <si>
    <t>IRR0188</t>
  </si>
  <si>
    <t>IRR0189</t>
  </si>
  <si>
    <t>05-Jun-2024</t>
  </si>
  <si>
    <t>IRR0190</t>
  </si>
  <si>
    <t>05-May-2025</t>
  </si>
  <si>
    <t>IRR0191</t>
  </si>
  <si>
    <t>IRR0192</t>
  </si>
  <si>
    <t>27-Jun-2024</t>
  </si>
  <si>
    <t>IRR0193</t>
  </si>
  <si>
    <t>IRR0194</t>
  </si>
  <si>
    <t>IRR0195</t>
  </si>
  <si>
    <t>IRR0196</t>
  </si>
  <si>
    <t>IRR0197</t>
  </si>
  <si>
    <t>IRR0198</t>
  </si>
  <si>
    <t>IRR0199</t>
  </si>
  <si>
    <t>IRR0200</t>
  </si>
  <si>
    <t>09-Feb-2024</t>
  </si>
  <si>
    <t>PILLAR 2  |  Concentration Risk – Sector/Geo/Borrower Analysis  |  Bank Risk Management Dashboard</t>
  </si>
  <si>
    <t>Dimension</t>
  </si>
  <si>
    <t>Category</t>
  </si>
  <si>
    <t>Exposure_Cr</t>
  </si>
  <si>
    <t>Total_Advances_Cr</t>
  </si>
  <si>
    <t>Conc_%</t>
  </si>
  <si>
    <t>Regulatory_Limit_%</t>
  </si>
  <si>
    <t>Utilisation_%</t>
  </si>
  <si>
    <t>HHI_Index</t>
  </si>
  <si>
    <t>Top5_Exposure_Cr</t>
  </si>
  <si>
    <t>Top10_Exposure_Cr</t>
  </si>
  <si>
    <t>Single_Borrower_Cap_%</t>
  </si>
  <si>
    <t>Group_Borrower_Cap_%</t>
  </si>
  <si>
    <t>Action_Required</t>
  </si>
  <si>
    <t>CON0001</t>
  </si>
  <si>
    <t>05-Feb-2024</t>
  </si>
  <si>
    <t>Maturity</t>
  </si>
  <si>
    <t>No Action</t>
  </si>
  <si>
    <t>CON0002</t>
  </si>
  <si>
    <t>CON0003</t>
  </si>
  <si>
    <t>Product</t>
  </si>
  <si>
    <t>CON0004</t>
  </si>
  <si>
    <t>Rating Band</t>
  </si>
  <si>
    <t>NR</t>
  </si>
  <si>
    <t>CON0005</t>
  </si>
  <si>
    <t>CON0006</t>
  </si>
  <si>
    <t>Borrower Group</t>
  </si>
  <si>
    <t>CON0007</t>
  </si>
  <si>
    <t>CON0008</t>
  </si>
  <si>
    <t>CON0009</t>
  </si>
  <si>
    <t>CON0010</t>
  </si>
  <si>
    <t>CON0011</t>
  </si>
  <si>
    <t>04-Feb-2024</t>
  </si>
  <si>
    <t>BB &amp; Below</t>
  </si>
  <si>
    <t>CON0012</t>
  </si>
  <si>
    <t>CON0013</t>
  </si>
  <si>
    <t>CON0014</t>
  </si>
  <si>
    <t>CON0015</t>
  </si>
  <si>
    <t>CON0016</t>
  </si>
  <si>
    <t>CON0017</t>
  </si>
  <si>
    <t>10-Jan-2024</t>
  </si>
  <si>
    <t>CON0018</t>
  </si>
  <si>
    <t>Collateral Type</t>
  </si>
  <si>
    <t>CON0019</t>
  </si>
  <si>
    <t>CON0020</t>
  </si>
  <si>
    <t>CON0021</t>
  </si>
  <si>
    <t>18-Aug-2024</t>
  </si>
  <si>
    <t>CON0022</t>
  </si>
  <si>
    <t>29-Jan-2024</t>
  </si>
  <si>
    <t>CON0023</t>
  </si>
  <si>
    <t>CON0024</t>
  </si>
  <si>
    <t>12-Oct-2025</t>
  </si>
  <si>
    <t>CON0025</t>
  </si>
  <si>
    <t>01-Feb-2024</t>
  </si>
  <si>
    <t>CON0026</t>
  </si>
  <si>
    <t>10-Feb-2024</t>
  </si>
  <si>
    <t>CON0027</t>
  </si>
  <si>
    <t>06-Nov-2024</t>
  </si>
  <si>
    <t>CON0028</t>
  </si>
  <si>
    <t>26-Aug-2025</t>
  </si>
  <si>
    <t>CON0029</t>
  </si>
  <si>
    <t>23-Sep-2025</t>
  </si>
  <si>
    <t>CON0030</t>
  </si>
  <si>
    <t>CON0031</t>
  </si>
  <si>
    <t>09-Dec-2024</t>
  </si>
  <si>
    <t>CON0032</t>
  </si>
  <si>
    <t>CON0033</t>
  </si>
  <si>
    <t>CON0034</t>
  </si>
  <si>
    <t>CON0035</t>
  </si>
  <si>
    <t>04-Oct-2024</t>
  </si>
  <si>
    <t>CON0036</t>
  </si>
  <si>
    <t>CON0037</t>
  </si>
  <si>
    <t>CON0038</t>
  </si>
  <si>
    <t>CON0039</t>
  </si>
  <si>
    <t>25-Feb-2024</t>
  </si>
  <si>
    <t>CON0040</t>
  </si>
  <si>
    <t>CON0041</t>
  </si>
  <si>
    <t>CON0042</t>
  </si>
  <si>
    <t>CON0043</t>
  </si>
  <si>
    <t>CON0044</t>
  </si>
  <si>
    <t>CON0045</t>
  </si>
  <si>
    <t>CON0046</t>
  </si>
  <si>
    <t>CON0047</t>
  </si>
  <si>
    <t>CON0048</t>
  </si>
  <si>
    <t>CON0049</t>
  </si>
  <si>
    <t>CON0050</t>
  </si>
  <si>
    <t>CON0051</t>
  </si>
  <si>
    <t>CON0052</t>
  </si>
  <si>
    <t>CON0053</t>
  </si>
  <si>
    <t>CON0054</t>
  </si>
  <si>
    <t>23-Mar-2025</t>
  </si>
  <si>
    <t>CON0055</t>
  </si>
  <si>
    <t>CON0056</t>
  </si>
  <si>
    <t>&lt;1Y</t>
  </si>
  <si>
    <t>CON0057</t>
  </si>
  <si>
    <t>CON0058</t>
  </si>
  <si>
    <t>CON0059</t>
  </si>
  <si>
    <t>CON0060</t>
  </si>
  <si>
    <t>CON0061</t>
  </si>
  <si>
    <t>CON0062</t>
  </si>
  <si>
    <t>CON0063</t>
  </si>
  <si>
    <t>CON0064</t>
  </si>
  <si>
    <t>CON0065</t>
  </si>
  <si>
    <t>CON0066</t>
  </si>
  <si>
    <t>CON0067</t>
  </si>
  <si>
    <t>CON0068</t>
  </si>
  <si>
    <t>CON0069</t>
  </si>
  <si>
    <t>CON0070</t>
  </si>
  <si>
    <t>CON0071</t>
  </si>
  <si>
    <t>CON0072</t>
  </si>
  <si>
    <t>CON0073</t>
  </si>
  <si>
    <t>CON0074</t>
  </si>
  <si>
    <t>22-Feb-2024</t>
  </si>
  <si>
    <t>CON0075</t>
  </si>
  <si>
    <t>CON0076</t>
  </si>
  <si>
    <t>CON0077</t>
  </si>
  <si>
    <t>CON0078</t>
  </si>
  <si>
    <t>CON0079</t>
  </si>
  <si>
    <t>30-Nov-2024</t>
  </si>
  <si>
    <t>CON0080</t>
  </si>
  <si>
    <t>14-May-2025</t>
  </si>
  <si>
    <t>CON0081</t>
  </si>
  <si>
    <t>CON0082</t>
  </si>
  <si>
    <t>CON0083</t>
  </si>
  <si>
    <t>13-Jan-2024</t>
  </si>
  <si>
    <t>CON0084</t>
  </si>
  <si>
    <t>CON0085</t>
  </si>
  <si>
    <t>CON0086</t>
  </si>
  <si>
    <t>22-Mar-2024</t>
  </si>
  <si>
    <t>CON0087</t>
  </si>
  <si>
    <t>CON0088</t>
  </si>
  <si>
    <t>29-Nov-2025</t>
  </si>
  <si>
    <t>CON0089</t>
  </si>
  <si>
    <t>CON0090</t>
  </si>
  <si>
    <t>03-Nov-2024</t>
  </si>
  <si>
    <t>AAA-AA</t>
  </si>
  <si>
    <t>CON0091</t>
  </si>
  <si>
    <t>CON0092</t>
  </si>
  <si>
    <t>CON0093</t>
  </si>
  <si>
    <t>CON0094</t>
  </si>
  <si>
    <t>CON0095</t>
  </si>
  <si>
    <t>CON0096</t>
  </si>
  <si>
    <t>CON0097</t>
  </si>
  <si>
    <t>25-Mar-2024</t>
  </si>
  <si>
    <t>CON0098</t>
  </si>
  <si>
    <t>25-Oct-2025</t>
  </si>
  <si>
    <t>CON0099</t>
  </si>
  <si>
    <t>10-Jan-2025</t>
  </si>
  <si>
    <t>CON0100</t>
  </si>
  <si>
    <t>CON0101</t>
  </si>
  <si>
    <t>CON0102</t>
  </si>
  <si>
    <t>CON0103</t>
  </si>
  <si>
    <t>CON0104</t>
  </si>
  <si>
    <t>CON0105</t>
  </si>
  <si>
    <t>CON0106</t>
  </si>
  <si>
    <t>CON0107</t>
  </si>
  <si>
    <t>CON0108</t>
  </si>
  <si>
    <t>CON0109</t>
  </si>
  <si>
    <t>CON0110</t>
  </si>
  <si>
    <t>CON0111</t>
  </si>
  <si>
    <t>CON0112</t>
  </si>
  <si>
    <t>CON0113</t>
  </si>
  <si>
    <t>CON0114</t>
  </si>
  <si>
    <t>CON0115</t>
  </si>
  <si>
    <t>CON0116</t>
  </si>
  <si>
    <t>03-Jan-2024</t>
  </si>
  <si>
    <t>CON0117</t>
  </si>
  <si>
    <t>CON0118</t>
  </si>
  <si>
    <t>CON0119</t>
  </si>
  <si>
    <t>CON0120</t>
  </si>
  <si>
    <t>CON0121</t>
  </si>
  <si>
    <t>CON0122</t>
  </si>
  <si>
    <t>CON0123</t>
  </si>
  <si>
    <t>05-Apr-2025</t>
  </si>
  <si>
    <t>CON0124</t>
  </si>
  <si>
    <t>02-Jul-2025</t>
  </si>
  <si>
    <t>CON0125</t>
  </si>
  <si>
    <t>CON0126</t>
  </si>
  <si>
    <t>CON0127</t>
  </si>
  <si>
    <t>CON0128</t>
  </si>
  <si>
    <t>CON0129</t>
  </si>
  <si>
    <t>CON0130</t>
  </si>
  <si>
    <t>16-Oct-2025</t>
  </si>
  <si>
    <t>CON0131</t>
  </si>
  <si>
    <t>02-Sep-2024</t>
  </si>
  <si>
    <t>CON0132</t>
  </si>
  <si>
    <t>CON0133</t>
  </si>
  <si>
    <t>CON0134</t>
  </si>
  <si>
    <t>CON0135</t>
  </si>
  <si>
    <t>CON0136</t>
  </si>
  <si>
    <t>CON0137</t>
  </si>
  <si>
    <t>CON0138</t>
  </si>
  <si>
    <t>CON0139</t>
  </si>
  <si>
    <t>CON0140</t>
  </si>
  <si>
    <t>28-Mar-2024</t>
  </si>
  <si>
    <t>CON0141</t>
  </si>
  <si>
    <t>CON0142</t>
  </si>
  <si>
    <t>CON0143</t>
  </si>
  <si>
    <t>20-May-2024</t>
  </si>
  <si>
    <t>CON0144</t>
  </si>
  <si>
    <t>CON0145</t>
  </si>
  <si>
    <t>CON0146</t>
  </si>
  <si>
    <t>CON0147</t>
  </si>
  <si>
    <t>06-Jul-2024</t>
  </si>
  <si>
    <t>CON0148</t>
  </si>
  <si>
    <t>CON0149</t>
  </si>
  <si>
    <t>CON0150</t>
  </si>
  <si>
    <t>06-Apr-2024</t>
  </si>
  <si>
    <t>CON0151</t>
  </si>
  <si>
    <t>CON0152</t>
  </si>
  <si>
    <t>CON0153</t>
  </si>
  <si>
    <t>26-Apr-2025</t>
  </si>
  <si>
    <t>CON0154</t>
  </si>
  <si>
    <t>CON0155</t>
  </si>
  <si>
    <t>CON0156</t>
  </si>
  <si>
    <t>CON0157</t>
  </si>
  <si>
    <t>CON0158</t>
  </si>
  <si>
    <t>CON0159</t>
  </si>
  <si>
    <t>07-Jul-2024</t>
  </si>
  <si>
    <t>CON0160</t>
  </si>
  <si>
    <t>14-Mar-2024</t>
  </si>
  <si>
    <t>CON0161</t>
  </si>
  <si>
    <t>CON0162</t>
  </si>
  <si>
    <t>CON0163</t>
  </si>
  <si>
    <t>30-Mar-2025</t>
  </si>
  <si>
    <t>CON0164</t>
  </si>
  <si>
    <t>CON0165</t>
  </si>
  <si>
    <t>CON0166</t>
  </si>
  <si>
    <t>27-Jul-2024</t>
  </si>
  <si>
    <t>CON0167</t>
  </si>
  <si>
    <t>CON0168</t>
  </si>
  <si>
    <t>CON0169</t>
  </si>
  <si>
    <t>CON0170</t>
  </si>
  <si>
    <t>CON0171</t>
  </si>
  <si>
    <t>CON0172</t>
  </si>
  <si>
    <t>CON0173</t>
  </si>
  <si>
    <t>CON0174</t>
  </si>
  <si>
    <t>CON0175</t>
  </si>
  <si>
    <t>CON0176</t>
  </si>
  <si>
    <t>CON0177</t>
  </si>
  <si>
    <t>CON0178</t>
  </si>
  <si>
    <t>CON0179</t>
  </si>
  <si>
    <t>CON0180</t>
  </si>
  <si>
    <t>CON0181</t>
  </si>
  <si>
    <t>CON0182</t>
  </si>
  <si>
    <t>CON0183</t>
  </si>
  <si>
    <t>CON0184</t>
  </si>
  <si>
    <t>CON0185</t>
  </si>
  <si>
    <t>CON0186</t>
  </si>
  <si>
    <t>CON0187</t>
  </si>
  <si>
    <t>CON0188</t>
  </si>
  <si>
    <t>CON0189</t>
  </si>
  <si>
    <t>CON0190</t>
  </si>
  <si>
    <t>CON0191</t>
  </si>
  <si>
    <t>01-Dec-2025</t>
  </si>
  <si>
    <t>CON0192</t>
  </si>
  <si>
    <t>CON0193</t>
  </si>
  <si>
    <t>24-Nov-2025</t>
  </si>
  <si>
    <t>CON0194</t>
  </si>
  <si>
    <t>CON0195</t>
  </si>
  <si>
    <t>CON0196</t>
  </si>
  <si>
    <t>CON0197</t>
  </si>
  <si>
    <t>25-Apr-2024</t>
  </si>
  <si>
    <t>CON0198</t>
  </si>
  <si>
    <t>14-Jun-2025</t>
  </si>
  <si>
    <t>CON0199</t>
  </si>
  <si>
    <t>CON0200</t>
  </si>
  <si>
    <t>PILLAR 2  |  Climate Risk – Physical &amp; Transition Risk Portfolio  |  Bank Risk Management Dashboard</t>
  </si>
  <si>
    <t>Asset_ID</t>
  </si>
  <si>
    <t>State</t>
  </si>
  <si>
    <t>Physical_Risk_Score</t>
  </si>
  <si>
    <t>Transition_Risk_Score</t>
  </si>
  <si>
    <t>Overall_Climate_Score</t>
  </si>
  <si>
    <t>Flood_Prob_%</t>
  </si>
  <si>
    <t>Drought_Prob_%</t>
  </si>
  <si>
    <t>Cyclone_Prob_%</t>
  </si>
  <si>
    <t>Heat_Stress_Score</t>
  </si>
  <si>
    <t>Carbon_Intensity_tCO2/Cr</t>
  </si>
  <si>
    <t>GHG_Scope1_tCO2</t>
  </si>
  <si>
    <t>GHG_Scope2_tCO2</t>
  </si>
  <si>
    <t>GHG_Scope3_tCO2</t>
  </si>
  <si>
    <t>TCFD_Category</t>
  </si>
  <si>
    <t>Net_Zero_Aligned</t>
  </si>
  <si>
    <t>ESG_Rating</t>
  </si>
  <si>
    <t>Green_Finance</t>
  </si>
  <si>
    <t>Climate_VaR_Cr</t>
  </si>
  <si>
    <t>Stranded_Asset_Risk</t>
  </si>
  <si>
    <t>CLM00001</t>
  </si>
  <si>
    <t>Entity_1</t>
  </si>
  <si>
    <t>Liability</t>
  </si>
  <si>
    <t>CLM00002</t>
  </si>
  <si>
    <t>Entity_2</t>
  </si>
  <si>
    <t>Physical-Acute</t>
  </si>
  <si>
    <t>Partial</t>
  </si>
  <si>
    <t>CLM00003</t>
  </si>
  <si>
    <t>Entity_3</t>
  </si>
  <si>
    <t>Transition-Technology</t>
  </si>
  <si>
    <t>CLM00004</t>
  </si>
  <si>
    <t>Entity_4</t>
  </si>
  <si>
    <t>CLM00005</t>
  </si>
  <si>
    <t>Entity_5</t>
  </si>
  <si>
    <t>CLM00006</t>
  </si>
  <si>
    <t>Entity_6</t>
  </si>
  <si>
    <t>CLM00007</t>
  </si>
  <si>
    <t>Entity_7</t>
  </si>
  <si>
    <t>Physical-Chronic</t>
  </si>
  <si>
    <t>CLM00008</t>
  </si>
  <si>
    <t>Entity_8</t>
  </si>
  <si>
    <t>B+</t>
  </si>
  <si>
    <t>CLM00009</t>
  </si>
  <si>
    <t>Entity_9</t>
  </si>
  <si>
    <t>Oil &amp; Gas</t>
  </si>
  <si>
    <t>CLM00010</t>
  </si>
  <si>
    <t>Entity_10</t>
  </si>
  <si>
    <t>CLM00011</t>
  </si>
  <si>
    <t>Entity_11</t>
  </si>
  <si>
    <t>CLM00012</t>
  </si>
  <si>
    <t>Entity_12</t>
  </si>
  <si>
    <t>Aviation</t>
  </si>
  <si>
    <t>CLM00013</t>
  </si>
  <si>
    <t>Entity_13</t>
  </si>
  <si>
    <t>CLM00014</t>
  </si>
  <si>
    <t>Entity_14</t>
  </si>
  <si>
    <t>CLM00015</t>
  </si>
  <si>
    <t>Entity_15</t>
  </si>
  <si>
    <t>CLM00016</t>
  </si>
  <si>
    <t>Entity_16</t>
  </si>
  <si>
    <t>Odisha</t>
  </si>
  <si>
    <t>CLM00017</t>
  </si>
  <si>
    <t>Entity_17</t>
  </si>
  <si>
    <t>Uttarakhand</t>
  </si>
  <si>
    <t>Transition-Market</t>
  </si>
  <si>
    <t>B-</t>
  </si>
  <si>
    <t>CLM00018</t>
  </si>
  <si>
    <t>Entity_18</t>
  </si>
  <si>
    <t>Transition-Policy</t>
  </si>
  <si>
    <t>CLM00019</t>
  </si>
  <si>
    <t>Entity_19</t>
  </si>
  <si>
    <t>CLM00020</t>
  </si>
  <si>
    <t>Entity_20</t>
  </si>
  <si>
    <t>CLM00021</t>
  </si>
  <si>
    <t>Entity_21</t>
  </si>
  <si>
    <t>CLM00022</t>
  </si>
  <si>
    <t>Entity_22</t>
  </si>
  <si>
    <t>CLM00023</t>
  </si>
  <si>
    <t>Entity_23</t>
  </si>
  <si>
    <t>CLM00024</t>
  </si>
  <si>
    <t>Entity_24</t>
  </si>
  <si>
    <t>CLM00025</t>
  </si>
  <si>
    <t>Entity_25</t>
  </si>
  <si>
    <t>CLM00026</t>
  </si>
  <si>
    <t>Entity_26</t>
  </si>
  <si>
    <t>CLM00027</t>
  </si>
  <si>
    <t>Entity_27</t>
  </si>
  <si>
    <t>Kerala</t>
  </si>
  <si>
    <t>CLM00028</t>
  </si>
  <si>
    <t>Entity_28</t>
  </si>
  <si>
    <t>CLM00029</t>
  </si>
  <si>
    <t>Entity_29</t>
  </si>
  <si>
    <t>CLM00030</t>
  </si>
  <si>
    <t>Entity_30</t>
  </si>
  <si>
    <t>CLM00031</t>
  </si>
  <si>
    <t>Entity_31</t>
  </si>
  <si>
    <t>CLM00032</t>
  </si>
  <si>
    <t>Entity_32</t>
  </si>
  <si>
    <t>CLM00033</t>
  </si>
  <si>
    <t>Entity_33</t>
  </si>
  <si>
    <t>CLM00034</t>
  </si>
  <si>
    <t>Entity_34</t>
  </si>
  <si>
    <t>CLM00035</t>
  </si>
  <si>
    <t>Entity_35</t>
  </si>
  <si>
    <t>CLM00036</t>
  </si>
  <si>
    <t>Entity_36</t>
  </si>
  <si>
    <t>CLM00037</t>
  </si>
  <si>
    <t>Entity_37</t>
  </si>
  <si>
    <t>CLM00038</t>
  </si>
  <si>
    <t>Entity_38</t>
  </si>
  <si>
    <t>CLM00039</t>
  </si>
  <si>
    <t>Entity_39</t>
  </si>
  <si>
    <t>Transport</t>
  </si>
  <si>
    <t>CLM00040</t>
  </si>
  <si>
    <t>Entity_40</t>
  </si>
  <si>
    <t>CLM00041</t>
  </si>
  <si>
    <t>Entity_41</t>
  </si>
  <si>
    <t>CLM00042</t>
  </si>
  <si>
    <t>Entity_42</t>
  </si>
  <si>
    <t>CLM00043</t>
  </si>
  <si>
    <t>Entity_43</t>
  </si>
  <si>
    <t>CLM00044</t>
  </si>
  <si>
    <t>Entity_44</t>
  </si>
  <si>
    <t>CLM00045</t>
  </si>
  <si>
    <t>Entity_45</t>
  </si>
  <si>
    <t>CLM00046</t>
  </si>
  <si>
    <t>Entity_46</t>
  </si>
  <si>
    <t>CLM00047</t>
  </si>
  <si>
    <t>Entity_47</t>
  </si>
  <si>
    <t>CLM00048</t>
  </si>
  <si>
    <t>Entity_48</t>
  </si>
  <si>
    <t>CLM00049</t>
  </si>
  <si>
    <t>Entity_49</t>
  </si>
  <si>
    <t>CLM00050</t>
  </si>
  <si>
    <t>Entity_50</t>
  </si>
  <si>
    <t>CLM00051</t>
  </si>
  <si>
    <t>Entity_51</t>
  </si>
  <si>
    <t>CLM00052</t>
  </si>
  <si>
    <t>Entity_52</t>
  </si>
  <si>
    <t>CLM00053</t>
  </si>
  <si>
    <t>Entity_53</t>
  </si>
  <si>
    <t>CLM00054</t>
  </si>
  <si>
    <t>Entity_54</t>
  </si>
  <si>
    <t>CLM00055</t>
  </si>
  <si>
    <t>Entity_55</t>
  </si>
  <si>
    <t>CLM00056</t>
  </si>
  <si>
    <t>Entity_56</t>
  </si>
  <si>
    <t>CLM00057</t>
  </si>
  <si>
    <t>Entity_57</t>
  </si>
  <si>
    <t>CLM00058</t>
  </si>
  <si>
    <t>Entity_58</t>
  </si>
  <si>
    <t>CLM00059</t>
  </si>
  <si>
    <t>Entity_59</t>
  </si>
  <si>
    <t>CLM00060</t>
  </si>
  <si>
    <t>Entity_60</t>
  </si>
  <si>
    <t>CLM00061</t>
  </si>
  <si>
    <t>Entity_61</t>
  </si>
  <si>
    <t>CLM00062</t>
  </si>
  <si>
    <t>Entity_62</t>
  </si>
  <si>
    <t>CLM00063</t>
  </si>
  <si>
    <t>Entity_63</t>
  </si>
  <si>
    <t>CLM00064</t>
  </si>
  <si>
    <t>Entity_64</t>
  </si>
  <si>
    <t>CLM00065</t>
  </si>
  <si>
    <t>Entity_65</t>
  </si>
  <si>
    <t>CLM00066</t>
  </si>
  <si>
    <t>Entity_66</t>
  </si>
  <si>
    <t>CLM00067</t>
  </si>
  <si>
    <t>Entity_67</t>
  </si>
  <si>
    <t>CLM00068</t>
  </si>
  <si>
    <t>Entity_68</t>
  </si>
  <si>
    <t>CLM00069</t>
  </si>
  <si>
    <t>Entity_69</t>
  </si>
  <si>
    <t>CLM00070</t>
  </si>
  <si>
    <t>Entity_70</t>
  </si>
  <si>
    <t>CLM00071</t>
  </si>
  <si>
    <t>Entity_71</t>
  </si>
  <si>
    <t>CLM00072</t>
  </si>
  <si>
    <t>Entity_72</t>
  </si>
  <si>
    <t>CLM00073</t>
  </si>
  <si>
    <t>Entity_73</t>
  </si>
  <si>
    <t>CLM00074</t>
  </si>
  <si>
    <t>Entity_74</t>
  </si>
  <si>
    <t>CLM00075</t>
  </si>
  <si>
    <t>Entity_75</t>
  </si>
  <si>
    <t>CLM00076</t>
  </si>
  <si>
    <t>Entity_76</t>
  </si>
  <si>
    <t>CLM00077</t>
  </si>
  <si>
    <t>Entity_77</t>
  </si>
  <si>
    <t>CLM00078</t>
  </si>
  <si>
    <t>Entity_78</t>
  </si>
  <si>
    <t>CLM00079</t>
  </si>
  <si>
    <t>Entity_79</t>
  </si>
  <si>
    <t>CLM00080</t>
  </si>
  <si>
    <t>Entity_80</t>
  </si>
  <si>
    <t>CLM00081</t>
  </si>
  <si>
    <t>Entity_81</t>
  </si>
  <si>
    <t>CLM00082</t>
  </si>
  <si>
    <t>Entity_82</t>
  </si>
  <si>
    <t>CLM00083</t>
  </si>
  <si>
    <t>Entity_83</t>
  </si>
  <si>
    <t>CLM00084</t>
  </si>
  <si>
    <t>Entity_84</t>
  </si>
  <si>
    <t>CLM00085</t>
  </si>
  <si>
    <t>Entity_85</t>
  </si>
  <si>
    <t>CLM00086</t>
  </si>
  <si>
    <t>Entity_86</t>
  </si>
  <si>
    <t>CLM00087</t>
  </si>
  <si>
    <t>Entity_87</t>
  </si>
  <si>
    <t>CLM00088</t>
  </si>
  <si>
    <t>Entity_88</t>
  </si>
  <si>
    <t>CLM00089</t>
  </si>
  <si>
    <t>Entity_89</t>
  </si>
  <si>
    <t>CLM00090</t>
  </si>
  <si>
    <t>Entity_90</t>
  </si>
  <si>
    <t>CLM00091</t>
  </si>
  <si>
    <t>Entity_91</t>
  </si>
  <si>
    <t>CLM00092</t>
  </si>
  <si>
    <t>Entity_92</t>
  </si>
  <si>
    <t>CLM00093</t>
  </si>
  <si>
    <t>Entity_93</t>
  </si>
  <si>
    <t>CLM00094</t>
  </si>
  <si>
    <t>Entity_94</t>
  </si>
  <si>
    <t>CLM00095</t>
  </si>
  <si>
    <t>Entity_95</t>
  </si>
  <si>
    <t>CLM00096</t>
  </si>
  <si>
    <t>Entity_96</t>
  </si>
  <si>
    <t>CLM00097</t>
  </si>
  <si>
    <t>Entity_97</t>
  </si>
  <si>
    <t>CLM00098</t>
  </si>
  <si>
    <t>Entity_98</t>
  </si>
  <si>
    <t>CLM00099</t>
  </si>
  <si>
    <t>Entity_99</t>
  </si>
  <si>
    <t>CLM00100</t>
  </si>
  <si>
    <t>Entity_100</t>
  </si>
  <si>
    <t>CLM00101</t>
  </si>
  <si>
    <t>Entity_101</t>
  </si>
  <si>
    <t>CLM00102</t>
  </si>
  <si>
    <t>Entity_102</t>
  </si>
  <si>
    <t>CLM00103</t>
  </si>
  <si>
    <t>Entity_103</t>
  </si>
  <si>
    <t>CLM00104</t>
  </si>
  <si>
    <t>Entity_104</t>
  </si>
  <si>
    <t>CLM00105</t>
  </si>
  <si>
    <t>Entity_105</t>
  </si>
  <si>
    <t>CLM00106</t>
  </si>
  <si>
    <t>Entity_106</t>
  </si>
  <si>
    <t>CLM00107</t>
  </si>
  <si>
    <t>Entity_107</t>
  </si>
  <si>
    <t>CLM00108</t>
  </si>
  <si>
    <t>Entity_108</t>
  </si>
  <si>
    <t>CLM00109</t>
  </si>
  <si>
    <t>Entity_109</t>
  </si>
  <si>
    <t>CLM00110</t>
  </si>
  <si>
    <t>Entity_110</t>
  </si>
  <si>
    <t>CLM00111</t>
  </si>
  <si>
    <t>Entity_111</t>
  </si>
  <si>
    <t>CLM00112</t>
  </si>
  <si>
    <t>Entity_112</t>
  </si>
  <si>
    <t>CLM00113</t>
  </si>
  <si>
    <t>Entity_113</t>
  </si>
  <si>
    <t>CLM00114</t>
  </si>
  <si>
    <t>Entity_114</t>
  </si>
  <si>
    <t>CLM00115</t>
  </si>
  <si>
    <t>Entity_115</t>
  </si>
  <si>
    <t>CLM00116</t>
  </si>
  <si>
    <t>Entity_116</t>
  </si>
  <si>
    <t>CLM00117</t>
  </si>
  <si>
    <t>Entity_117</t>
  </si>
  <si>
    <t>CLM00118</t>
  </si>
  <si>
    <t>Entity_118</t>
  </si>
  <si>
    <t>CLM00119</t>
  </si>
  <si>
    <t>Entity_119</t>
  </si>
  <si>
    <t>CLM00120</t>
  </si>
  <si>
    <t>Entity_120</t>
  </si>
  <si>
    <t>CLM00121</t>
  </si>
  <si>
    <t>Entity_121</t>
  </si>
  <si>
    <t>CLM00122</t>
  </si>
  <si>
    <t>Entity_122</t>
  </si>
  <si>
    <t>CLM00123</t>
  </si>
  <si>
    <t>Entity_123</t>
  </si>
  <si>
    <t>CLM00124</t>
  </si>
  <si>
    <t>Entity_124</t>
  </si>
  <si>
    <t>CLM00125</t>
  </si>
  <si>
    <t>Entity_125</t>
  </si>
  <si>
    <t>CLM00126</t>
  </si>
  <si>
    <t>Entity_126</t>
  </si>
  <si>
    <t>CLM00127</t>
  </si>
  <si>
    <t>Entity_127</t>
  </si>
  <si>
    <t>CLM00128</t>
  </si>
  <si>
    <t>Entity_128</t>
  </si>
  <si>
    <t>CLM00129</t>
  </si>
  <si>
    <t>Entity_129</t>
  </si>
  <si>
    <t>CLM00130</t>
  </si>
  <si>
    <t>Entity_130</t>
  </si>
  <si>
    <t>CLM00131</t>
  </si>
  <si>
    <t>Entity_131</t>
  </si>
  <si>
    <t>CLM00132</t>
  </si>
  <si>
    <t>Entity_132</t>
  </si>
  <si>
    <t>CLM00133</t>
  </si>
  <si>
    <t>Entity_133</t>
  </si>
  <si>
    <t>CLM00134</t>
  </si>
  <si>
    <t>Entity_134</t>
  </si>
  <si>
    <t>CLM00135</t>
  </si>
  <si>
    <t>Entity_135</t>
  </si>
  <si>
    <t>CLM00136</t>
  </si>
  <si>
    <t>Entity_136</t>
  </si>
  <si>
    <t>CLM00137</t>
  </si>
  <si>
    <t>Entity_137</t>
  </si>
  <si>
    <t>CLM00138</t>
  </si>
  <si>
    <t>Entity_138</t>
  </si>
  <si>
    <t>CLM00139</t>
  </si>
  <si>
    <t>Entity_139</t>
  </si>
  <si>
    <t>CLM00140</t>
  </si>
  <si>
    <t>Entity_140</t>
  </si>
  <si>
    <t>CLM00141</t>
  </si>
  <si>
    <t>Entity_141</t>
  </si>
  <si>
    <t>CLM00142</t>
  </si>
  <si>
    <t>Entity_142</t>
  </si>
  <si>
    <t>CLM00143</t>
  </si>
  <si>
    <t>Entity_143</t>
  </si>
  <si>
    <t>CLM00144</t>
  </si>
  <si>
    <t>Entity_144</t>
  </si>
  <si>
    <t>CLM00145</t>
  </si>
  <si>
    <t>Entity_145</t>
  </si>
  <si>
    <t>CLM00146</t>
  </si>
  <si>
    <t>Entity_146</t>
  </si>
  <si>
    <t>CLM00147</t>
  </si>
  <si>
    <t>Entity_147</t>
  </si>
  <si>
    <t>CLM00148</t>
  </si>
  <si>
    <t>Entity_148</t>
  </si>
  <si>
    <t>CLM00149</t>
  </si>
  <si>
    <t>Entity_149</t>
  </si>
  <si>
    <t>CLM00150</t>
  </si>
  <si>
    <t>Entity_150</t>
  </si>
  <si>
    <t>CLM00151</t>
  </si>
  <si>
    <t>Entity_151</t>
  </si>
  <si>
    <t>CLM00152</t>
  </si>
  <si>
    <t>Entity_152</t>
  </si>
  <si>
    <t>CLM00153</t>
  </si>
  <si>
    <t>Entity_153</t>
  </si>
  <si>
    <t>CLM00154</t>
  </si>
  <si>
    <t>Entity_154</t>
  </si>
  <si>
    <t>CLM00155</t>
  </si>
  <si>
    <t>Entity_155</t>
  </si>
  <si>
    <t>CLM00156</t>
  </si>
  <si>
    <t>Entity_156</t>
  </si>
  <si>
    <t>CLM00157</t>
  </si>
  <si>
    <t>Entity_157</t>
  </si>
  <si>
    <t>CLM00158</t>
  </si>
  <si>
    <t>Entity_158</t>
  </si>
  <si>
    <t>CLM00159</t>
  </si>
  <si>
    <t>Entity_159</t>
  </si>
  <si>
    <t>CLM00160</t>
  </si>
  <si>
    <t>Entity_160</t>
  </si>
  <si>
    <t>CLM00161</t>
  </si>
  <si>
    <t>Entity_161</t>
  </si>
  <si>
    <t>CLM00162</t>
  </si>
  <si>
    <t>Entity_162</t>
  </si>
  <si>
    <t>CLM00163</t>
  </si>
  <si>
    <t>Entity_163</t>
  </si>
  <si>
    <t>CLM00164</t>
  </si>
  <si>
    <t>Entity_164</t>
  </si>
  <si>
    <t>CLM00165</t>
  </si>
  <si>
    <t>Entity_165</t>
  </si>
  <si>
    <t>CLM00166</t>
  </si>
  <si>
    <t>Entity_166</t>
  </si>
  <si>
    <t>CLM00167</t>
  </si>
  <si>
    <t>Entity_167</t>
  </si>
  <si>
    <t>CLM00168</t>
  </si>
  <si>
    <t>Entity_168</t>
  </si>
  <si>
    <t>CLM00169</t>
  </si>
  <si>
    <t>Entity_169</t>
  </si>
  <si>
    <t>CLM00170</t>
  </si>
  <si>
    <t>Entity_170</t>
  </si>
  <si>
    <t>CLM00171</t>
  </si>
  <si>
    <t>Entity_171</t>
  </si>
  <si>
    <t>CLM00172</t>
  </si>
  <si>
    <t>Entity_172</t>
  </si>
  <si>
    <t>CLM00173</t>
  </si>
  <si>
    <t>Entity_173</t>
  </si>
  <si>
    <t>CLM00174</t>
  </si>
  <si>
    <t>Entity_174</t>
  </si>
  <si>
    <t>CLM00175</t>
  </si>
  <si>
    <t>Entity_175</t>
  </si>
  <si>
    <t>CLM00176</t>
  </si>
  <si>
    <t>Entity_176</t>
  </si>
  <si>
    <t>CLM00177</t>
  </si>
  <si>
    <t>Entity_177</t>
  </si>
  <si>
    <t>CLM00178</t>
  </si>
  <si>
    <t>Entity_178</t>
  </si>
  <si>
    <t>CLM00179</t>
  </si>
  <si>
    <t>Entity_179</t>
  </si>
  <si>
    <t>CLM00180</t>
  </si>
  <si>
    <t>Entity_180</t>
  </si>
  <si>
    <t>CLM00181</t>
  </si>
  <si>
    <t>Entity_181</t>
  </si>
  <si>
    <t>CLM00182</t>
  </si>
  <si>
    <t>Entity_182</t>
  </si>
  <si>
    <t>CLM00183</t>
  </si>
  <si>
    <t>Entity_183</t>
  </si>
  <si>
    <t>CLM00184</t>
  </si>
  <si>
    <t>Entity_184</t>
  </si>
  <si>
    <t>CLM00185</t>
  </si>
  <si>
    <t>Entity_185</t>
  </si>
  <si>
    <t>CLM00186</t>
  </si>
  <si>
    <t>Entity_186</t>
  </si>
  <si>
    <t>CLM00187</t>
  </si>
  <si>
    <t>Entity_187</t>
  </si>
  <si>
    <t>CLM00188</t>
  </si>
  <si>
    <t>Entity_188</t>
  </si>
  <si>
    <t>CLM00189</t>
  </si>
  <si>
    <t>Entity_189</t>
  </si>
  <si>
    <t>CLM00190</t>
  </si>
  <si>
    <t>Entity_190</t>
  </si>
  <si>
    <t>CLM00191</t>
  </si>
  <si>
    <t>Entity_191</t>
  </si>
  <si>
    <t>CLM00192</t>
  </si>
  <si>
    <t>Entity_192</t>
  </si>
  <si>
    <t>CLM00193</t>
  </si>
  <si>
    <t>Entity_193</t>
  </si>
  <si>
    <t>CLM00194</t>
  </si>
  <si>
    <t>Entity_194</t>
  </si>
  <si>
    <t>CLM00195</t>
  </si>
  <si>
    <t>Entity_195</t>
  </si>
  <si>
    <t>CLM00196</t>
  </si>
  <si>
    <t>Entity_196</t>
  </si>
  <si>
    <t>CLM00197</t>
  </si>
  <si>
    <t>Entity_197</t>
  </si>
  <si>
    <t>CLM00198</t>
  </si>
  <si>
    <t>Entity_198</t>
  </si>
  <si>
    <t>CLM00199</t>
  </si>
  <si>
    <t>Entity_199</t>
  </si>
  <si>
    <t>CLM00200</t>
  </si>
  <si>
    <t>Entity_200</t>
  </si>
  <si>
    <t>PILLAR 2  |  Cyber Risk – Incident Register &amp; KRIs  |  Bank Risk Management Dashboard</t>
  </si>
  <si>
    <t>Severity</t>
  </si>
  <si>
    <t>Attack_Vector</t>
  </si>
  <si>
    <t>Asset_Affected</t>
  </si>
  <si>
    <t>System_Type</t>
  </si>
  <si>
    <t>Downtime_Hrs</t>
  </si>
  <si>
    <t>Data_Records_Compromised</t>
  </si>
  <si>
    <t>Financial_Impact_Cr</t>
  </si>
  <si>
    <t>CVE_ID</t>
  </si>
  <si>
    <t>CVSS_Score</t>
  </si>
  <si>
    <t>Patch_Status</t>
  </si>
  <si>
    <t>CERT_In_Reported</t>
  </si>
  <si>
    <t>Response_Time_Hrs</t>
  </si>
  <si>
    <t>Recovery_Time_Hrs</t>
  </si>
  <si>
    <t>MTTD_Hrs</t>
  </si>
  <si>
    <t>MTTR_Hrs</t>
  </si>
  <si>
    <t>Threat_Actor</t>
  </si>
  <si>
    <t>Business_Impact</t>
  </si>
  <si>
    <t>Controls_Tested</t>
  </si>
  <si>
    <t>Vulnerability_Count</t>
  </si>
  <si>
    <t>CYB2024001</t>
  </si>
  <si>
    <t>Ransomware</t>
  </si>
  <si>
    <t>ATM Network</t>
  </si>
  <si>
    <t>Third-Party</t>
  </si>
  <si>
    <t>CVE-2022-3694</t>
  </si>
  <si>
    <t>Organized Crime</t>
  </si>
  <si>
    <t>Passed</t>
  </si>
  <si>
    <t>Active</t>
  </si>
  <si>
    <t>CYB2024002</t>
  </si>
  <si>
    <t>SQL Injection</t>
  </si>
  <si>
    <t>Hybrid</t>
  </si>
  <si>
    <t>CVE-2021-4493</t>
  </si>
  <si>
    <t>CYB2024003</t>
  </si>
  <si>
    <t>02-Jan-2024</t>
  </si>
  <si>
    <t>CVE-2019-9311</t>
  </si>
  <si>
    <t>Patched</t>
  </si>
  <si>
    <t>CYB2024004</t>
  </si>
  <si>
    <t>Insider Threat</t>
  </si>
  <si>
    <t>HR System</t>
  </si>
  <si>
    <t>Cloud</t>
  </si>
  <si>
    <t>CVE-2022-2634</t>
  </si>
  <si>
    <t>Hacktivist</t>
  </si>
  <si>
    <t>Failed</t>
  </si>
  <si>
    <t>CYB2024005</t>
  </si>
  <si>
    <t>Zero-Day</t>
  </si>
  <si>
    <t>CVE-2024-3502</t>
  </si>
  <si>
    <t>Script Kiddie</t>
  </si>
  <si>
    <t>CYB2024006</t>
  </si>
  <si>
    <t>Critical</t>
  </si>
  <si>
    <t>Phishing Email</t>
  </si>
  <si>
    <t>Mobile Banking</t>
  </si>
  <si>
    <t>CVE-2023-6530</t>
  </si>
  <si>
    <t>Nation State</t>
  </si>
  <si>
    <t>CYB2024007</t>
  </si>
  <si>
    <t>Payment Gateway</t>
  </si>
  <si>
    <t>CVE-2021-4753</t>
  </si>
  <si>
    <t>Pending</t>
  </si>
  <si>
    <t>CYB2024008</t>
  </si>
  <si>
    <t>Man-in-Middle</t>
  </si>
  <si>
    <t>CVE-2024-5535</t>
  </si>
  <si>
    <t>CYB2024009</t>
  </si>
  <si>
    <t>Email Server</t>
  </si>
  <si>
    <t>CVE-2019-7159</t>
  </si>
  <si>
    <t>CYB2024010</t>
  </si>
  <si>
    <t>CVE-2021-2200</t>
  </si>
  <si>
    <t>CYB2024011</t>
  </si>
  <si>
    <t>CVE-2020-3160</t>
  </si>
  <si>
    <t>Not Applicable</t>
  </si>
  <si>
    <t>CYB2024012</t>
  </si>
  <si>
    <t>On-Premise</t>
  </si>
  <si>
    <t>CVE-2022-6387</t>
  </si>
  <si>
    <t>Insider</t>
  </si>
  <si>
    <t>CYB2024013</t>
  </si>
  <si>
    <t>CVE-2022-8606</t>
  </si>
  <si>
    <t>CYB2024014</t>
  </si>
  <si>
    <t>DDoS</t>
  </si>
  <si>
    <t>CVE-2021-4614</t>
  </si>
  <si>
    <t>CYB2024015</t>
  </si>
  <si>
    <t>CVE-2022-1130</t>
  </si>
  <si>
    <t>CYB2024016</t>
  </si>
  <si>
    <t>APT</t>
  </si>
  <si>
    <t>CVE-2022-5063</t>
  </si>
  <si>
    <t>CYB2024017</t>
  </si>
  <si>
    <t>CVE-2023-5417</t>
  </si>
  <si>
    <t>CYB2024018</t>
  </si>
  <si>
    <t>CVE-2025-8299</t>
  </si>
  <si>
    <t>CYB2024019</t>
  </si>
  <si>
    <t>CVE-2023-8091</t>
  </si>
  <si>
    <t>Unknown</t>
  </si>
  <si>
    <t>CYB2024020</t>
  </si>
  <si>
    <t>CVE-2022-4118</t>
  </si>
  <si>
    <t>CYB2024021</t>
  </si>
  <si>
    <t>Supply Chain</t>
  </si>
  <si>
    <t>CVE-2023-7078</t>
  </si>
  <si>
    <t>CYB2024022</t>
  </si>
  <si>
    <t>CVE-2024-8385</t>
  </si>
  <si>
    <t>CYB2024023</t>
  </si>
  <si>
    <t>CVE-2021-2055</t>
  </si>
  <si>
    <t>CYB2024024</t>
  </si>
  <si>
    <t>CVE-2020-4259</t>
  </si>
  <si>
    <t>CYB2024025</t>
  </si>
  <si>
    <t>12-Aug-2024</t>
  </si>
  <si>
    <t>CVE-2022-8475</t>
  </si>
  <si>
    <t>CYB2024026</t>
  </si>
  <si>
    <t>Internet Banking</t>
  </si>
  <si>
    <t>CVE-2025-5232</t>
  </si>
  <si>
    <t>CYB2024027</t>
  </si>
  <si>
    <t>CVE-2025-3169</t>
  </si>
  <si>
    <t>CYB2024028</t>
  </si>
  <si>
    <t>CVE-2023-3996</t>
  </si>
  <si>
    <t>CYB2024029</t>
  </si>
  <si>
    <t>CVE-2025-6623</t>
  </si>
  <si>
    <t>CYB2024030</t>
  </si>
  <si>
    <t>09-Jul-2024</t>
  </si>
  <si>
    <t>CVE-2019-4861</t>
  </si>
  <si>
    <t>CYB2024031</t>
  </si>
  <si>
    <t>CVE-2025-2792</t>
  </si>
  <si>
    <t>CYB2024032</t>
  </si>
  <si>
    <t>CVE-2024-5270</t>
  </si>
  <si>
    <t>CYB2024033</t>
  </si>
  <si>
    <t>19-Jan-2024</t>
  </si>
  <si>
    <t>CVE-2020-1169</t>
  </si>
  <si>
    <t>CYB2024034</t>
  </si>
  <si>
    <t>CVE-2022-8768</t>
  </si>
  <si>
    <t>CYB2024035</t>
  </si>
  <si>
    <t>CVE-2025-7725</t>
  </si>
  <si>
    <t>CYB2024036</t>
  </si>
  <si>
    <t>25-Jun-2024</t>
  </si>
  <si>
    <t>CVE-2021-9427</t>
  </si>
  <si>
    <t>CYB2024037</t>
  </si>
  <si>
    <t>CVE-2019-7096</t>
  </si>
  <si>
    <t>CYB2024038</t>
  </si>
  <si>
    <t>Data Center</t>
  </si>
  <si>
    <t>CVE-2020-1015</t>
  </si>
  <si>
    <t>CYB2024039</t>
  </si>
  <si>
    <t>CVE-2024-3118</t>
  </si>
  <si>
    <t>CYB2024040</t>
  </si>
  <si>
    <t>16-Feb-2024</t>
  </si>
  <si>
    <t>CVE-2022-9373</t>
  </si>
  <si>
    <t>CYB2024041</t>
  </si>
  <si>
    <t>29-Oct-2025</t>
  </si>
  <si>
    <t>CVE-2022-1343</t>
  </si>
  <si>
    <t>CYB2024042</t>
  </si>
  <si>
    <t>04-Jan-2024</t>
  </si>
  <si>
    <t>CVE-2020-1031</t>
  </si>
  <si>
    <t>CYB2024043</t>
  </si>
  <si>
    <t>CVE-2020-9218</t>
  </si>
  <si>
    <t>CYB2024044</t>
  </si>
  <si>
    <t>CVE-2019-2218</t>
  </si>
  <si>
    <t>CYB2024045</t>
  </si>
  <si>
    <t>CVE-2024-1324</t>
  </si>
  <si>
    <t>CYB2024046</t>
  </si>
  <si>
    <t>CVE-2019-8547</t>
  </si>
  <si>
    <t>CYB2024047</t>
  </si>
  <si>
    <t>CVE-2022-9746</t>
  </si>
  <si>
    <t>CYB2024048</t>
  </si>
  <si>
    <t>CVE-2020-1368</t>
  </si>
  <si>
    <t>CYB2024049</t>
  </si>
  <si>
    <t>CVE-2021-5656</t>
  </si>
  <si>
    <t>CYB2024050</t>
  </si>
  <si>
    <t>CVE-2023-1458</t>
  </si>
  <si>
    <t>CYB2024051</t>
  </si>
  <si>
    <t>Core Banking</t>
  </si>
  <si>
    <t>CVE-2019-1296</t>
  </si>
  <si>
    <t>CYB2024052</t>
  </si>
  <si>
    <t>CVE-2023-8761</t>
  </si>
  <si>
    <t>CYB2024053</t>
  </si>
  <si>
    <t>17-Feb-2024</t>
  </si>
  <si>
    <t>CVE-2021-4330</t>
  </si>
  <si>
    <t>CYB2024054</t>
  </si>
  <si>
    <t>CVE-2024-1572</t>
  </si>
  <si>
    <t>CYB2024055</t>
  </si>
  <si>
    <t>CVE-2019-7190</t>
  </si>
  <si>
    <t>CYB2024056</t>
  </si>
  <si>
    <t>07-May-2024</t>
  </si>
  <si>
    <t>CVE-2022-1481</t>
  </si>
  <si>
    <t>CYB2024057</t>
  </si>
  <si>
    <t>23-Jun-2024</t>
  </si>
  <si>
    <t>CVE-2020-5709</t>
  </si>
  <si>
    <t>CYB2024058</t>
  </si>
  <si>
    <t>CVE-2022-9104</t>
  </si>
  <si>
    <t>CYB2024059</t>
  </si>
  <si>
    <t>CVE-2021-9015</t>
  </si>
  <si>
    <t>CYB2024060</t>
  </si>
  <si>
    <t>CVE-2025-3312</t>
  </si>
  <si>
    <t>CYB2024061</t>
  </si>
  <si>
    <t>CVE-2019-9681</t>
  </si>
  <si>
    <t>CYB2024062</t>
  </si>
  <si>
    <t>CVE-2022-4013</t>
  </si>
  <si>
    <t>CYB2024063</t>
  </si>
  <si>
    <t>CVE-2021-7250</t>
  </si>
  <si>
    <t>CYB2024064</t>
  </si>
  <si>
    <t>CVE-2023-1475</t>
  </si>
  <si>
    <t>CYB2024065</t>
  </si>
  <si>
    <t>CVE-2022-5537</t>
  </si>
  <si>
    <t>CYB2024066</t>
  </si>
  <si>
    <t>CVE-2023-8581</t>
  </si>
  <si>
    <t>CYB2024067</t>
  </si>
  <si>
    <t>CVE-2023-7409</t>
  </si>
  <si>
    <t>CYB2024068</t>
  </si>
  <si>
    <t>CVE-2019-1371</t>
  </si>
  <si>
    <t>CYB2024069</t>
  </si>
  <si>
    <t>CVE-2019-6216</t>
  </si>
  <si>
    <t>CYB2024070</t>
  </si>
  <si>
    <t>CVE-2019-9701</t>
  </si>
  <si>
    <t>CYB2024071</t>
  </si>
  <si>
    <t>CVE-2021-9350</t>
  </si>
  <si>
    <t>CYB2024072</t>
  </si>
  <si>
    <t>CVE-2025-7153</t>
  </si>
  <si>
    <t>CYB2024073</t>
  </si>
  <si>
    <t>CVE-2023-7911</t>
  </si>
  <si>
    <t>CYB2024074</t>
  </si>
  <si>
    <t>CVE-2025-5908</t>
  </si>
  <si>
    <t>CYB2024075</t>
  </si>
  <si>
    <t>CVE-2019-5313</t>
  </si>
  <si>
    <t>CYB2024076</t>
  </si>
  <si>
    <t>CVE-2021-9341</t>
  </si>
  <si>
    <t>CYB2024077</t>
  </si>
  <si>
    <t>CVE-2025-2731</t>
  </si>
  <si>
    <t>CYB2024078</t>
  </si>
  <si>
    <t>CVE-2025-8780</t>
  </si>
  <si>
    <t>CYB2024079</t>
  </si>
  <si>
    <t>CVE-2021-2111</t>
  </si>
  <si>
    <t>CYB2024080</t>
  </si>
  <si>
    <t>CVE-2025-4935</t>
  </si>
  <si>
    <t>CYB2024081</t>
  </si>
  <si>
    <t>CVE-2023-7666</t>
  </si>
  <si>
    <t>CYB2024082</t>
  </si>
  <si>
    <t>CVE-2022-2625</t>
  </si>
  <si>
    <t>CYB2024083</t>
  </si>
  <si>
    <t>CVE-2023-1510</t>
  </si>
  <si>
    <t>CYB2024084</t>
  </si>
  <si>
    <t>CVE-2023-7236</t>
  </si>
  <si>
    <t>CYB2024085</t>
  </si>
  <si>
    <t>CVE-2021-5012</t>
  </si>
  <si>
    <t>CYB2024086</t>
  </si>
  <si>
    <t>16-Jan-2024</t>
  </si>
  <si>
    <t>CVE-2024-1278</t>
  </si>
  <si>
    <t>CYB2024087</t>
  </si>
  <si>
    <t>19-Nov-2024</t>
  </si>
  <si>
    <t>CVE-2021-1394</t>
  </si>
  <si>
    <t>CYB2024088</t>
  </si>
  <si>
    <t>CVE-2022-5678</t>
  </si>
  <si>
    <t>CYB2024089</t>
  </si>
  <si>
    <t>CVE-2024-4780</t>
  </si>
  <si>
    <t>CYB2024090</t>
  </si>
  <si>
    <t>CVE-2025-4233</t>
  </si>
  <si>
    <t>CYB2024091</t>
  </si>
  <si>
    <t>CVE-2024-9055</t>
  </si>
  <si>
    <t>CYB2024092</t>
  </si>
  <si>
    <t>CVE-2023-9537</t>
  </si>
  <si>
    <t>CYB2024093</t>
  </si>
  <si>
    <t>28-Aug-2024</t>
  </si>
  <si>
    <t>CVE-2025-8533</t>
  </si>
  <si>
    <t>CYB2024094</t>
  </si>
  <si>
    <t>CVE-2019-5002</t>
  </si>
  <si>
    <t>CYB2024095</t>
  </si>
  <si>
    <t>CVE-2024-1197</t>
  </si>
  <si>
    <t>CYB2024096</t>
  </si>
  <si>
    <t>CVE-2019-3260</t>
  </si>
  <si>
    <t>CYB2024097</t>
  </si>
  <si>
    <t>CVE-2022-5293</t>
  </si>
  <si>
    <t>CYB2024098</t>
  </si>
  <si>
    <t>09-Jan-2024</t>
  </si>
  <si>
    <t>CVE-2019-7859</t>
  </si>
  <si>
    <t>CYB2024099</t>
  </si>
  <si>
    <t>CVE-2023-3348</t>
  </si>
  <si>
    <t>CYB2024100</t>
  </si>
  <si>
    <t>25-Dec-2024</t>
  </si>
  <si>
    <t>CVE-2025-6326</t>
  </si>
  <si>
    <t>CYB2024101</t>
  </si>
  <si>
    <t>CVE-2024-4358</t>
  </si>
  <si>
    <t>CYB2024102</t>
  </si>
  <si>
    <t>CVE-2022-7853</t>
  </si>
  <si>
    <t>CYB2024103</t>
  </si>
  <si>
    <t>06-Jun-2025</t>
  </si>
  <si>
    <t>CVE-2023-1984</t>
  </si>
  <si>
    <t>CYB2024104</t>
  </si>
  <si>
    <t>CVE-2024-7199</t>
  </si>
  <si>
    <t>CYB2024105</t>
  </si>
  <si>
    <t>CVE-2023-9078</t>
  </si>
  <si>
    <t>CYB2024106</t>
  </si>
  <si>
    <t>CVE-2022-9795</t>
  </si>
  <si>
    <t>CYB2024107</t>
  </si>
  <si>
    <t>14-Nov-2024</t>
  </si>
  <si>
    <t>CVE-2022-1834</t>
  </si>
  <si>
    <t>CYB2024108</t>
  </si>
  <si>
    <t>CVE-2019-2313</t>
  </si>
  <si>
    <t>CYB2024109</t>
  </si>
  <si>
    <t>CVE-2025-7356</t>
  </si>
  <si>
    <t>CYB2024110</t>
  </si>
  <si>
    <t>CVE-2020-8168</t>
  </si>
  <si>
    <t>CYB2024111</t>
  </si>
  <si>
    <t>CVE-2019-9388</t>
  </si>
  <si>
    <t>CYB2024112</t>
  </si>
  <si>
    <t>CVE-2019-1114</t>
  </si>
  <si>
    <t>CYB2024113</t>
  </si>
  <si>
    <t>CVE-2025-2991</t>
  </si>
  <si>
    <t>CYB2024114</t>
  </si>
  <si>
    <t>CVE-2025-6974</t>
  </si>
  <si>
    <t>CYB2024115</t>
  </si>
  <si>
    <t>CVE-2020-2843</t>
  </si>
  <si>
    <t>CYB2024116</t>
  </si>
  <si>
    <t>CVE-2022-6975</t>
  </si>
  <si>
    <t>CYB2024117</t>
  </si>
  <si>
    <t>CVE-2020-9037</t>
  </si>
  <si>
    <t>CYB2024118</t>
  </si>
  <si>
    <t>03-Dec-2024</t>
  </si>
  <si>
    <t>CVE-2021-6935</t>
  </si>
  <si>
    <t>CYB2024119</t>
  </si>
  <si>
    <t>CVE-2021-2059</t>
  </si>
  <si>
    <t>CYB2024120</t>
  </si>
  <si>
    <t>CVE-2023-1261</t>
  </si>
  <si>
    <t>CYB2024121</t>
  </si>
  <si>
    <t>CVE-2023-9457</t>
  </si>
  <si>
    <t>CYB2024122</t>
  </si>
  <si>
    <t>CVE-2023-3054</t>
  </si>
  <si>
    <t>CYB2024123</t>
  </si>
  <si>
    <t>CVE-2024-9598</t>
  </si>
  <si>
    <t>CYB2024124</t>
  </si>
  <si>
    <t>CVE-2022-9188</t>
  </si>
  <si>
    <t>CYB2024125</t>
  </si>
  <si>
    <t>CVE-2024-3412</t>
  </si>
  <si>
    <t>CYB2024126</t>
  </si>
  <si>
    <t>28-Feb-2024</t>
  </si>
  <si>
    <t>CVE-2022-4812</t>
  </si>
  <si>
    <t>CYB2024127</t>
  </si>
  <si>
    <t>CVE-2025-2268</t>
  </si>
  <si>
    <t>CYB2024128</t>
  </si>
  <si>
    <t>CVE-2020-5158</t>
  </si>
  <si>
    <t>CYB2024129</t>
  </si>
  <si>
    <t>CVE-2024-6325</t>
  </si>
  <si>
    <t>CYB2024130</t>
  </si>
  <si>
    <t>CVE-2022-8414</t>
  </si>
  <si>
    <t>CYB2024131</t>
  </si>
  <si>
    <t>24-Jan-2024</t>
  </si>
  <si>
    <t>CVE-2022-6953</t>
  </si>
  <si>
    <t>CYB2024132</t>
  </si>
  <si>
    <t>CVE-2019-4689</t>
  </si>
  <si>
    <t>CYB2024133</t>
  </si>
  <si>
    <t>CVE-2021-6383</t>
  </si>
  <si>
    <t>CYB2024134</t>
  </si>
  <si>
    <t>CVE-2019-9804</t>
  </si>
  <si>
    <t>CYB2024135</t>
  </si>
  <si>
    <t>CVE-2020-2232</t>
  </si>
  <si>
    <t>CYB2024136</t>
  </si>
  <si>
    <t>CVE-2019-8890</t>
  </si>
  <si>
    <t>CYB2024137</t>
  </si>
  <si>
    <t>CVE-2019-1073</t>
  </si>
  <si>
    <t>CYB2024138</t>
  </si>
  <si>
    <t>29-Dec-2024</t>
  </si>
  <si>
    <t>CVE-2024-2721</t>
  </si>
  <si>
    <t>CYB2024139</t>
  </si>
  <si>
    <t>CVE-2024-6264</t>
  </si>
  <si>
    <t>CYB2024140</t>
  </si>
  <si>
    <t>CVE-2021-2560</t>
  </si>
  <si>
    <t>CYB2024141</t>
  </si>
  <si>
    <t>CVE-2020-7627</t>
  </si>
  <si>
    <t>CYB2024142</t>
  </si>
  <si>
    <t>23-Mar-2024</t>
  </si>
  <si>
    <t>CVE-2025-2741</t>
  </si>
  <si>
    <t>CYB2024143</t>
  </si>
  <si>
    <t>CVE-2023-3867</t>
  </si>
  <si>
    <t>CYB2024144</t>
  </si>
  <si>
    <t>CVE-2023-2226</t>
  </si>
  <si>
    <t>CYB2024145</t>
  </si>
  <si>
    <t>CVE-2024-1610</t>
  </si>
  <si>
    <t>CYB2024146</t>
  </si>
  <si>
    <t>CVE-2020-5446</t>
  </si>
  <si>
    <t>CYB2024147</t>
  </si>
  <si>
    <t>CVE-2021-5522</t>
  </si>
  <si>
    <t>CYB2024148</t>
  </si>
  <si>
    <t>CVE-2021-8021</t>
  </si>
  <si>
    <t>CYB2024149</t>
  </si>
  <si>
    <t>CVE-2021-5379</t>
  </si>
  <si>
    <t>CYB2024150</t>
  </si>
  <si>
    <t>CVE-2020-7848</t>
  </si>
  <si>
    <t>CYB2024151</t>
  </si>
  <si>
    <t>CVE-2022-5563</t>
  </si>
  <si>
    <t>CYB2024152</t>
  </si>
  <si>
    <t>CVE-2024-7146</t>
  </si>
  <si>
    <t>CYB2024153</t>
  </si>
  <si>
    <t>CVE-2019-1979</t>
  </si>
  <si>
    <t>CYB2024154</t>
  </si>
  <si>
    <t>CVE-2019-4733</t>
  </si>
  <si>
    <t>CYB2024155</t>
  </si>
  <si>
    <t>CVE-2025-8788</t>
  </si>
  <si>
    <t>CYB2024156</t>
  </si>
  <si>
    <t>23-Nov-2025</t>
  </si>
  <si>
    <t>CVE-2021-3771</t>
  </si>
  <si>
    <t>CYB2024157</t>
  </si>
  <si>
    <t>CVE-2024-2273</t>
  </si>
  <si>
    <t>CYB2024158</t>
  </si>
  <si>
    <t>CVE-2020-9036</t>
  </si>
  <si>
    <t>CYB2024159</t>
  </si>
  <si>
    <t>CVE-2020-9774</t>
  </si>
  <si>
    <t>CYB2024160</t>
  </si>
  <si>
    <t>02-Jan-2025</t>
  </si>
  <si>
    <t>CVE-2023-6570</t>
  </si>
  <si>
    <t>CYB2024161</t>
  </si>
  <si>
    <t>05-Nov-2025</t>
  </si>
  <si>
    <t>CVE-2022-9224</t>
  </si>
  <si>
    <t>CYB2024162</t>
  </si>
  <si>
    <t>CVE-2025-1759</t>
  </si>
  <si>
    <t>CYB2024163</t>
  </si>
  <si>
    <t>CVE-2024-5849</t>
  </si>
  <si>
    <t>CYB2024164</t>
  </si>
  <si>
    <t>CVE-2024-7305</t>
  </si>
  <si>
    <t>CYB2024165</t>
  </si>
  <si>
    <t>CVE-2021-4577</t>
  </si>
  <si>
    <t>CYB2024166</t>
  </si>
  <si>
    <t>CVE-2023-1304</t>
  </si>
  <si>
    <t>CYB2024167</t>
  </si>
  <si>
    <t>CVE-2021-3178</t>
  </si>
  <si>
    <t>CYB2024168</t>
  </si>
  <si>
    <t>CVE-2020-2947</t>
  </si>
  <si>
    <t>CYB2024169</t>
  </si>
  <si>
    <t>CVE-2023-6085</t>
  </si>
  <si>
    <t>CYB2024170</t>
  </si>
  <si>
    <t>12-Jan-2024</t>
  </si>
  <si>
    <t>CVE-2020-4098</t>
  </si>
  <si>
    <t>CYB2024171</t>
  </si>
  <si>
    <t>CVE-2022-1202</t>
  </si>
  <si>
    <t>CYB2024172</t>
  </si>
  <si>
    <t>05-Sep-2025</t>
  </si>
  <si>
    <t>CVE-2021-1813</t>
  </si>
  <si>
    <t>CYB2024173</t>
  </si>
  <si>
    <t>CVE-2023-9121</t>
  </si>
  <si>
    <t>CYB2024174</t>
  </si>
  <si>
    <t>CVE-2020-1507</t>
  </si>
  <si>
    <t>CYB2024175</t>
  </si>
  <si>
    <t>26-Oct-2025</t>
  </si>
  <si>
    <t>CVE-2021-5030</t>
  </si>
  <si>
    <t>CYB2024176</t>
  </si>
  <si>
    <t>CVE-2019-4181</t>
  </si>
  <si>
    <t>CYB2024177</t>
  </si>
  <si>
    <t>CVE-2025-2162</t>
  </si>
  <si>
    <t>CYB2024178</t>
  </si>
  <si>
    <t>CVE-2019-1084</t>
  </si>
  <si>
    <t>CYB2024179</t>
  </si>
  <si>
    <t>CVE-2021-1606</t>
  </si>
  <si>
    <t>CYB2024180</t>
  </si>
  <si>
    <t>CVE-2025-8746</t>
  </si>
  <si>
    <t>CYB2024181</t>
  </si>
  <si>
    <t>CVE-2020-7268</t>
  </si>
  <si>
    <t>CYB2024182</t>
  </si>
  <si>
    <t>CVE-2021-2483</t>
  </si>
  <si>
    <t>CYB2024183</t>
  </si>
  <si>
    <t>26-Feb-2024</t>
  </si>
  <si>
    <t>CVE-2019-8077</t>
  </si>
  <si>
    <t>CYB2024184</t>
  </si>
  <si>
    <t>CVE-2021-6546</t>
  </si>
  <si>
    <t>CYB2024185</t>
  </si>
  <si>
    <t>CVE-2024-5563</t>
  </si>
  <si>
    <t>CYB2024186</t>
  </si>
  <si>
    <t>CVE-2020-5066</t>
  </si>
  <si>
    <t>CYB2024187</t>
  </si>
  <si>
    <t>CVE-2021-1849</t>
  </si>
  <si>
    <t>CYB2024188</t>
  </si>
  <si>
    <t>CVE-2019-3701</t>
  </si>
  <si>
    <t>CYB2024189</t>
  </si>
  <si>
    <t>CVE-2022-1704</t>
  </si>
  <si>
    <t>CYB2024190</t>
  </si>
  <si>
    <t>CVE-2019-1266</t>
  </si>
  <si>
    <t>CYB2024191</t>
  </si>
  <si>
    <t>CVE-2024-7674</t>
  </si>
  <si>
    <t>CYB2024192</t>
  </si>
  <si>
    <t>CVE-2021-9257</t>
  </si>
  <si>
    <t>CYB2024193</t>
  </si>
  <si>
    <t>CVE-2021-5951</t>
  </si>
  <si>
    <t>CYB2024194</t>
  </si>
  <si>
    <t>CVE-2024-2309</t>
  </si>
  <si>
    <t>CYB2024195</t>
  </si>
  <si>
    <t>CVE-2024-8679</t>
  </si>
  <si>
    <t>CYB2024196</t>
  </si>
  <si>
    <t>31-Jul-2025</t>
  </si>
  <si>
    <t>CVE-2025-3353</t>
  </si>
  <si>
    <t>CYB2024197</t>
  </si>
  <si>
    <t>CVE-2020-5231</t>
  </si>
  <si>
    <t>CYB2024198</t>
  </si>
  <si>
    <t>CVE-2025-3870</t>
  </si>
  <si>
    <t>CYB2024199</t>
  </si>
  <si>
    <t>CVE-2019-8250</t>
  </si>
  <si>
    <t>CYB2024200</t>
  </si>
  <si>
    <t>CVE-2020-2235</t>
  </si>
  <si>
    <t>PILLAR 2  |  Fraud Risk – Case Register &amp; Detection KRIs  |  Bank Risk Management Dashboard</t>
  </si>
  <si>
    <t>Case_ID</t>
  </si>
  <si>
    <t>Date_Detected</t>
  </si>
  <si>
    <t>Channel</t>
  </si>
  <si>
    <t>Fraud_Type</t>
  </si>
  <si>
    <t>Amount_Cr</t>
  </si>
  <si>
    <t>Recovered_Cr</t>
  </si>
  <si>
    <t>Recovery_Rate_%</t>
  </si>
  <si>
    <t>Customer_ID</t>
  </si>
  <si>
    <t>Account_Type</t>
  </si>
  <si>
    <t>Detection_Method</t>
  </si>
  <si>
    <t>Alert_Source</t>
  </si>
  <si>
    <t>Reported_RBI</t>
  </si>
  <si>
    <t>FIR_Filed</t>
  </si>
  <si>
    <t>Perpetrator</t>
  </si>
  <si>
    <t>Resolution_Days</t>
  </si>
  <si>
    <t>SuspAcc_Frozen</t>
  </si>
  <si>
    <t>AML_Flag</t>
  </si>
  <si>
    <t>Investigation_Status</t>
  </si>
  <si>
    <t>FRD2024001</t>
  </si>
  <si>
    <t>NEFT/RTGS</t>
  </si>
  <si>
    <t>Card Skimming</t>
  </si>
  <si>
    <t>CUST91776</t>
  </si>
  <si>
    <t>Inter-Bank Alert</t>
  </si>
  <si>
    <t>Under Investigation</t>
  </si>
  <si>
    <t>FRD2024002</t>
  </si>
  <si>
    <t>Cheque Fraud</t>
  </si>
  <si>
    <t>CUST66928</t>
  </si>
  <si>
    <t>OD</t>
  </si>
  <si>
    <t>SOC Alert</t>
  </si>
  <si>
    <t>External</t>
  </si>
  <si>
    <t>Foreign Entity</t>
  </si>
  <si>
    <t>FRD2024003</t>
  </si>
  <si>
    <t>CUST76631</t>
  </si>
  <si>
    <t>Loan</t>
  </si>
  <si>
    <t>Manual</t>
  </si>
  <si>
    <t>FRD2024004</t>
  </si>
  <si>
    <t>Cheque</t>
  </si>
  <si>
    <t>Identity Theft</t>
  </si>
  <si>
    <t>CUST86949</t>
  </si>
  <si>
    <t>RBI Report</t>
  </si>
  <si>
    <t>FRD2024005</t>
  </si>
  <si>
    <t>UPI</t>
  </si>
  <si>
    <t>Loan Fraud</t>
  </si>
  <si>
    <t>CUST96748</t>
  </si>
  <si>
    <t>CA</t>
  </si>
  <si>
    <t>Customer Complaint</t>
  </si>
  <si>
    <t>Organized Group</t>
  </si>
  <si>
    <t>FRD2024006</t>
  </si>
  <si>
    <t>Phishing</t>
  </si>
  <si>
    <t>CUST79948</t>
  </si>
  <si>
    <t>Rule-Based Alert</t>
  </si>
  <si>
    <t>Syndicate</t>
  </si>
  <si>
    <t>FRD2024007</t>
  </si>
  <si>
    <t>CUST31410</t>
  </si>
  <si>
    <t>Branch Report</t>
  </si>
  <si>
    <t>Referred to CBI</t>
  </si>
  <si>
    <t>FRD2024008</t>
  </si>
  <si>
    <t>Phone Banking</t>
  </si>
  <si>
    <t>CUST75691</t>
  </si>
  <si>
    <t>FRD2024009</t>
  </si>
  <si>
    <t>Branch</t>
  </si>
  <si>
    <t>CUST20097</t>
  </si>
  <si>
    <t>FRD2024010</t>
  </si>
  <si>
    <t>28-Nov-2024</t>
  </si>
  <si>
    <t>Money Laundering</t>
  </si>
  <si>
    <t>CUST84366</t>
  </si>
  <si>
    <t>FRD2024011</t>
  </si>
  <si>
    <t>Cyber Fraud</t>
  </si>
  <si>
    <t>CUST60356</t>
  </si>
  <si>
    <t>FRD2024012</t>
  </si>
  <si>
    <t>11-Oct-2024</t>
  </si>
  <si>
    <t>CUST62244</t>
  </si>
  <si>
    <t>CC</t>
  </si>
  <si>
    <t>External Individual</t>
  </si>
  <si>
    <t>FRD2024013</t>
  </si>
  <si>
    <t>CUST64385</t>
  </si>
  <si>
    <t>FRD2024014</t>
  </si>
  <si>
    <t>KYC Fraud</t>
  </si>
  <si>
    <t>CUST77147</t>
  </si>
  <si>
    <t>FRD2024015</t>
  </si>
  <si>
    <t>CUST18326</t>
  </si>
  <si>
    <t>AI Model Flag</t>
  </si>
  <si>
    <t>Settled</t>
  </si>
  <si>
    <t>FRD2024016</t>
  </si>
  <si>
    <t>CUST53618</t>
  </si>
  <si>
    <t>FRD2024017</t>
  </si>
  <si>
    <t>CUST89613</t>
  </si>
  <si>
    <t>FRD2024018</t>
  </si>
  <si>
    <t>CUST15536</t>
  </si>
  <si>
    <t>FRD2024019</t>
  </si>
  <si>
    <t>14-Sep-2024</t>
  </si>
  <si>
    <t>CUST81893</t>
  </si>
  <si>
    <t>SB</t>
  </si>
  <si>
    <t>FRD2024020</t>
  </si>
  <si>
    <t>Insider Fraud</t>
  </si>
  <si>
    <t>CUST53532</t>
  </si>
  <si>
    <t>FRD2024021</t>
  </si>
  <si>
    <t>POS</t>
  </si>
  <si>
    <t>CUST57523</t>
  </si>
  <si>
    <t>FRD2024022</t>
  </si>
  <si>
    <t>CUST26926</t>
  </si>
  <si>
    <t>FRD2024023</t>
  </si>
  <si>
    <t>CUST91619</t>
  </si>
  <si>
    <t>FRD2024024</t>
  </si>
  <si>
    <t>CUST96140</t>
  </si>
  <si>
    <t>FRD2024025</t>
  </si>
  <si>
    <t>CUST87820</t>
  </si>
  <si>
    <t>System Alert</t>
  </si>
  <si>
    <t>FRD2024026</t>
  </si>
  <si>
    <t>06-Apr-2025</t>
  </si>
  <si>
    <t>CUST29857</t>
  </si>
  <si>
    <t>FRD2024027</t>
  </si>
  <si>
    <t>CUST71081</t>
  </si>
  <si>
    <t>FRD2024028</t>
  </si>
  <si>
    <t>CUST69301</t>
  </si>
  <si>
    <t>FRD2024029</t>
  </si>
  <si>
    <t>17-Aug-2025</t>
  </si>
  <si>
    <t>CUST92206</t>
  </si>
  <si>
    <t>FRD2024030</t>
  </si>
  <si>
    <t>CUST87814</t>
  </si>
  <si>
    <t>FRD2024031</t>
  </si>
  <si>
    <t>CUST95939</t>
  </si>
  <si>
    <t>FRD2024032</t>
  </si>
  <si>
    <t>CUST82723</t>
  </si>
  <si>
    <t>FRD2024033</t>
  </si>
  <si>
    <t>CUST74334</t>
  </si>
  <si>
    <t>FRD2024034</t>
  </si>
  <si>
    <t>Account Takeover</t>
  </si>
  <si>
    <t>CUST38576</t>
  </si>
  <si>
    <t>FRD2024035</t>
  </si>
  <si>
    <t>CUST39182</t>
  </si>
  <si>
    <t>FRD2024036</t>
  </si>
  <si>
    <t>06-Mar-2024</t>
  </si>
  <si>
    <t>CUST23422</t>
  </si>
  <si>
    <t>FRD2024037</t>
  </si>
  <si>
    <t>CUST69026</t>
  </si>
  <si>
    <t>FRD2024038</t>
  </si>
  <si>
    <t>CUST48462</t>
  </si>
  <si>
    <t>FRD2024039</t>
  </si>
  <si>
    <t>CUST25600</t>
  </si>
  <si>
    <t>FRD2024040</t>
  </si>
  <si>
    <t>16-Apr-2024</t>
  </si>
  <si>
    <t>CUST37312</t>
  </si>
  <si>
    <t>FRD2024041</t>
  </si>
  <si>
    <t>CUST58869</t>
  </si>
  <si>
    <t>FRD2024042</t>
  </si>
  <si>
    <t>CUST92862</t>
  </si>
  <si>
    <t>FRD2024043</t>
  </si>
  <si>
    <t>CUST20082</t>
  </si>
  <si>
    <t>FRD2024044</t>
  </si>
  <si>
    <t>29-Feb-2024</t>
  </si>
  <si>
    <t>CUST73812</t>
  </si>
  <si>
    <t>FRD2024045</t>
  </si>
  <si>
    <t>CUST60393</t>
  </si>
  <si>
    <t>FRD2024046</t>
  </si>
  <si>
    <t>CUST61662</t>
  </si>
  <si>
    <t>FRD2024047</t>
  </si>
  <si>
    <t>CUST67372</t>
  </si>
  <si>
    <t>FRD2024048</t>
  </si>
  <si>
    <t>CUST62901</t>
  </si>
  <si>
    <t>FRD2024049</t>
  </si>
  <si>
    <t>CUST16887</t>
  </si>
  <si>
    <t>FRD2024050</t>
  </si>
  <si>
    <t>CUST33947</t>
  </si>
  <si>
    <t>FRD2024051</t>
  </si>
  <si>
    <t>CUST37300</t>
  </si>
  <si>
    <t>FRD2024052</t>
  </si>
  <si>
    <t>CUST46174</t>
  </si>
  <si>
    <t>FRD2024053</t>
  </si>
  <si>
    <t>CUST51525</t>
  </si>
  <si>
    <t>FRD2024054</t>
  </si>
  <si>
    <t>CUST79250</t>
  </si>
  <si>
    <t>FRD2024055</t>
  </si>
  <si>
    <t>CUST64074</t>
  </si>
  <si>
    <t>FRD2024056</t>
  </si>
  <si>
    <t>CUST69525</t>
  </si>
  <si>
    <t>FRD2024057</t>
  </si>
  <si>
    <t>CUST34207</t>
  </si>
  <si>
    <t>FRD2024058</t>
  </si>
  <si>
    <t>CUST13579</t>
  </si>
  <si>
    <t>FRD2024059</t>
  </si>
  <si>
    <t>CUST42748</t>
  </si>
  <si>
    <t>FRD2024060</t>
  </si>
  <si>
    <t>CUST13608</t>
  </si>
  <si>
    <t>FRD2024061</t>
  </si>
  <si>
    <t>CUST25301</t>
  </si>
  <si>
    <t>FRD2024062</t>
  </si>
  <si>
    <t>CUST89876</t>
  </si>
  <si>
    <t>FRD2024063</t>
  </si>
  <si>
    <t>CUST93447</t>
  </si>
  <si>
    <t>FRD2024064</t>
  </si>
  <si>
    <t>CUST53583</t>
  </si>
  <si>
    <t>FRD2024065</t>
  </si>
  <si>
    <t>CUST38727</t>
  </si>
  <si>
    <t>FRD2024066</t>
  </si>
  <si>
    <t>26-Aug-2024</t>
  </si>
  <si>
    <t>CUST63440</t>
  </si>
  <si>
    <t>FRD2024067</t>
  </si>
  <si>
    <t>CUST69987</t>
  </si>
  <si>
    <t>FRD2024068</t>
  </si>
  <si>
    <t>CUST23273</t>
  </si>
  <si>
    <t>FRD2024069</t>
  </si>
  <si>
    <t>CUST77537</t>
  </si>
  <si>
    <t>FRD2024070</t>
  </si>
  <si>
    <t>CUST22506</t>
  </si>
  <si>
    <t>FRD2024071</t>
  </si>
  <si>
    <t>CUST67936</t>
  </si>
  <si>
    <t>FRD2024072</t>
  </si>
  <si>
    <t>CUST86687</t>
  </si>
  <si>
    <t>FRD2024073</t>
  </si>
  <si>
    <t>CUST21590</t>
  </si>
  <si>
    <t>FRD2024074</t>
  </si>
  <si>
    <t>CUST55862</t>
  </si>
  <si>
    <t>FRD2024075</t>
  </si>
  <si>
    <t>CUST64953</t>
  </si>
  <si>
    <t>FRD2024076</t>
  </si>
  <si>
    <t>CUST42905</t>
  </si>
  <si>
    <t>FRD2024077</t>
  </si>
  <si>
    <t>CUST64687</t>
  </si>
  <si>
    <t>FRD2024078</t>
  </si>
  <si>
    <t>CUST49631</t>
  </si>
  <si>
    <t>FRD2024079</t>
  </si>
  <si>
    <t>CUST23066</t>
  </si>
  <si>
    <t>FRD2024080</t>
  </si>
  <si>
    <t>CUST12126</t>
  </si>
  <si>
    <t>FRD2024081</t>
  </si>
  <si>
    <t>15-May-2024</t>
  </si>
  <si>
    <t>CUST27919</t>
  </si>
  <si>
    <t>FRD2024082</t>
  </si>
  <si>
    <t>CUST20445</t>
  </si>
  <si>
    <t>FRD2024083</t>
  </si>
  <si>
    <t>CUST53976</t>
  </si>
  <si>
    <t>FRD2024084</t>
  </si>
  <si>
    <t>18-Dec-2024</t>
  </si>
  <si>
    <t>CUST95981</t>
  </si>
  <si>
    <t>FRD2024085</t>
  </si>
  <si>
    <t>22-Apr-2025</t>
  </si>
  <si>
    <t>CUST78235</t>
  </si>
  <si>
    <t>FRD2024086</t>
  </si>
  <si>
    <t>18-Apr-2024</t>
  </si>
  <si>
    <t>CUST96954</t>
  </si>
  <si>
    <t>FRD2024087</t>
  </si>
  <si>
    <t>CUST60171</t>
  </si>
  <si>
    <t>FRD2024088</t>
  </si>
  <si>
    <t>CUST77102</t>
  </si>
  <si>
    <t>FRD2024089</t>
  </si>
  <si>
    <t>CUST32085</t>
  </si>
  <si>
    <t>FRD2024090</t>
  </si>
  <si>
    <t>CUST30387</t>
  </si>
  <si>
    <t>FRD2024091</t>
  </si>
  <si>
    <t>CUST23340</t>
  </si>
  <si>
    <t>FRD2024092</t>
  </si>
  <si>
    <t>CUST67236</t>
  </si>
  <si>
    <t>FRD2024093</t>
  </si>
  <si>
    <t>CUST47709</t>
  </si>
  <si>
    <t>FRD2024094</t>
  </si>
  <si>
    <t>CUST47727</t>
  </si>
  <si>
    <t>FRD2024095</t>
  </si>
  <si>
    <t>CUST98301</t>
  </si>
  <si>
    <t>FRD2024096</t>
  </si>
  <si>
    <t>CUST82423</t>
  </si>
  <si>
    <t>FRD2024097</t>
  </si>
  <si>
    <t>01-Jan-2024</t>
  </si>
  <si>
    <t>CUST16401</t>
  </si>
  <si>
    <t>FRD2024098</t>
  </si>
  <si>
    <t>CUST68202</t>
  </si>
  <si>
    <t>FRD2024099</t>
  </si>
  <si>
    <t>CUST93233</t>
  </si>
  <si>
    <t>FRD2024100</t>
  </si>
  <si>
    <t>CUST11199</t>
  </si>
  <si>
    <t>FRD2024101</t>
  </si>
  <si>
    <t>CUST53384</t>
  </si>
  <si>
    <t>FRD2024102</t>
  </si>
  <si>
    <t>CUST31253</t>
  </si>
  <si>
    <t>FRD2024103</t>
  </si>
  <si>
    <t>CUST20822</t>
  </si>
  <si>
    <t>FRD2024104</t>
  </si>
  <si>
    <t>CUST73618</t>
  </si>
  <si>
    <t>FRD2024105</t>
  </si>
  <si>
    <t>CUST60128</t>
  </si>
  <si>
    <t>FRD2024106</t>
  </si>
  <si>
    <t>CUST56962</t>
  </si>
  <si>
    <t>FRD2024107</t>
  </si>
  <si>
    <t>CUST89193</t>
  </si>
  <si>
    <t>FRD2024108</t>
  </si>
  <si>
    <t>CUST54631</t>
  </si>
  <si>
    <t>FRD2024109</t>
  </si>
  <si>
    <t>CUST55105</t>
  </si>
  <si>
    <t>FRD2024110</t>
  </si>
  <si>
    <t>CUST42120</t>
  </si>
  <si>
    <t>FRD2024111</t>
  </si>
  <si>
    <t>CUST96354</t>
  </si>
  <si>
    <t>FRD2024112</t>
  </si>
  <si>
    <t>14-Jul-2025</t>
  </si>
  <si>
    <t>CUST91913</t>
  </si>
  <si>
    <t>FRD2024113</t>
  </si>
  <si>
    <t>28-Mar-2025</t>
  </si>
  <si>
    <t>CUST66043</t>
  </si>
  <si>
    <t>FRD2024114</t>
  </si>
  <si>
    <t>CUST47287</t>
  </si>
  <si>
    <t>FRD2024115</t>
  </si>
  <si>
    <t>CUST54125</t>
  </si>
  <si>
    <t>FRD2024116</t>
  </si>
  <si>
    <t>CUST80172</t>
  </si>
  <si>
    <t>FRD2024117</t>
  </si>
  <si>
    <t>CUST46017</t>
  </si>
  <si>
    <t>FRD2024118</t>
  </si>
  <si>
    <t>CUST46654</t>
  </si>
  <si>
    <t>FRD2024119</t>
  </si>
  <si>
    <t>CUST65818</t>
  </si>
  <si>
    <t>FRD2024120</t>
  </si>
  <si>
    <t>06-Jan-2024</t>
  </si>
  <si>
    <t>CUST52859</t>
  </si>
  <si>
    <t>FRD2024121</t>
  </si>
  <si>
    <t>CUST86586</t>
  </si>
  <si>
    <t>FRD2024122</t>
  </si>
  <si>
    <t>CUST82103</t>
  </si>
  <si>
    <t>FRD2024123</t>
  </si>
  <si>
    <t>CUST90080</t>
  </si>
  <si>
    <t>FRD2024124</t>
  </si>
  <si>
    <t>CUST18392</t>
  </si>
  <si>
    <t>FRD2024125</t>
  </si>
  <si>
    <t>CUST28129</t>
  </si>
  <si>
    <t>FRD2024126</t>
  </si>
  <si>
    <t>CUST31808</t>
  </si>
  <si>
    <t>FRD2024127</t>
  </si>
  <si>
    <t>CUST64959</t>
  </si>
  <si>
    <t>FRD2024128</t>
  </si>
  <si>
    <t>21-Feb-2024</t>
  </si>
  <si>
    <t>CUST61315</t>
  </si>
  <si>
    <t>FRD2024129</t>
  </si>
  <si>
    <t>CUST55687</t>
  </si>
  <si>
    <t>FRD2024130</t>
  </si>
  <si>
    <t>CUST76281</t>
  </si>
  <si>
    <t>FRD2024131</t>
  </si>
  <si>
    <t>13-May-2025</t>
  </si>
  <si>
    <t>CUST89717</t>
  </si>
  <si>
    <t>FRD2024132</t>
  </si>
  <si>
    <t>CUST77811</t>
  </si>
  <si>
    <t>FRD2024133</t>
  </si>
  <si>
    <t>CUST13681</t>
  </si>
  <si>
    <t>FRD2024134</t>
  </si>
  <si>
    <t>CUST41380</t>
  </si>
  <si>
    <t>FRD2024135</t>
  </si>
  <si>
    <t>26-Jul-2025</t>
  </si>
  <si>
    <t>CUST45085</t>
  </si>
  <si>
    <t>FRD2024136</t>
  </si>
  <si>
    <t>CUST87663</t>
  </si>
  <si>
    <t>FRD2024137</t>
  </si>
  <si>
    <t>CUST10579</t>
  </si>
  <si>
    <t>FRD2024138</t>
  </si>
  <si>
    <t>CUST25198</t>
  </si>
  <si>
    <t>FRD2024139</t>
  </si>
  <si>
    <t>CUST16298</t>
  </si>
  <si>
    <t>FRD2024140</t>
  </si>
  <si>
    <t>CUST91139</t>
  </si>
  <si>
    <t>FRD2024141</t>
  </si>
  <si>
    <t>CUST99294</t>
  </si>
  <si>
    <t>FRD2024142</t>
  </si>
  <si>
    <t>CUST36252</t>
  </si>
  <si>
    <t>FRD2024143</t>
  </si>
  <si>
    <t>CUST53853</t>
  </si>
  <si>
    <t>FRD2024144</t>
  </si>
  <si>
    <t>CUST62602</t>
  </si>
  <si>
    <t>FRD2024145</t>
  </si>
  <si>
    <t>CUST88659</t>
  </si>
  <si>
    <t>FRD2024146</t>
  </si>
  <si>
    <t>CUST30416</t>
  </si>
  <si>
    <t>FRD2024147</t>
  </si>
  <si>
    <t>13-Nov-2024</t>
  </si>
  <si>
    <t>CUST87626</t>
  </si>
  <si>
    <t>FRD2024148</t>
  </si>
  <si>
    <t>CUST12289</t>
  </si>
  <si>
    <t>FRD2024149</t>
  </si>
  <si>
    <t>CUST65156</t>
  </si>
  <si>
    <t>FRD2024150</t>
  </si>
  <si>
    <t>CUST24936</t>
  </si>
  <si>
    <t>FRD2024151</t>
  </si>
  <si>
    <t>CUST16628</t>
  </si>
  <si>
    <t>FRD2024152</t>
  </si>
  <si>
    <t>CUST20793</t>
  </si>
  <si>
    <t>FRD2024153</t>
  </si>
  <si>
    <t>CUST81890</t>
  </si>
  <si>
    <t>FRD2024154</t>
  </si>
  <si>
    <t>21-Aug-2025</t>
  </si>
  <si>
    <t>CUST40511</t>
  </si>
  <si>
    <t>FRD2024155</t>
  </si>
  <si>
    <t>CUST79569</t>
  </si>
  <si>
    <t>FRD2024156</t>
  </si>
  <si>
    <t>CUST87610</t>
  </si>
  <si>
    <t>FRD2024157</t>
  </si>
  <si>
    <t>CUST52580</t>
  </si>
  <si>
    <t>FRD2024158</t>
  </si>
  <si>
    <t>CUST70929</t>
  </si>
  <si>
    <t>FRD2024159</t>
  </si>
  <si>
    <t>CUST48129</t>
  </si>
  <si>
    <t>FRD2024160</t>
  </si>
  <si>
    <t>27-Aug-2025</t>
  </si>
  <si>
    <t>CUST79845</t>
  </si>
  <si>
    <t>FRD2024161</t>
  </si>
  <si>
    <t>CUST33717</t>
  </si>
  <si>
    <t>FRD2024162</t>
  </si>
  <si>
    <t>CUST29651</t>
  </si>
  <si>
    <t>FRD2024163</t>
  </si>
  <si>
    <t>CUST89262</t>
  </si>
  <si>
    <t>FRD2024164</t>
  </si>
  <si>
    <t>CUST65505</t>
  </si>
  <si>
    <t>FRD2024165</t>
  </si>
  <si>
    <t>CUST88323</t>
  </si>
  <si>
    <t>FRD2024166</t>
  </si>
  <si>
    <t>CUST18596</t>
  </si>
  <si>
    <t>FRD2024167</t>
  </si>
  <si>
    <t>CUST92572</t>
  </si>
  <si>
    <t>FRD2024168</t>
  </si>
  <si>
    <t>CUST76570</t>
  </si>
  <si>
    <t>FRD2024169</t>
  </si>
  <si>
    <t>CUST13116</t>
  </si>
  <si>
    <t>FRD2024170</t>
  </si>
  <si>
    <t>CUST32572</t>
  </si>
  <si>
    <t>FRD2024171</t>
  </si>
  <si>
    <t>CUST18314</t>
  </si>
  <si>
    <t>FRD2024172</t>
  </si>
  <si>
    <t>CUST37488</t>
  </si>
  <si>
    <t>FRD2024173</t>
  </si>
  <si>
    <t>CUST23181</t>
  </si>
  <si>
    <t>FRD2024174</t>
  </si>
  <si>
    <t>CUST34009</t>
  </si>
  <si>
    <t>FRD2024175</t>
  </si>
  <si>
    <t>CUST15371</t>
  </si>
  <si>
    <t>FRD2024176</t>
  </si>
  <si>
    <t>CUST64772</t>
  </si>
  <si>
    <t>FRD2024177</t>
  </si>
  <si>
    <t>CUST65466</t>
  </si>
  <si>
    <t>FRD2024178</t>
  </si>
  <si>
    <t>CUST17760</t>
  </si>
  <si>
    <t>FRD2024179</t>
  </si>
  <si>
    <t>CUST90680</t>
  </si>
  <si>
    <t>FRD2024180</t>
  </si>
  <si>
    <t>CUST55109</t>
  </si>
  <si>
    <t>FRD2024181</t>
  </si>
  <si>
    <t>CUST24033</t>
  </si>
  <si>
    <t>FRD2024182</t>
  </si>
  <si>
    <t>CUST47386</t>
  </si>
  <si>
    <t>FRD2024183</t>
  </si>
  <si>
    <t>CUST73392</t>
  </si>
  <si>
    <t>FRD2024184</t>
  </si>
  <si>
    <t>CUST38000</t>
  </si>
  <si>
    <t>FRD2024185</t>
  </si>
  <si>
    <t>CUST19898</t>
  </si>
  <si>
    <t>FRD2024186</t>
  </si>
  <si>
    <t>CUST55384</t>
  </si>
  <si>
    <t>FRD2024187</t>
  </si>
  <si>
    <t>CUST90336</t>
  </si>
  <si>
    <t>FRD2024188</t>
  </si>
  <si>
    <t>CUST36963</t>
  </si>
  <si>
    <t>FRD2024189</t>
  </si>
  <si>
    <t>CUST82018</t>
  </si>
  <si>
    <t>FRD2024190</t>
  </si>
  <si>
    <t>02-Mar-2024</t>
  </si>
  <si>
    <t>CUST22915</t>
  </si>
  <si>
    <t>FRD2024191</t>
  </si>
  <si>
    <t>CUST39132</t>
  </si>
  <si>
    <t>FRD2024192</t>
  </si>
  <si>
    <t>CUST13032</t>
  </si>
  <si>
    <t>FRD2024193</t>
  </si>
  <si>
    <t>CUST95748</t>
  </si>
  <si>
    <t>FRD2024194</t>
  </si>
  <si>
    <t>CUST44018</t>
  </si>
  <si>
    <t>FRD2024195</t>
  </si>
  <si>
    <t>CUST68477</t>
  </si>
  <si>
    <t>FRD2024196</t>
  </si>
  <si>
    <t>CUST58792</t>
  </si>
  <si>
    <t>FRD2024197</t>
  </si>
  <si>
    <t>CUST47839</t>
  </si>
  <si>
    <t>FRD2024198</t>
  </si>
  <si>
    <t>CUST69910</t>
  </si>
  <si>
    <t>FRD2024199</t>
  </si>
  <si>
    <t>CUST72809</t>
  </si>
  <si>
    <t>FRD2024200</t>
  </si>
  <si>
    <t>CUST38821</t>
  </si>
  <si>
    <t>PILLAR 2  |  Third Party Risk – Vendor Risk Register  |  Bank Risk Management Dashboard</t>
  </si>
  <si>
    <t>Vendor_ID</t>
  </si>
  <si>
    <t>Vendor_Name</t>
  </si>
  <si>
    <t>Service_Category</t>
  </si>
  <si>
    <t>Criticality</t>
  </si>
  <si>
    <t>Contract_Value_Cr</t>
  </si>
  <si>
    <t>Contract_Start</t>
  </si>
  <si>
    <t>Contract_End</t>
  </si>
  <si>
    <t>SLA_Uptime_%</t>
  </si>
  <si>
    <t>Actual_Uptime_%</t>
  </si>
  <si>
    <t>SLA_Breach</t>
  </si>
  <si>
    <t>Vendor_Risk_Score</t>
  </si>
  <si>
    <t>Data_Access_Level</t>
  </si>
  <si>
    <t>TPRA_Score</t>
  </si>
  <si>
    <t>VAPT_Done</t>
  </si>
  <si>
    <t>IS_Audit_Done</t>
  </si>
  <si>
    <t>BCP_Tested</t>
  </si>
  <si>
    <t>RBI_Regulated</t>
  </si>
  <si>
    <t>Sub_Vendors</t>
  </si>
  <si>
    <t>Incident_Count</t>
  </si>
  <si>
    <t>VND0001</t>
  </si>
  <si>
    <t>Vendor_001</t>
  </si>
  <si>
    <t>Regulatory Reporting</t>
  </si>
  <si>
    <t>11-Jul-2018</t>
  </si>
  <si>
    <t>09-Jan-2023</t>
  </si>
  <si>
    <t>PII Access</t>
  </si>
  <si>
    <t>N/A</t>
  </si>
  <si>
    <t>Scheduled Review</t>
  </si>
  <si>
    <t>VND0002</t>
  </si>
  <si>
    <t>Vendor_002</t>
  </si>
  <si>
    <t>Cybersecurity</t>
  </si>
  <si>
    <t>07-Sep-2018</t>
  </si>
  <si>
    <t>28-Nov-2020</t>
  </si>
  <si>
    <t>Scheduled</t>
  </si>
  <si>
    <t>Immediate Review</t>
  </si>
  <si>
    <t>VND0003</t>
  </si>
  <si>
    <t>Vendor_003</t>
  </si>
  <si>
    <t>Recovery/BCP</t>
  </si>
  <si>
    <t>20-Oct-2021</t>
  </si>
  <si>
    <t>VND0004</t>
  </si>
  <si>
    <t>Vendor_004</t>
  </si>
  <si>
    <t>Payment Processing</t>
  </si>
  <si>
    <t>03-Jul-2018</t>
  </si>
  <si>
    <t>09-Jan-2026</t>
  </si>
  <si>
    <t>None</t>
  </si>
  <si>
    <t>VND0005</t>
  </si>
  <si>
    <t>Vendor_005</t>
  </si>
  <si>
    <t>ATM Maintenance</t>
  </si>
  <si>
    <t>15-Jun-2020</t>
  </si>
  <si>
    <t>Confidential</t>
  </si>
  <si>
    <t>VND0006</t>
  </si>
  <si>
    <t>Vendor_006</t>
  </si>
  <si>
    <t>19-Dec-2023</t>
  </si>
  <si>
    <t>25-Jul-2026</t>
  </si>
  <si>
    <t>Admin</t>
  </si>
  <si>
    <t>VND0007</t>
  </si>
  <si>
    <t>Vendor_007</t>
  </si>
  <si>
    <t>HR Systems</t>
  </si>
  <si>
    <t>04-Mar-2023</t>
  </si>
  <si>
    <t>13-Jul-2029</t>
  </si>
  <si>
    <t>VND0008</t>
  </si>
  <si>
    <t>Vendor_008</t>
  </si>
  <si>
    <t>23-May-2018</t>
  </si>
  <si>
    <t>07-Jan-2021</t>
  </si>
  <si>
    <t>VND0009</t>
  </si>
  <si>
    <t>Vendor_009</t>
  </si>
  <si>
    <t>01-Nov-2028</t>
  </si>
  <si>
    <t>Read-Only</t>
  </si>
  <si>
    <t>VND0010</t>
  </si>
  <si>
    <t>Vendor_010</t>
  </si>
  <si>
    <t>Cloud Infrastructure</t>
  </si>
  <si>
    <t>27-Feb-2019</t>
  </si>
  <si>
    <t>14-Mar-2023</t>
  </si>
  <si>
    <t>VND0011</t>
  </si>
  <si>
    <t>Vendor_011</t>
  </si>
  <si>
    <t>Printing &amp; Stationery</t>
  </si>
  <si>
    <t>13-Jun-2018</t>
  </si>
  <si>
    <t>20-Nov-2022</t>
  </si>
  <si>
    <t>VND0012</t>
  </si>
  <si>
    <t>Vendor_012</t>
  </si>
  <si>
    <t>02-Dec-2020</t>
  </si>
  <si>
    <t>Read-Write</t>
  </si>
  <si>
    <t>VND0013</t>
  </si>
  <si>
    <t>Vendor_013</t>
  </si>
  <si>
    <t>Network</t>
  </si>
  <si>
    <t>14-Apr-2021</t>
  </si>
  <si>
    <t>11-May-2028</t>
  </si>
  <si>
    <t>VND0014</t>
  </si>
  <si>
    <t>Vendor_014</t>
  </si>
  <si>
    <t>23-Feb-2020</t>
  </si>
  <si>
    <t>13-Jan-2028</t>
  </si>
  <si>
    <t>VND0015</t>
  </si>
  <si>
    <t>Vendor_015</t>
  </si>
  <si>
    <t>26-Nov-2018</t>
  </si>
  <si>
    <t>VND0016</t>
  </si>
  <si>
    <t>Vendor_016</t>
  </si>
  <si>
    <t>14-Aug-2020</t>
  </si>
  <si>
    <t>21-Jul-2026</t>
  </si>
  <si>
    <t>VND0017</t>
  </si>
  <si>
    <t>Vendor_017</t>
  </si>
  <si>
    <t>07-Jun-2021</t>
  </si>
  <si>
    <t>VND0018</t>
  </si>
  <si>
    <t>Vendor_018</t>
  </si>
  <si>
    <t>13-Jun-2019</t>
  </si>
  <si>
    <t>VND0019</t>
  </si>
  <si>
    <t>Vendor_019</t>
  </si>
  <si>
    <t>07-Feb-2030</t>
  </si>
  <si>
    <t>VND0020</t>
  </si>
  <si>
    <t>Vendor_020</t>
  </si>
  <si>
    <t>19-Mar-2026</t>
  </si>
  <si>
    <t>VND0021</t>
  </si>
  <si>
    <t>Vendor_021</t>
  </si>
  <si>
    <t>17-Dec-2018</t>
  </si>
  <si>
    <t>VND0022</t>
  </si>
  <si>
    <t>Vendor_022</t>
  </si>
  <si>
    <t>11-Sep-2019</t>
  </si>
  <si>
    <t>VND0023</t>
  </si>
  <si>
    <t>Vendor_023</t>
  </si>
  <si>
    <t>28-Oct-2021</t>
  </si>
  <si>
    <t>21-Jul-2028</t>
  </si>
  <si>
    <t>VND0024</t>
  </si>
  <si>
    <t>Vendor_024</t>
  </si>
  <si>
    <t>15-Sep-2022</t>
  </si>
  <si>
    <t>31-Jan-2027</t>
  </si>
  <si>
    <t>VND0025</t>
  </si>
  <si>
    <t>Vendor_025</t>
  </si>
  <si>
    <t>28-Dec-2021</t>
  </si>
  <si>
    <t>VND0026</t>
  </si>
  <si>
    <t>Vendor_026</t>
  </si>
  <si>
    <t>04-Aug-2023</t>
  </si>
  <si>
    <t>13-May-2029</t>
  </si>
  <si>
    <t>VND0027</t>
  </si>
  <si>
    <t>Vendor_027</t>
  </si>
  <si>
    <t>06-Nov-2023</t>
  </si>
  <si>
    <t>20-Feb-2028</t>
  </si>
  <si>
    <t>VND0028</t>
  </si>
  <si>
    <t>Vendor_028</t>
  </si>
  <si>
    <t>19-Dec-2021</t>
  </si>
  <si>
    <t>15-Jul-2026</t>
  </si>
  <si>
    <t>VND0029</t>
  </si>
  <si>
    <t>Vendor_029</t>
  </si>
  <si>
    <t>17-Dec-2029</t>
  </si>
  <si>
    <t>VND0030</t>
  </si>
  <si>
    <t>Vendor_030</t>
  </si>
  <si>
    <t>07-Jul-2029</t>
  </si>
  <si>
    <t>VND0031</t>
  </si>
  <si>
    <t>Vendor_031</t>
  </si>
  <si>
    <t>15-Mar-2018</t>
  </si>
  <si>
    <t>VND0032</t>
  </si>
  <si>
    <t>Vendor_032</t>
  </si>
  <si>
    <t>13-Apr-2018</t>
  </si>
  <si>
    <t>14-Dec-2023</t>
  </si>
  <si>
    <t>VND0033</t>
  </si>
  <si>
    <t>Vendor_033</t>
  </si>
  <si>
    <t>08-Apr-2023</t>
  </si>
  <si>
    <t>10-Jun-2026</t>
  </si>
  <si>
    <t>VND0034</t>
  </si>
  <si>
    <t>Vendor_034</t>
  </si>
  <si>
    <t>28-May-2020</t>
  </si>
  <si>
    <t>30-May-2026</t>
  </si>
  <si>
    <t>VND0035</t>
  </si>
  <si>
    <t>Vendor_035</t>
  </si>
  <si>
    <t>25-Aug-2020</t>
  </si>
  <si>
    <t>05-Nov-2026</t>
  </si>
  <si>
    <t>VND0036</t>
  </si>
  <si>
    <t>Vendor_036</t>
  </si>
  <si>
    <t>27-Aug-2030</t>
  </si>
  <si>
    <t>VND0037</t>
  </si>
  <si>
    <t>Vendor_037</t>
  </si>
  <si>
    <t>03-Feb-2020</t>
  </si>
  <si>
    <t>VND0038</t>
  </si>
  <si>
    <t>Vendor_038</t>
  </si>
  <si>
    <t>Data Analytics</t>
  </si>
  <si>
    <t>05-Sep-2023</t>
  </si>
  <si>
    <t>22-May-2028</t>
  </si>
  <si>
    <t>VND0039</t>
  </si>
  <si>
    <t>Vendor_039</t>
  </si>
  <si>
    <t>21-Jan-2021</t>
  </si>
  <si>
    <t>17-Mar-2023</t>
  </si>
  <si>
    <t>VND0040</t>
  </si>
  <si>
    <t>Vendor_040</t>
  </si>
  <si>
    <t>08-Apr-2031</t>
  </si>
  <si>
    <t>VND0041</t>
  </si>
  <si>
    <t>Vendor_041</t>
  </si>
  <si>
    <t>14-Aug-2021</t>
  </si>
  <si>
    <t>VND0042</t>
  </si>
  <si>
    <t>Vendor_042</t>
  </si>
  <si>
    <t>12-Mar-2023</t>
  </si>
  <si>
    <t>21-Sep-2029</t>
  </si>
  <si>
    <t>VND0043</t>
  </si>
  <si>
    <t>Vendor_043</t>
  </si>
  <si>
    <t>14-Aug-2019</t>
  </si>
  <si>
    <t>VND0044</t>
  </si>
  <si>
    <t>Vendor_044</t>
  </si>
  <si>
    <t>13-Sep-2018</t>
  </si>
  <si>
    <t>VND0045</t>
  </si>
  <si>
    <t>Vendor_045</t>
  </si>
  <si>
    <t>01-Mar-2020</t>
  </si>
  <si>
    <t>VND0046</t>
  </si>
  <si>
    <t>Vendor_046</t>
  </si>
  <si>
    <t>05-Jan-2030</t>
  </si>
  <si>
    <t>VND0047</t>
  </si>
  <si>
    <t>Vendor_047</t>
  </si>
  <si>
    <t>12-Feb-2022</t>
  </si>
  <si>
    <t>VND0048</t>
  </si>
  <si>
    <t>Vendor_048</t>
  </si>
  <si>
    <t>06-Feb-2023</t>
  </si>
  <si>
    <t>21-Apr-2029</t>
  </si>
  <si>
    <t>VND0049</t>
  </si>
  <si>
    <t>Vendor_049</t>
  </si>
  <si>
    <t>20-Mar-2027</t>
  </si>
  <si>
    <t>VND0050</t>
  </si>
  <si>
    <t>Vendor_050</t>
  </si>
  <si>
    <t>15-Oct-2020</t>
  </si>
  <si>
    <t>VND0051</t>
  </si>
  <si>
    <t>Vendor_051</t>
  </si>
  <si>
    <t>ATM Managed Services</t>
  </si>
  <si>
    <t>12-Feb-2023</t>
  </si>
  <si>
    <t>VND0052</t>
  </si>
  <si>
    <t>Vendor_052</t>
  </si>
  <si>
    <t>20-Jul-2022</t>
  </si>
  <si>
    <t>VND0053</t>
  </si>
  <si>
    <t>Vendor_053</t>
  </si>
  <si>
    <t>08-Nov-2020</t>
  </si>
  <si>
    <t>VND0054</t>
  </si>
  <si>
    <t>Vendor_054</t>
  </si>
  <si>
    <t>14-Sep-2022</t>
  </si>
  <si>
    <t>07-Oct-2027</t>
  </si>
  <si>
    <t>VND0055</t>
  </si>
  <si>
    <t>Vendor_055</t>
  </si>
  <si>
    <t>26-Jun-2023</t>
  </si>
  <si>
    <t>VND0056</t>
  </si>
  <si>
    <t>Vendor_056</t>
  </si>
  <si>
    <t>15-Oct-2022</t>
  </si>
  <si>
    <t>VND0057</t>
  </si>
  <si>
    <t>Vendor_057</t>
  </si>
  <si>
    <t>Cloud Services</t>
  </si>
  <si>
    <t>11-Jul-2020</t>
  </si>
  <si>
    <t>VND0058</t>
  </si>
  <si>
    <t>Vendor_058</t>
  </si>
  <si>
    <t>02-Sep-2021</t>
  </si>
  <si>
    <t>VND0059</t>
  </si>
  <si>
    <t>Vendor_059</t>
  </si>
  <si>
    <t>25-Feb-2023</t>
  </si>
  <si>
    <t>VND0060</t>
  </si>
  <si>
    <t>Vendor_060</t>
  </si>
  <si>
    <t>08-Nov-2022</t>
  </si>
  <si>
    <t>01-Feb-2026</t>
  </si>
  <si>
    <t>VND0061</t>
  </si>
  <si>
    <t>Vendor_061</t>
  </si>
  <si>
    <t>03-Jan-2023</t>
  </si>
  <si>
    <t>29-Dec-2027</t>
  </si>
  <si>
    <t>VND0062</t>
  </si>
  <si>
    <t>Vendor_062</t>
  </si>
  <si>
    <t>30-Aug-2020</t>
  </si>
  <si>
    <t>06-Mar-2025</t>
  </si>
  <si>
    <t>VND0063</t>
  </si>
  <si>
    <t>Vendor_063</t>
  </si>
  <si>
    <t>01-Aug-2020</t>
  </si>
  <si>
    <t>VND0064</t>
  </si>
  <si>
    <t>Vendor_064</t>
  </si>
  <si>
    <t>05-Aug-2020</t>
  </si>
  <si>
    <t>08-Feb-2028</t>
  </si>
  <si>
    <t>VND0065</t>
  </si>
  <si>
    <t>Vendor_065</t>
  </si>
  <si>
    <t>22-Oct-2023</t>
  </si>
  <si>
    <t>06-Apr-2027</t>
  </si>
  <si>
    <t>VND0066</t>
  </si>
  <si>
    <t>Vendor_066</t>
  </si>
  <si>
    <t>13-Jan-2023</t>
  </si>
  <si>
    <t>23-Sep-2028</t>
  </si>
  <si>
    <t>VND0067</t>
  </si>
  <si>
    <t>Vendor_067</t>
  </si>
  <si>
    <t>12-Mar-2020</t>
  </si>
  <si>
    <t>VND0068</t>
  </si>
  <si>
    <t>Vendor_068</t>
  </si>
  <si>
    <t>15-Jul-2021</t>
  </si>
  <si>
    <t>24-Sep-2028</t>
  </si>
  <si>
    <t>VND0069</t>
  </si>
  <si>
    <t>Vendor_069</t>
  </si>
  <si>
    <t>05-Dec-2021</t>
  </si>
  <si>
    <t>05-Jun-2028</t>
  </si>
  <si>
    <t>VND0070</t>
  </si>
  <si>
    <t>Vendor_070</t>
  </si>
  <si>
    <t>19-Aug-2023</t>
  </si>
  <si>
    <t>13-Sep-2028</t>
  </si>
  <si>
    <t>VND0071</t>
  </si>
  <si>
    <t>Vendor_071</t>
  </si>
  <si>
    <t>30-Oct-2021</t>
  </si>
  <si>
    <t>VND0072</t>
  </si>
  <si>
    <t>Vendor_072</t>
  </si>
  <si>
    <t>05-May-2023</t>
  </si>
  <si>
    <t>VND0073</t>
  </si>
  <si>
    <t>Vendor_073</t>
  </si>
  <si>
    <t>08-Jul-2021</t>
  </si>
  <si>
    <t>03-Jan-2028</t>
  </si>
  <si>
    <t>VND0074</t>
  </si>
  <si>
    <t>Vendor_074</t>
  </si>
  <si>
    <t>10-Dec-2021</t>
  </si>
  <si>
    <t>VND0075</t>
  </si>
  <si>
    <t>Vendor_075</t>
  </si>
  <si>
    <t>28-Jul-2023</t>
  </si>
  <si>
    <t>VND0076</t>
  </si>
  <si>
    <t>Vendor_076</t>
  </si>
  <si>
    <t>19-Dec-2022</t>
  </si>
  <si>
    <t>29-Aug-2026</t>
  </si>
  <si>
    <t>VND0077</t>
  </si>
  <si>
    <t>Vendor_077</t>
  </si>
  <si>
    <t>18-Apr-2021</t>
  </si>
  <si>
    <t>28-Sep-2027</t>
  </si>
  <si>
    <t>VND0078</t>
  </si>
  <si>
    <t>Vendor_078</t>
  </si>
  <si>
    <t>02-Nov-2022</t>
  </si>
  <si>
    <t>01-Jan-2028</t>
  </si>
  <si>
    <t>VND0079</t>
  </si>
  <si>
    <t>Vendor_079</t>
  </si>
  <si>
    <t>02-Nov-2023</t>
  </si>
  <si>
    <t>VND0080</t>
  </si>
  <si>
    <t>Vendor_080</t>
  </si>
  <si>
    <t>02-Mar-2023</t>
  </si>
  <si>
    <t>VND0081</t>
  </si>
  <si>
    <t>Vendor_081</t>
  </si>
  <si>
    <t>13-May-2020</t>
  </si>
  <si>
    <t>28-Sep-2026</t>
  </si>
  <si>
    <t>VND0082</t>
  </si>
  <si>
    <t>Vendor_082</t>
  </si>
  <si>
    <t>17-Aug-2020</t>
  </si>
  <si>
    <t>VND0083</t>
  </si>
  <si>
    <t>Vendor_083</t>
  </si>
  <si>
    <t>17-Aug-2021</t>
  </si>
  <si>
    <t>12-Aug-2026</t>
  </si>
  <si>
    <t>VND0084</t>
  </si>
  <si>
    <t>Vendor_084</t>
  </si>
  <si>
    <t>29-Jan-2022</t>
  </si>
  <si>
    <t>02-Oct-2027</t>
  </si>
  <si>
    <t>VND0085</t>
  </si>
  <si>
    <t>Vendor_085</t>
  </si>
  <si>
    <t>10-Apr-2023</t>
  </si>
  <si>
    <t>06-Aug-2027</t>
  </si>
  <si>
    <t>VND0086</t>
  </si>
  <si>
    <t>Vendor_086</t>
  </si>
  <si>
    <t>03-Nov-2021</t>
  </si>
  <si>
    <t>04-Apr-2028</t>
  </si>
  <si>
    <t>VND0087</t>
  </si>
  <si>
    <t>Vendor_087</t>
  </si>
  <si>
    <t>21-Mar-2021</t>
  </si>
  <si>
    <t>31-Jul-2028</t>
  </si>
  <si>
    <t>VND0088</t>
  </si>
  <si>
    <t>Vendor_088</t>
  </si>
  <si>
    <t>20-Nov-2021</t>
  </si>
  <si>
    <t>26-Mar-2028</t>
  </si>
  <si>
    <t>VND0089</t>
  </si>
  <si>
    <t>Vendor_089</t>
  </si>
  <si>
    <t>29-Oct-2020</t>
  </si>
  <si>
    <t>22-Feb-2028</t>
  </si>
  <si>
    <t>VND0090</t>
  </si>
  <si>
    <t>Vendor_090</t>
  </si>
  <si>
    <t>01-Oct-2023</t>
  </si>
  <si>
    <t>15-Oct-2026</t>
  </si>
  <si>
    <t>VND0091</t>
  </si>
  <si>
    <t>Vendor_091</t>
  </si>
  <si>
    <t>29-Aug-2022</t>
  </si>
  <si>
    <t>22-Sep-2026</t>
  </si>
  <si>
    <t>VND0092</t>
  </si>
  <si>
    <t>Vendor_092</t>
  </si>
  <si>
    <t>08-Sep-2020</t>
  </si>
  <si>
    <t>VND0093</t>
  </si>
  <si>
    <t>Vendor_093</t>
  </si>
  <si>
    <t>13-Oct-2020</t>
  </si>
  <si>
    <t>20-Jun-2027</t>
  </si>
  <si>
    <t>VND0094</t>
  </si>
  <si>
    <t>Vendor_094</t>
  </si>
  <si>
    <t>31-May-2022</t>
  </si>
  <si>
    <t>VND0095</t>
  </si>
  <si>
    <t>Vendor_095</t>
  </si>
  <si>
    <t>24-Aug-2020</t>
  </si>
  <si>
    <t>VND0096</t>
  </si>
  <si>
    <t>Vendor_096</t>
  </si>
  <si>
    <t>20-Jan-2023</t>
  </si>
  <si>
    <t>02-May-2028</t>
  </si>
  <si>
    <t>VND0097</t>
  </si>
  <si>
    <t>Vendor_097</t>
  </si>
  <si>
    <t>30-Oct-2028</t>
  </si>
  <si>
    <t>VND0098</t>
  </si>
  <si>
    <t>Vendor_098</t>
  </si>
  <si>
    <t>03-Feb-2022</t>
  </si>
  <si>
    <t>VND0099</t>
  </si>
  <si>
    <t>Vendor_099</t>
  </si>
  <si>
    <t>VND0100</t>
  </si>
  <si>
    <t>Vendor_100</t>
  </si>
  <si>
    <t>01-Apr-2020</t>
  </si>
  <si>
    <t>07-May-2027</t>
  </si>
  <si>
    <t>PILLAR 2  |  Reputational Risk – Sentiment &amp; Complaint Tracker  |  Bank Risk Management Dashboard</t>
  </si>
  <si>
    <t>Sub_Category</t>
  </si>
  <si>
    <t>Sentiment_Score</t>
  </si>
  <si>
    <t>Media_Coverage_Count</t>
  </si>
  <si>
    <t>Social_Media_Mentions</t>
  </si>
  <si>
    <t>Negative_Mentions_%</t>
  </si>
  <si>
    <t>Customer_Complaints</t>
  </si>
  <si>
    <t>Complaints_Resolved_%</t>
  </si>
  <si>
    <t>Resolution_TAT_Days</t>
  </si>
  <si>
    <t>NPS_Score</t>
  </si>
  <si>
    <t>Brand_Trust_Index</t>
  </si>
  <si>
    <t>RBI_Observations</t>
  </si>
  <si>
    <t>Penalty_Amt_Cr</t>
  </si>
  <si>
    <t>Parliamentary_Questions</t>
  </si>
  <si>
    <t>Litigation_Count</t>
  </si>
  <si>
    <t>Litigation_Amt_Cr</t>
  </si>
  <si>
    <t>Reputation_Index</t>
  </si>
  <si>
    <t>REP0001</t>
  </si>
  <si>
    <t>Technology Failure</t>
  </si>
  <si>
    <t>Digital Media</t>
  </si>
  <si>
    <t>REP0002</t>
  </si>
  <si>
    <t>Employee Relations</t>
  </si>
  <si>
    <t>Print Media</t>
  </si>
  <si>
    <t>REP0003</t>
  </si>
  <si>
    <t>20-Feb-2025</t>
  </si>
  <si>
    <t>Media Relations</t>
  </si>
  <si>
    <t>Facebook</t>
  </si>
  <si>
    <t>REP0004</t>
  </si>
  <si>
    <t>Customer Service</t>
  </si>
  <si>
    <t>Employee Grievance</t>
  </si>
  <si>
    <t>REP0005</t>
  </si>
  <si>
    <t>Regulatory</t>
  </si>
  <si>
    <t>Instagram</t>
  </si>
  <si>
    <t>REP0006</t>
  </si>
  <si>
    <t>REP0007</t>
  </si>
  <si>
    <t>Social Media</t>
  </si>
  <si>
    <t>Parliamentary</t>
  </si>
  <si>
    <t>REP0008</t>
  </si>
  <si>
    <t>Twitter</t>
  </si>
  <si>
    <t>REP0009</t>
  </si>
  <si>
    <t>Political</t>
  </si>
  <si>
    <t>REP0010</t>
  </si>
  <si>
    <t>Product Quality</t>
  </si>
  <si>
    <t>Court Case</t>
  </si>
  <si>
    <t>REP0011</t>
  </si>
  <si>
    <t>REP0012</t>
  </si>
  <si>
    <t>16-Mar-2024</t>
  </si>
  <si>
    <t>Legal</t>
  </si>
  <si>
    <t>REP0013</t>
  </si>
  <si>
    <t>REP0014</t>
  </si>
  <si>
    <t>Investor Relations</t>
  </si>
  <si>
    <t>REP0015</t>
  </si>
  <si>
    <t>REP0016</t>
  </si>
  <si>
    <t>REP0017</t>
  </si>
  <si>
    <t>REP0018</t>
  </si>
  <si>
    <t>ESG/Sustainability</t>
  </si>
  <si>
    <t>REP0019</t>
  </si>
  <si>
    <t>REP0020</t>
  </si>
  <si>
    <t>REP0021</t>
  </si>
  <si>
    <t>REP0022</t>
  </si>
  <si>
    <t>REP0023</t>
  </si>
  <si>
    <t>REP0024</t>
  </si>
  <si>
    <t>REP0025</t>
  </si>
  <si>
    <t>REP0026</t>
  </si>
  <si>
    <t>REP0027</t>
  </si>
  <si>
    <t>03-Oct-2025</t>
  </si>
  <si>
    <t>REP0028</t>
  </si>
  <si>
    <t>REP0029</t>
  </si>
  <si>
    <t>REP0030</t>
  </si>
  <si>
    <t>REP0031</t>
  </si>
  <si>
    <t>REP0032</t>
  </si>
  <si>
    <t>REP0033</t>
  </si>
  <si>
    <t>03-Sep-2024</t>
  </si>
  <si>
    <t>REP0034</t>
  </si>
  <si>
    <t>REP0035</t>
  </si>
  <si>
    <t>REP0036</t>
  </si>
  <si>
    <t>REP0037</t>
  </si>
  <si>
    <t>REP0038</t>
  </si>
  <si>
    <t>REP0039</t>
  </si>
  <si>
    <t>REP0040</t>
  </si>
  <si>
    <t>REP0041</t>
  </si>
  <si>
    <t>REP0042</t>
  </si>
  <si>
    <t>REP0043</t>
  </si>
  <si>
    <t>REP0044</t>
  </si>
  <si>
    <t>REP0045</t>
  </si>
  <si>
    <t>REP0046</t>
  </si>
  <si>
    <t>REP0047</t>
  </si>
  <si>
    <t>REP0048</t>
  </si>
  <si>
    <t>REP0049</t>
  </si>
  <si>
    <t>REP0050</t>
  </si>
  <si>
    <t>REP0051</t>
  </si>
  <si>
    <t>REP0052</t>
  </si>
  <si>
    <t>REP0053</t>
  </si>
  <si>
    <t>03-Nov-2025</t>
  </si>
  <si>
    <t>REP0054</t>
  </si>
  <si>
    <t>01-Nov-2024</t>
  </si>
  <si>
    <t>REP0055</t>
  </si>
  <si>
    <t>REP0056</t>
  </si>
  <si>
    <t>REP0057</t>
  </si>
  <si>
    <t>REP0058</t>
  </si>
  <si>
    <t>REP0059</t>
  </si>
  <si>
    <t>REP0060</t>
  </si>
  <si>
    <t>REP0061</t>
  </si>
  <si>
    <t>REP0062</t>
  </si>
  <si>
    <t>REP0063</t>
  </si>
  <si>
    <t>REP0064</t>
  </si>
  <si>
    <t>REP0065</t>
  </si>
  <si>
    <t>REP0066</t>
  </si>
  <si>
    <t>REP0067</t>
  </si>
  <si>
    <t>16-Aug-2025</t>
  </si>
  <si>
    <t>REP0068</t>
  </si>
  <si>
    <t>REP0069</t>
  </si>
  <si>
    <t>REP0070</t>
  </si>
  <si>
    <t>REP0071</t>
  </si>
  <si>
    <t>REP0072</t>
  </si>
  <si>
    <t>REP0073</t>
  </si>
  <si>
    <t>REP0074</t>
  </si>
  <si>
    <t>REP0075</t>
  </si>
  <si>
    <t>REP0076</t>
  </si>
  <si>
    <t>REP0077</t>
  </si>
  <si>
    <t>REP0078</t>
  </si>
  <si>
    <t>REP0079</t>
  </si>
  <si>
    <t>REP0080</t>
  </si>
  <si>
    <t>30-Dec-2024</t>
  </si>
  <si>
    <t>REP0081</t>
  </si>
  <si>
    <t>12-Jul-2024</t>
  </si>
  <si>
    <t>REP0082</t>
  </si>
  <si>
    <t>REP0083</t>
  </si>
  <si>
    <t>REP0084</t>
  </si>
  <si>
    <t>REP0085</t>
  </si>
  <si>
    <t>REP0086</t>
  </si>
  <si>
    <t>REP0087</t>
  </si>
  <si>
    <t>REP0088</t>
  </si>
  <si>
    <t>REP0089</t>
  </si>
  <si>
    <t>REP0090</t>
  </si>
  <si>
    <t>REP0091</t>
  </si>
  <si>
    <t>REP0092</t>
  </si>
  <si>
    <t>REP0093</t>
  </si>
  <si>
    <t>REP0094</t>
  </si>
  <si>
    <t>REP0095</t>
  </si>
  <si>
    <t>REP0096</t>
  </si>
  <si>
    <t>REP0097</t>
  </si>
  <si>
    <t>REP0098</t>
  </si>
  <si>
    <t>REP0099</t>
  </si>
  <si>
    <t>REP0100</t>
  </si>
  <si>
    <t>REP0101</t>
  </si>
  <si>
    <t>REP0102</t>
  </si>
  <si>
    <t>REP0103</t>
  </si>
  <si>
    <t>REP0104</t>
  </si>
  <si>
    <t>REP0105</t>
  </si>
  <si>
    <t>REP0106</t>
  </si>
  <si>
    <t>REP0107</t>
  </si>
  <si>
    <t>13-Dec-2025</t>
  </si>
  <si>
    <t>REP0108</t>
  </si>
  <si>
    <t>REP0109</t>
  </si>
  <si>
    <t>REP0110</t>
  </si>
  <si>
    <t>REP0111</t>
  </si>
  <si>
    <t>11-Dec-2025</t>
  </si>
  <si>
    <t>REP0112</t>
  </si>
  <si>
    <t>12-Dec-2025</t>
  </si>
  <si>
    <t>REP0113</t>
  </si>
  <si>
    <t>REP0114</t>
  </si>
  <si>
    <t>REP0115</t>
  </si>
  <si>
    <t>REP0116</t>
  </si>
  <si>
    <t>REP0117</t>
  </si>
  <si>
    <t>REP0118</t>
  </si>
  <si>
    <t>REP0119</t>
  </si>
  <si>
    <t>REP0120</t>
  </si>
  <si>
    <t>PILLAR 2  |  Strategic Risk – BSC &amp; KPI Dashboard  |  Bank Risk Management Dashboard</t>
  </si>
  <si>
    <t>Strategic_Objective</t>
  </si>
  <si>
    <t>KPI_Name</t>
  </si>
  <si>
    <t>Target_Value</t>
  </si>
  <si>
    <t>Actual_Value</t>
  </si>
  <si>
    <t>Variance_%</t>
  </si>
  <si>
    <t>Weight_%</t>
  </si>
  <si>
    <t>Weighted_Score</t>
  </si>
  <si>
    <t>Market_Share_%</t>
  </si>
  <si>
    <t>Competitor_Benchmark</t>
  </si>
  <si>
    <t>ROCE_%</t>
  </si>
  <si>
    <t>ROA_%</t>
  </si>
  <si>
    <t>ROE_%</t>
  </si>
  <si>
    <t>Cost_Income_Ratio_%</t>
  </si>
  <si>
    <t>Net_Interest_Margin_%</t>
  </si>
  <si>
    <t>Credit_Growth_%</t>
  </si>
  <si>
    <t>Deposit_Growth_%</t>
  </si>
  <si>
    <t>Digital_Txn_%</t>
  </si>
  <si>
    <t>BSC_Perspective</t>
  </si>
  <si>
    <t>STR0001</t>
  </si>
  <si>
    <t>Grow Retail Franchise</t>
  </si>
  <si>
    <t>MSME Share</t>
  </si>
  <si>
    <t>Financial</t>
  </si>
  <si>
    <t>STR0002</t>
  </si>
  <si>
    <t>Fee Income Ratio</t>
  </si>
  <si>
    <t>Learning &amp; Growth</t>
  </si>
  <si>
    <t>STR0003</t>
  </si>
  <si>
    <t>Digital Transformation</t>
  </si>
  <si>
    <t>Internal Process</t>
  </si>
  <si>
    <t>STR0004</t>
  </si>
  <si>
    <t>International Expansion</t>
  </si>
  <si>
    <t>Cost-Income Ratio</t>
  </si>
  <si>
    <t>Customer</t>
  </si>
  <si>
    <t>STR0005</t>
  </si>
  <si>
    <t>Credit Growth</t>
  </si>
  <si>
    <t>STR0006</t>
  </si>
  <si>
    <t>Capital Optimization</t>
  </si>
  <si>
    <t>Deposit Mobilisation</t>
  </si>
  <si>
    <t>STR0007</t>
  </si>
  <si>
    <t>HR &amp; Talent</t>
  </si>
  <si>
    <t>STR0008</t>
  </si>
  <si>
    <t>STR0009</t>
  </si>
  <si>
    <t>ROE Target</t>
  </si>
  <si>
    <t>STR0010</t>
  </si>
  <si>
    <t>Fee Income Growth</t>
  </si>
  <si>
    <t>STR0011</t>
  </si>
  <si>
    <t>MSME Penetration</t>
  </si>
  <si>
    <t>STR0012</t>
  </si>
  <si>
    <t>Cost Efficiency</t>
  </si>
  <si>
    <t>NPA Reduction</t>
  </si>
  <si>
    <t>STR0013</t>
  </si>
  <si>
    <t>Market Cap Growth</t>
  </si>
  <si>
    <t>STR0014</t>
  </si>
  <si>
    <t>STR0015</t>
  </si>
  <si>
    <t>Digital Adoption</t>
  </si>
  <si>
    <t>STR0016</t>
  </si>
  <si>
    <t>STR0017</t>
  </si>
  <si>
    <t>STR0018</t>
  </si>
  <si>
    <t>STR0019</t>
  </si>
  <si>
    <t>Liability Franchise</t>
  </si>
  <si>
    <t>STR0020</t>
  </si>
  <si>
    <t>STR0021</t>
  </si>
  <si>
    <t>STR0022</t>
  </si>
  <si>
    <t>Improve Asset Quality</t>
  </si>
  <si>
    <t>STR0023</t>
  </si>
  <si>
    <t>STR0024</t>
  </si>
  <si>
    <t>STR0025</t>
  </si>
  <si>
    <t>STR0026</t>
  </si>
  <si>
    <t>CRAR Target</t>
  </si>
  <si>
    <t>STR0027</t>
  </si>
  <si>
    <t>STR0028</t>
  </si>
  <si>
    <t>STR0029</t>
  </si>
  <si>
    <t>STR0030</t>
  </si>
  <si>
    <t>STR0031</t>
  </si>
  <si>
    <t>STR0032</t>
  </si>
  <si>
    <t>STR0033</t>
  </si>
  <si>
    <t>STR0034</t>
  </si>
  <si>
    <t>STR0035</t>
  </si>
  <si>
    <t>STR0036</t>
  </si>
  <si>
    <t>STR0037</t>
  </si>
  <si>
    <t>STR0038</t>
  </si>
  <si>
    <t>STR0039</t>
  </si>
  <si>
    <t>STR0040</t>
  </si>
  <si>
    <t>STR0041</t>
  </si>
  <si>
    <t>STR0042</t>
  </si>
  <si>
    <t>STR0043</t>
  </si>
  <si>
    <t>STR0044</t>
  </si>
  <si>
    <t>STR0045</t>
  </si>
  <si>
    <t>STR0046</t>
  </si>
  <si>
    <t>STR0047</t>
  </si>
  <si>
    <t>STR0048</t>
  </si>
  <si>
    <t>STR0049</t>
  </si>
  <si>
    <t>STR0050</t>
  </si>
  <si>
    <t>STR0051</t>
  </si>
  <si>
    <t>STR0052</t>
  </si>
  <si>
    <t>STR0053</t>
  </si>
  <si>
    <t>STR0054</t>
  </si>
  <si>
    <t>STR0055</t>
  </si>
  <si>
    <t>STR0056</t>
  </si>
  <si>
    <t>STR0057</t>
  </si>
  <si>
    <t>STR0058</t>
  </si>
  <si>
    <t>STR0059</t>
  </si>
  <si>
    <t>STR0060</t>
  </si>
  <si>
    <t>STR0061</t>
  </si>
  <si>
    <t>STR0062</t>
  </si>
  <si>
    <t>STR0063</t>
  </si>
  <si>
    <t>STR0064</t>
  </si>
  <si>
    <t>STR0065</t>
  </si>
  <si>
    <t>STR0066</t>
  </si>
  <si>
    <t>STR0067</t>
  </si>
  <si>
    <t>STR0068</t>
  </si>
  <si>
    <t>STR0069</t>
  </si>
  <si>
    <t>STR0070</t>
  </si>
  <si>
    <t>STR0071</t>
  </si>
  <si>
    <t>STR0072</t>
  </si>
  <si>
    <t>STR0073</t>
  </si>
  <si>
    <t>STR0074</t>
  </si>
  <si>
    <t>STR0075</t>
  </si>
  <si>
    <t>STR0076</t>
  </si>
  <si>
    <t>STR0077</t>
  </si>
  <si>
    <t>STR0078</t>
  </si>
  <si>
    <t>STR0079</t>
  </si>
  <si>
    <t>STR0080</t>
  </si>
  <si>
    <t>STR0081</t>
  </si>
  <si>
    <t>STR0082</t>
  </si>
  <si>
    <t>STR0083</t>
  </si>
  <si>
    <t>STR0084</t>
  </si>
  <si>
    <t>STR0085</t>
  </si>
  <si>
    <t>STR0086</t>
  </si>
  <si>
    <t>STR0087</t>
  </si>
  <si>
    <t>STR0088</t>
  </si>
  <si>
    <t>STR0089</t>
  </si>
  <si>
    <t>STR0090</t>
  </si>
  <si>
    <t>STR0091</t>
  </si>
  <si>
    <t>STR0092</t>
  </si>
  <si>
    <t>STR0093</t>
  </si>
  <si>
    <t>STR0094</t>
  </si>
  <si>
    <t>STR0095</t>
  </si>
  <si>
    <t>STR0096</t>
  </si>
  <si>
    <t>STR0097</t>
  </si>
  <si>
    <t>STR0098</t>
  </si>
  <si>
    <t>STR0099</t>
  </si>
  <si>
    <t>STR0100</t>
  </si>
  <si>
    <t>STR0101</t>
  </si>
  <si>
    <t>STR0102</t>
  </si>
  <si>
    <t>STR0103</t>
  </si>
  <si>
    <t>STR0104</t>
  </si>
  <si>
    <t>STR0105</t>
  </si>
  <si>
    <t>STR0106</t>
  </si>
  <si>
    <t>STR0107</t>
  </si>
  <si>
    <t>STR0108</t>
  </si>
  <si>
    <t>STR0109</t>
  </si>
  <si>
    <t>STR0110</t>
  </si>
  <si>
    <t>STR0111</t>
  </si>
  <si>
    <t>STR0112</t>
  </si>
  <si>
    <t>STR0113</t>
  </si>
  <si>
    <t>STR0114</t>
  </si>
  <si>
    <t>STR0115</t>
  </si>
  <si>
    <t>STR0116</t>
  </si>
  <si>
    <t>STR0117</t>
  </si>
  <si>
    <t>STR0118</t>
  </si>
  <si>
    <t>STR0119</t>
  </si>
  <si>
    <t>STR0120</t>
  </si>
  <si>
    <t>KRI THRESHOLD REFERENCE TABLE – BANK ENTERPRISE RISK DASHBOARD</t>
  </si>
  <si>
    <t>KRI_ID</t>
  </si>
  <si>
    <t>Risk_Type</t>
  </si>
  <si>
    <t>KRI_Name</t>
  </si>
  <si>
    <t>Green_Min</t>
  </si>
  <si>
    <t>Green_Max</t>
  </si>
  <si>
    <t>Amber_Min</t>
  </si>
  <si>
    <t>Amber_Max</t>
  </si>
  <si>
    <t>Red_Trigger</t>
  </si>
  <si>
    <t>Direction</t>
  </si>
  <si>
    <t>Regulatory_Ref</t>
  </si>
  <si>
    <t>Data_Source</t>
  </si>
  <si>
    <t>Formula_Logic</t>
  </si>
  <si>
    <t>Owner</t>
  </si>
  <si>
    <t>Review_Cycle</t>
  </si>
  <si>
    <t>KRI001</t>
  </si>
  <si>
    <t>P1</t>
  </si>
  <si>
    <t>Credit</t>
  </si>
  <si>
    <t>0</t>
  </si>
  <si>
    <t>5</t>
  </si>
  <si>
    <t>6</t>
  </si>
  <si>
    <t>Lower Better</t>
  </si>
  <si>
    <t>RBI IRAC</t>
  </si>
  <si>
    <t>CRILC/Finacle</t>
  </si>
  <si>
    <t>NPA Amt/Gross Adv *100</t>
  </si>
  <si>
    <t>Credit Risk Head</t>
  </si>
  <si>
    <t>KRI002</t>
  </si>
  <si>
    <t>2</t>
  </si>
  <si>
    <t>3</t>
  </si>
  <si>
    <t>&gt;3</t>
  </si>
  <si>
    <t>Net NPA/Net Adv *100</t>
  </si>
  <si>
    <t>KRI003</t>
  </si>
  <si>
    <t>SMA-0 Bal/Gross Adv *100</t>
  </si>
  <si>
    <t>KRI004</t>
  </si>
  <si>
    <t>1</t>
  </si>
  <si>
    <t>SMA-1 Bal/Gross Adv *100</t>
  </si>
  <si>
    <t>KRI005</t>
  </si>
  <si>
    <t>0.5</t>
  </si>
  <si>
    <t>&gt;1</t>
  </si>
  <si>
    <t>SMA-2 Bal/Gross Adv *100</t>
  </si>
  <si>
    <t>KRI006</t>
  </si>
  <si>
    <t>PCR</t>
  </si>
  <si>
    <t>75</t>
  </si>
  <si>
    <t>100</t>
  </si>
  <si>
    <t>65</t>
  </si>
  <si>
    <t>&lt;65</t>
  </si>
  <si>
    <t>Higher Better</t>
  </si>
  <si>
    <t>Provisions/Gross NPA *100</t>
  </si>
  <si>
    <t>KRI007</t>
  </si>
  <si>
    <t>Slippage Ratio</t>
  </si>
  <si>
    <t>New NPA in Qtr/Gross Adv</t>
  </si>
  <si>
    <t>KRI008</t>
  </si>
  <si>
    <t>60</t>
  </si>
  <si>
    <t>50</t>
  </si>
  <si>
    <t>Stage3 Prov/Stage3 EAD</t>
  </si>
  <si>
    <t>Risk Analytics</t>
  </si>
  <si>
    <t>KRI009</t>
  </si>
  <si>
    <t>Market</t>
  </si>
  <si>
    <t>VaR Utilisation</t>
  </si>
  <si>
    <t>70</t>
  </si>
  <si>
    <t>85</t>
  </si>
  <si>
    <t>Treasury System</t>
  </si>
  <si>
    <t>Trading VaR/VaR Limit*100</t>
  </si>
  <si>
    <t>Market Risk Head</t>
  </si>
  <si>
    <t>KRI010</t>
  </si>
  <si>
    <t>SVaR</t>
  </si>
  <si>
    <t>₹Cr</t>
  </si>
  <si>
    <t>4000</t>
  </si>
  <si>
    <t>5000</t>
  </si>
  <si>
    <t>&gt;5000</t>
  </si>
  <si>
    <t>Basel 2.5</t>
  </si>
  <si>
    <t>Historical SVaR (99%, 10D)</t>
  </si>
  <si>
    <t>KRI011</t>
  </si>
  <si>
    <t>IRC</t>
  </si>
  <si>
    <t>1500</t>
  </si>
  <si>
    <t>2000</t>
  </si>
  <si>
    <t>IRC per Basel III methodology</t>
  </si>
  <si>
    <t>KRI012</t>
  </si>
  <si>
    <t>FX Open Position</t>
  </si>
  <si>
    <t>150</t>
  </si>
  <si>
    <t>FEMA/RBI</t>
  </si>
  <si>
    <t>SWIFT</t>
  </si>
  <si>
    <t>Total net open FX position</t>
  </si>
  <si>
    <t>Treasury Head</t>
  </si>
  <si>
    <t>KRI013</t>
  </si>
  <si>
    <t>OpRisk</t>
  </si>
  <si>
    <t>Operational Loss Ratio</t>
  </si>
  <si>
    <t>0.10</t>
  </si>
  <si>
    <t>0.15</t>
  </si>
  <si>
    <t>&gt;0.15</t>
  </si>
  <si>
    <t>Basel III AMA</t>
  </si>
  <si>
    <t>Op Loss/NII *100</t>
  </si>
  <si>
    <t>Op Risk Head</t>
  </si>
  <si>
    <t>KRI014</t>
  </si>
  <si>
    <t>RCSA Score</t>
  </si>
  <si>
    <t>2.5</t>
  </si>
  <si>
    <t>3.5</t>
  </si>
  <si>
    <t>Average RCSA score across BUs</t>
  </si>
  <si>
    <t>KRI015</t>
  </si>
  <si>
    <t>Count of KCI breaches in period</t>
  </si>
  <si>
    <t>KRI016</t>
  </si>
  <si>
    <t>Capital</t>
  </si>
  <si>
    <t>CRAR</t>
  </si>
  <si>
    <t>15</t>
  </si>
  <si>
    <t>30</t>
  </si>
  <si>
    <t>13</t>
  </si>
  <si>
    <t>&lt;13</t>
  </si>
  <si>
    <t>RBI Basel III</t>
  </si>
  <si>
    <t>Total Capital/RWA *100</t>
  </si>
  <si>
    <t>CFO</t>
  </si>
  <si>
    <t>KRI017</t>
  </si>
  <si>
    <t>11</t>
  </si>
  <si>
    <t>9</t>
  </si>
  <si>
    <t>&lt;9</t>
  </si>
  <si>
    <t>CET1 Capital/RWA *100</t>
  </si>
  <si>
    <t>KRI018</t>
  </si>
  <si>
    <t>Tier-1 Ratio</t>
  </si>
  <si>
    <t>12</t>
  </si>
  <si>
    <t>10</t>
  </si>
  <si>
    <t>Tier1 Capital/RWA *100</t>
  </si>
  <si>
    <t>KRI019</t>
  </si>
  <si>
    <t>Leverage Ratio</t>
  </si>
  <si>
    <t>4</t>
  </si>
  <si>
    <t>20</t>
  </si>
  <si>
    <t>&lt;3.5</t>
  </si>
  <si>
    <t>Tier1/Exposure Measure *100</t>
  </si>
  <si>
    <t>KRI020</t>
  </si>
  <si>
    <t>P2</t>
  </si>
  <si>
    <t>Liquidity</t>
  </si>
  <si>
    <t>LCR</t>
  </si>
  <si>
    <t>120</t>
  </si>
  <si>
    <t>500</t>
  </si>
  <si>
    <t>HQLA/30D Net Cash Outflow *100</t>
  </si>
  <si>
    <t>KRI021</t>
  </si>
  <si>
    <t>NSFR</t>
  </si>
  <si>
    <t>110</t>
  </si>
  <si>
    <t>300</t>
  </si>
  <si>
    <t>ASF/RSF *100</t>
  </si>
  <si>
    <t>KRI022</t>
  </si>
  <si>
    <t>SLR</t>
  </si>
  <si>
    <t>18</t>
  </si>
  <si>
    <t>19</t>
  </si>
  <si>
    <t>&lt;18</t>
  </si>
  <si>
    <t>NDTL in SLR eligible securities/NDTL *100</t>
  </si>
  <si>
    <t>KRI023</t>
  </si>
  <si>
    <t>IRRBB</t>
  </si>
  <si>
    <t>NII Sensitivity (+200bps)</t>
  </si>
  <si>
    <t>-5</t>
  </si>
  <si>
    <t>-8</t>
  </si>
  <si>
    <t>&lt;-8</t>
  </si>
  <si>
    <t>RBI IRRBB</t>
  </si>
  <si>
    <t>Change in NII for +200bps shock/Base NII</t>
  </si>
  <si>
    <t>ALM Head</t>
  </si>
  <si>
    <t>KRI024</t>
  </si>
  <si>
    <t>% Tier1</t>
  </si>
  <si>
    <t>-12</t>
  </si>
  <si>
    <t>&lt;-12</t>
  </si>
  <si>
    <t>Change in EVE for +200bps shock/Tier1</t>
  </si>
  <si>
    <t>KRI025</t>
  </si>
  <si>
    <t>1.5</t>
  </si>
  <si>
    <t>Duration of Assets - Duration of Liabilities</t>
  </si>
  <si>
    <t>KRI026</t>
  </si>
  <si>
    <t>Concentration</t>
  </si>
  <si>
    <t>Single Borrower Limit Util</t>
  </si>
  <si>
    <t>80</t>
  </si>
  <si>
    <t>90</t>
  </si>
  <si>
    <t>&gt;90</t>
  </si>
  <si>
    <t>Exposure/15% of Capital Funds</t>
  </si>
  <si>
    <t>KRI027</t>
  </si>
  <si>
    <t>Group Borrower Limit Util</t>
  </si>
  <si>
    <t>&gt;80</t>
  </si>
  <si>
    <t>Exposure/25% of Capital Funds</t>
  </si>
  <si>
    <t>KRI028</t>
  </si>
  <si>
    <t>Climate</t>
  </si>
  <si>
    <t>Physical Risk Exposure (High)</t>
  </si>
  <si>
    <t>6000</t>
  </si>
  <si>
    <t>Advances with Physical Risk Score&gt;7</t>
  </si>
  <si>
    <t>Climate Risk</t>
  </si>
  <si>
    <t>KRI029</t>
  </si>
  <si>
    <t>7</t>
  </si>
  <si>
    <t>&lt;7</t>
  </si>
  <si>
    <t>Green/Sustainable Finance/Total Advances</t>
  </si>
  <si>
    <t>KRI030</t>
  </si>
  <si>
    <t>Count of CVSS&gt;7 unpatched vulnerabilities</t>
  </si>
  <si>
    <t>CISO</t>
  </si>
  <si>
    <t>KRI031</t>
  </si>
  <si>
    <t>MTTD (Mean Time to Detect)</t>
  </si>
  <si>
    <t>8</t>
  </si>
  <si>
    <t>Avg time from attack to detection</t>
  </si>
  <si>
    <t>KRI032</t>
  </si>
  <si>
    <t>MTTR (Mean Time to Respond)</t>
  </si>
  <si>
    <t>24</t>
  </si>
  <si>
    <t>Avg time from detection to containment</t>
  </si>
  <si>
    <t>KRI033</t>
  </si>
  <si>
    <t>Fraud Loss Ratio</t>
  </si>
  <si>
    <t>% Income</t>
  </si>
  <si>
    <t>0.20</t>
  </si>
  <si>
    <t>&gt;0.20</t>
  </si>
  <si>
    <t>Total Fraud Loss/Total Income *100</t>
  </si>
  <si>
    <t>Fraud Risk Head</t>
  </si>
  <si>
    <t>KRI034</t>
  </si>
  <si>
    <t>Amount Recovered/Fraud Amount *100</t>
  </si>
  <si>
    <t>KRI035</t>
  </si>
  <si>
    <t>ThirdParty</t>
  </si>
  <si>
    <t>Critical Vendors SLA Breach</t>
  </si>
  <si>
    <t>SLA Breach count for critical vendors</t>
  </si>
  <si>
    <t>CRO</t>
  </si>
  <si>
    <t>KRI036</t>
  </si>
  <si>
    <t>NLP sentiment score 0-100</t>
  </si>
  <si>
    <t>Brand Risk</t>
  </si>
  <si>
    <t>KRI037</t>
  </si>
  <si>
    <t>Complaint Resolution Rate</t>
  </si>
  <si>
    <t>&lt;80</t>
  </si>
  <si>
    <t>Complaints Resolved/Total Complaints *100</t>
  </si>
  <si>
    <t>KRI038</t>
  </si>
  <si>
    <t>P3</t>
  </si>
  <si>
    <t>Disclosure</t>
  </si>
  <si>
    <t>Pillar 3 Disclosure Completeness</t>
  </si>
  <si>
    <t>95</t>
  </si>
  <si>
    <t>&lt;90</t>
  </si>
  <si>
    <t>Disclosed fields/Required fields *100</t>
  </si>
  <si>
    <t>Risk Reporting</t>
  </si>
  <si>
    <t>KRI039</t>
  </si>
  <si>
    <t>ICAAP Submission Timeliness</t>
  </si>
  <si>
    <t>Days</t>
  </si>
  <si>
    <t>Days of delay from RBI deadline</t>
  </si>
  <si>
    <t>KRI040</t>
  </si>
  <si>
    <t>Leverage Ratio Disclosure</t>
  </si>
  <si>
    <t>Disclosure completeness %</t>
  </si>
  <si>
    <t>PILLAR 3  |  Capital Adequacy Disclosure  |  XYZ Bank — Quarterly (Standalone &amp; Consolidated)</t>
  </si>
  <si>
    <t>Regulatory Minimums (RBI Basel III incl. CCB):  CET1 ≥ 8.0%  |  Tier 1 ≥ 9.5%  |  CRAR ≥ 11.5%  |  Leverage Ratio ≥ 3.5%</t>
  </si>
  <si>
    <t>Entity</t>
  </si>
  <si>
    <t>CET1 (%)</t>
  </si>
  <si>
    <t>Tier 1 (%)</t>
  </si>
  <si>
    <t>CRAR (%)</t>
  </si>
  <si>
    <t>Leverage Ratio (%)</t>
  </si>
  <si>
    <t>Completeness (%)</t>
  </si>
  <si>
    <t>XYZ Standalone</t>
  </si>
  <si>
    <t>XYZ Consolidated</t>
  </si>
  <si>
    <t>XYZ Life</t>
  </si>
  <si>
    <t>PILLAR 3  |  Pillar 3 – Market Discipline Disclosure Tracker  |  Bank Risk Management Dashboard</t>
  </si>
  <si>
    <t>Disclosure_ID</t>
  </si>
  <si>
    <t>Table_Ref</t>
  </si>
  <si>
    <t>Disclosure_Item</t>
  </si>
  <si>
    <t>Required_Value</t>
  </si>
  <si>
    <t>Disclosed_Value</t>
  </si>
  <si>
    <t>Deviation</t>
  </si>
  <si>
    <t>Completeness_%</t>
  </si>
  <si>
    <t>Format</t>
  </si>
  <si>
    <t>Filing_Mode</t>
  </si>
  <si>
    <t>Reviewed_by</t>
  </si>
  <si>
    <t>Approved_by</t>
  </si>
  <si>
    <t>Submission_Date</t>
  </si>
  <si>
    <t>Regulatory_Deadline</t>
  </si>
  <si>
    <t>Timeliness</t>
  </si>
  <si>
    <t>External_Auditor_Sign</t>
  </si>
  <si>
    <t>Disclosure_URL</t>
  </si>
  <si>
    <t>P3D0001</t>
  </si>
  <si>
    <t>Q1-FY23</t>
  </si>
  <si>
    <t>CR4</t>
  </si>
  <si>
    <t>Basel III Pillar 3 – Capital – Table CR4 – Item 1</t>
  </si>
  <si>
    <t>PDF</t>
  </si>
  <si>
    <t>Bank Website</t>
  </si>
  <si>
    <t>DGM_Risk_5</t>
  </si>
  <si>
    <t>ED (Risk)</t>
  </si>
  <si>
    <t>https://www.sbi.co.in/pillar3/Q1_FY23/cr4</t>
  </si>
  <si>
    <t>P3D0002</t>
  </si>
  <si>
    <t>Q2-FY23</t>
  </si>
  <si>
    <t>MR2</t>
  </si>
  <si>
    <t>CCR</t>
  </si>
  <si>
    <t>Basel III Pillar 3 – CCR – Table MR2 – Item 2</t>
  </si>
  <si>
    <t>BSE/NSE Filing</t>
  </si>
  <si>
    <t>DGM_Risk_2</t>
  </si>
  <si>
    <t>https://www.sbi.co.in/pillar3/Q2_FY23/mr2</t>
  </si>
  <si>
    <t>P3D0003</t>
  </si>
  <si>
    <t>OR1</t>
  </si>
  <si>
    <t>Basel III Pillar 3 – CCR – Table OR1 – Item 3</t>
  </si>
  <si>
    <t>Excel</t>
  </si>
  <si>
    <t>17-Sep-2025</t>
  </si>
  <si>
    <t>https://www.sbi.co.in/pillar3/Q2_FY23/or1</t>
  </si>
  <si>
    <t>P3D0004</t>
  </si>
  <si>
    <t>LR2</t>
  </si>
  <si>
    <t>Market Risk</t>
  </si>
  <si>
    <t>Basel III Pillar 3 – Market Risk – Table LR2 – Item 4</t>
  </si>
  <si>
    <t>RBI Submission</t>
  </si>
  <si>
    <t>DGM_Risk_1</t>
  </si>
  <si>
    <t>https://www.sbi.co.in/pillar3/Q2_FY25/lr2</t>
  </si>
  <si>
    <t>P3D0005</t>
  </si>
  <si>
    <t>CR5</t>
  </si>
  <si>
    <t>Basel III Pillar 3 – CCR – Table CR5 – Item 5</t>
  </si>
  <si>
    <t>XBRL</t>
  </si>
  <si>
    <t>DGM_Risk_6</t>
  </si>
  <si>
    <t>https://www.sbi.co.in/pillar3/Q2_FY25/cr5</t>
  </si>
  <si>
    <t>P3D0006</t>
  </si>
  <si>
    <t>LIQB</t>
  </si>
  <si>
    <t>Operational Risk</t>
  </si>
  <si>
    <t>Basel III Pillar 3 – Operational Risk – Table LIQB – Item 6</t>
  </si>
  <si>
    <t>DGM_Risk_3</t>
  </si>
  <si>
    <t>https://www.sbi.co.in/pillar3/Q1_FY26/liqb</t>
  </si>
  <si>
    <t>P3D0007</t>
  </si>
  <si>
    <t>OV2</t>
  </si>
  <si>
    <t>Basel III Pillar 3 – Market Risk – Table OV2 – Item 7</t>
  </si>
  <si>
    <t>22-Apr-2024</t>
  </si>
  <si>
    <t>https://www.sbi.co.in/pillar3/Q3_FY26/ov2</t>
  </si>
  <si>
    <t>P3D0008</t>
  </si>
  <si>
    <t>IRRBB1</t>
  </si>
  <si>
    <t>Basel III Pillar 3 – Market Risk – Table IRRBB1 – Item 8</t>
  </si>
  <si>
    <t>HTML</t>
  </si>
  <si>
    <t>DGM_Risk_4</t>
  </si>
  <si>
    <t>https://www.sbi.co.in/pillar3/Q2_FY24/irrbb1</t>
  </si>
  <si>
    <t>P3D0009</t>
  </si>
  <si>
    <t>CR3</t>
  </si>
  <si>
    <t>Basel III Pillar 3 – IRRBB – Table CR3 – Item 9</t>
  </si>
  <si>
    <t>Delayed</t>
  </si>
  <si>
    <t>https://www.sbi.co.in/pillar3/Q2_FY23/cr3</t>
  </si>
  <si>
    <t>P3D0010</t>
  </si>
  <si>
    <t>CC1</t>
  </si>
  <si>
    <t>Basel III Pillar 3 – IRRBB – Table CC1 – Item 10</t>
  </si>
  <si>
    <t>https://www.sbi.co.in/pillar3/Q1_FY23/cc1</t>
  </si>
  <si>
    <t>P3D0011</t>
  </si>
  <si>
    <t>Leverage</t>
  </si>
  <si>
    <t>Basel III Pillar 3 – Leverage – Table LIQB – Item 11</t>
  </si>
  <si>
    <t>https://www.sbi.co.in/pillar3/Q4_FY26/liqb</t>
  </si>
  <si>
    <t>P3D0012</t>
  </si>
  <si>
    <t>Q3-FY23</t>
  </si>
  <si>
    <t>Basel III Pillar 3 – IRRBB – Table LR2 – Item 12</t>
  </si>
  <si>
    <t>https://www.sbi.co.in/pillar3/Q3_FY23/lr2</t>
  </si>
  <si>
    <t>P3D0013</t>
  </si>
  <si>
    <t>Basel III Pillar 3 – Liquidity – Table CR5 – Item 13</t>
  </si>
  <si>
    <t>04-May-2024</t>
  </si>
  <si>
    <t>https://www.sbi.co.in/pillar3/Q1_FY25/cr5</t>
  </si>
  <si>
    <t>P3D0014</t>
  </si>
  <si>
    <t>MR1</t>
  </si>
  <si>
    <t>Basel III Pillar 3 – Operational Risk – Table MR1 – Item 14</t>
  </si>
  <si>
    <t>Annual Report</t>
  </si>
  <si>
    <t>https://www.sbi.co.in/pillar3/Q1_FY26/mr1</t>
  </si>
  <si>
    <t>P3D0015</t>
  </si>
  <si>
    <t>Credit Risk</t>
  </si>
  <si>
    <t>Basel III Pillar 3 – Credit Risk – Table MR1 – Item 15</t>
  </si>
  <si>
    <t>20-Oct-2024</t>
  </si>
  <si>
    <t>https://www.sbi.co.in/pillar3/Q4_FY25/mr1</t>
  </si>
  <si>
    <t>P3D0016</t>
  </si>
  <si>
    <t>Basel III Pillar 3 – Liquidity – Table IRRBB1 – Item 16</t>
  </si>
  <si>
    <t>https://www.sbi.co.in/pillar3/Q3_FY26/irrbb1</t>
  </si>
  <si>
    <t>P3D0017</t>
  </si>
  <si>
    <t>Basel III Pillar 3 – Credit Risk – Table OV2 – Item 17</t>
  </si>
  <si>
    <t>https://www.sbi.co.in/pillar3/Q1_FY23/ov2</t>
  </si>
  <si>
    <t>P3D0018</t>
  </si>
  <si>
    <t>CC2</t>
  </si>
  <si>
    <t>Basel III Pillar 3 – Market Risk – Table CC2 – Item 18</t>
  </si>
  <si>
    <t>https://www.sbi.co.in/pillar3/Q3_FY25/cc2</t>
  </si>
  <si>
    <t>P3D0019</t>
  </si>
  <si>
    <t>CR1</t>
  </si>
  <si>
    <t>Basel III Pillar 3 – IRRBB – Table CR1 – Item 19</t>
  </si>
  <si>
    <t>https://www.sbi.co.in/pillar3/Q2_FY24/cr1</t>
  </si>
  <si>
    <t>P3D0020</t>
  </si>
  <si>
    <t>IRRBBA</t>
  </si>
  <si>
    <t>Securitisation</t>
  </si>
  <si>
    <t>Basel III Pillar 3 – Securitisation – Table IRRBBA – Item 20</t>
  </si>
  <si>
    <t>https://www.sbi.co.in/pillar3/Q1_FY26/irrbba</t>
  </si>
  <si>
    <t>P3D0021</t>
  </si>
  <si>
    <t>Basel III Pillar 3 – Liquidity – Table OV2 – Item 21</t>
  </si>
  <si>
    <t>https://www.sbi.co.in/pillar3/Q2_FY26/ov2</t>
  </si>
  <si>
    <t>P3D0022</t>
  </si>
  <si>
    <t>Basel III Pillar 3 – IRRBB – Table CR5 – Item 22</t>
  </si>
  <si>
    <t>P3D0023</t>
  </si>
  <si>
    <t>Basel III Pillar 3 – Liquidity – Table CC1 – Item 23</t>
  </si>
  <si>
    <t>P3D0024</t>
  </si>
  <si>
    <t>Basel III Pillar 3 – Market Risk – Table CR1 – Item 24</t>
  </si>
  <si>
    <t>https://www.sbi.co.in/pillar3/Q1_FY23/cr1</t>
  </si>
  <si>
    <t>P3D0025</t>
  </si>
  <si>
    <t>LR1</t>
  </si>
  <si>
    <t>Basel III Pillar 3 – Capital – Table LR1 – Item 25</t>
  </si>
  <si>
    <t>https://www.sbi.co.in/pillar3/Q3_FY23/lr1</t>
  </si>
  <si>
    <t>P3D0026</t>
  </si>
  <si>
    <t>Basel III Pillar 3 – Capital – Table MR2 – Item 26</t>
  </si>
  <si>
    <t>https://www.sbi.co.in/pillar3/Q1_FY25/mr2</t>
  </si>
  <si>
    <t>P3D0027</t>
  </si>
  <si>
    <t>Basel III Pillar 3 – Leverage – Table OV2 – Item 27</t>
  </si>
  <si>
    <t>https://www.sbi.co.in/pillar3/Q3_FY24/ov2</t>
  </si>
  <si>
    <t>P3D0028</t>
  </si>
  <si>
    <t>Q4-FY23</t>
  </si>
  <si>
    <t>Basel III Pillar 3 – Market Risk – Table LR2 – Item 28</t>
  </si>
  <si>
    <t>24-Mar-2025</t>
  </si>
  <si>
    <t>https://www.sbi.co.in/pillar3/Q4_FY23/lr2</t>
  </si>
  <si>
    <t>P3D0029</t>
  </si>
  <si>
    <t>Basel III Pillar 3 – IRRBB – Table LR1 – Item 29</t>
  </si>
  <si>
    <t>https://www.sbi.co.in/pillar3/Q4_FY24/lr1</t>
  </si>
  <si>
    <t>P3D0030</t>
  </si>
  <si>
    <t>Basel III Pillar 3 – Leverage – Table OV2 – Item 30</t>
  </si>
  <si>
    <t>https://www.sbi.co.in/pillar3/Q3_FY23/ov2</t>
  </si>
  <si>
    <t>P3D0031</t>
  </si>
  <si>
    <t>Basel III Pillar 3 – Operational Risk – Table MR2 – Item 31</t>
  </si>
  <si>
    <t>P3D0032</t>
  </si>
  <si>
    <t>Basel III Pillar 3 – Liquidity – Table CC1 – Item 32</t>
  </si>
  <si>
    <t>https://www.sbi.co.in/pillar3/Q4_FY26/cc1</t>
  </si>
  <si>
    <t>P3D0033</t>
  </si>
  <si>
    <t>Basel III Pillar 3 – Operational Risk – Table CC2 – Item 33</t>
  </si>
  <si>
    <t>https://www.sbi.co.in/pillar3/Q4_FY23/cc2</t>
  </si>
  <si>
    <t>P3D0034</t>
  </si>
  <si>
    <t>OV1</t>
  </si>
  <si>
    <t>Basel III Pillar 3 – IRRBB – Table OV1 – Item 34</t>
  </si>
  <si>
    <t>https://www.sbi.co.in/pillar3/Q4_FY24/ov1</t>
  </si>
  <si>
    <t>P3D0035</t>
  </si>
  <si>
    <t>Basel III Pillar 3 – Capital – Table MR2 – Item 35</t>
  </si>
  <si>
    <t>https://www.sbi.co.in/pillar3/Q2_FY25/mr2</t>
  </si>
  <si>
    <t>P3D0036</t>
  </si>
  <si>
    <t>Basel III Pillar 3 – Operational Risk – Table OV2 – Item 36</t>
  </si>
  <si>
    <t>04-Oct-2025</t>
  </si>
  <si>
    <t>https://www.sbi.co.in/pillar3/Q1_FY25/ov2</t>
  </si>
  <si>
    <t>P3D0037</t>
  </si>
  <si>
    <t>Basel III Pillar 3 – Leverage – Table OV2 – Item 37</t>
  </si>
  <si>
    <t>https://www.sbi.co.in/pillar3/Q4_FY26/ov2</t>
  </si>
  <si>
    <t>P3D0038</t>
  </si>
  <si>
    <t>Basel III Pillar 3 – Liquidity – Table OV2 – Item 38</t>
  </si>
  <si>
    <t>P3D0039</t>
  </si>
  <si>
    <t>Basel III Pillar 3 – Capital – Table MR1 – Item 39</t>
  </si>
  <si>
    <t>https://www.sbi.co.in/pillar3/Q3_FY23/mr1</t>
  </si>
  <si>
    <t>P3D0040</t>
  </si>
  <si>
    <t>Basel III Pillar 3 – Liquidity – Table LR1 – Item 40</t>
  </si>
  <si>
    <t>https://www.sbi.co.in/pillar3/Q3_FY25/lr1</t>
  </si>
  <si>
    <t>P3D0041</t>
  </si>
  <si>
    <t>CR2</t>
  </si>
  <si>
    <t>Basel III Pillar 3 – Operational Risk – Table CR2 – Item 41</t>
  </si>
  <si>
    <t>https://www.sbi.co.in/pillar3/Q2_FY23/cr2</t>
  </si>
  <si>
    <t>P3D0042</t>
  </si>
  <si>
    <t>Basel III Pillar 3 – Credit Risk – Table OV1 – Item 42</t>
  </si>
  <si>
    <t>https://www.sbi.co.in/pillar3/Q4_FY25/ov1</t>
  </si>
  <si>
    <t>P3D0043</t>
  </si>
  <si>
    <t>Basel III Pillar 3 – Capital – Table IRRBB1 – Item 43</t>
  </si>
  <si>
    <t>https://www.sbi.co.in/pillar3/Q4_FY23/irrbb1</t>
  </si>
  <si>
    <t>P3D0044</t>
  </si>
  <si>
    <t>Basel III Pillar 3 – Capital – Table IRRBB1 – Item 44</t>
  </si>
  <si>
    <t>https://www.sbi.co.in/pillar3/Q2_FY26/irrbb1</t>
  </si>
  <si>
    <t>P3D0045</t>
  </si>
  <si>
    <t>Basel III Pillar 3 – Market Risk – Table OV1 – Item 45</t>
  </si>
  <si>
    <t>https://www.sbi.co.in/pillar3/Q1_FY23/ov1</t>
  </si>
  <si>
    <t>P3D0046</t>
  </si>
  <si>
    <t>Basel III Pillar 3 – Securitisation – Table LR2 – Item 46</t>
  </si>
  <si>
    <t>https://www.sbi.co.in/pillar3/Q1_FY24/lr2</t>
  </si>
  <si>
    <t>P3D0047</t>
  </si>
  <si>
    <t>Basel III Pillar 3 – Leverage – Table CR5 – Item 47</t>
  </si>
  <si>
    <t>https://www.sbi.co.in/pillar3/Q2_FY26/cr5</t>
  </si>
  <si>
    <t>P3D0048</t>
  </si>
  <si>
    <t>Basel III Pillar 3 – Leverage – Table LR1 – Item 48</t>
  </si>
  <si>
    <t>https://www.sbi.co.in/pillar3/Q1_FY24/lr1</t>
  </si>
  <si>
    <t>P3D0049</t>
  </si>
  <si>
    <t>Basel III Pillar 3 – CCR – Table CR1 – Item 49</t>
  </si>
  <si>
    <t>02-Feb-2024</t>
  </si>
  <si>
    <t>https://www.sbi.co.in/pillar3/Q1_FY25/cr1</t>
  </si>
  <si>
    <t>P3D0050</t>
  </si>
  <si>
    <t>Basel III Pillar 3 – Capital – Table CC2 – Item 50</t>
  </si>
  <si>
    <t>https://www.sbi.co.in/pillar3/Q4_FY26/cc2</t>
  </si>
  <si>
    <t>P3D0051</t>
  </si>
  <si>
    <t>Basel III Pillar 3 – Market Risk – Table OR1 – Item 51</t>
  </si>
  <si>
    <t>https://www.sbi.co.in/pillar3/Q1_FY23/or1</t>
  </si>
  <si>
    <t>P3D0052</t>
  </si>
  <si>
    <t>Basel III Pillar 3 – Credit Risk – Table IRRBBA – Item 52</t>
  </si>
  <si>
    <t>28-Oct-2024</t>
  </si>
  <si>
    <t>https://www.sbi.co.in/pillar3/Q4_FY25/irrbba</t>
  </si>
  <si>
    <t>P3D0053</t>
  </si>
  <si>
    <t>Basel III Pillar 3 – CCR – Table OV2 – Item 53</t>
  </si>
  <si>
    <t>https://www.sbi.co.in/pillar3/Q2_FY24/ov2</t>
  </si>
  <si>
    <t>P3D0054</t>
  </si>
  <si>
    <t>Basel III Pillar 3 – Securitisation – Table CC1 – Item 54</t>
  </si>
  <si>
    <t>https://www.sbi.co.in/pillar3/Q2_FY26/cc1</t>
  </si>
  <si>
    <t>P3D0055</t>
  </si>
  <si>
    <t>Basel III Pillar 3 – Operational Risk – Table CR1 – Item 55</t>
  </si>
  <si>
    <t>https://www.sbi.co.in/pillar3/Q3_FY25/cr1</t>
  </si>
  <si>
    <t>P3D0056</t>
  </si>
  <si>
    <t>Basel III Pillar 3 – Securitisation – Table MR2 – Item 56</t>
  </si>
  <si>
    <t>https://www.sbi.co.in/pillar3/Q4_FY25/mr2</t>
  </si>
  <si>
    <t>P3D0057</t>
  </si>
  <si>
    <t>Basel III Pillar 3 – Leverage – Table OR1 – Item 57</t>
  </si>
  <si>
    <t>P3D0058</t>
  </si>
  <si>
    <t>Basel III Pillar 3 – Credit Risk – Table CC1 – Item 58</t>
  </si>
  <si>
    <t>https://www.sbi.co.in/pillar3/Q3_FY24/cc1</t>
  </si>
  <si>
    <t>P3D0059</t>
  </si>
  <si>
    <t>Basel III Pillar 3 – IRRBB – Table CR4 – Item 59</t>
  </si>
  <si>
    <t>05-Oct-2025</t>
  </si>
  <si>
    <t>https://www.sbi.co.in/pillar3/Q2_FY23/cr4</t>
  </si>
  <si>
    <t>P3D0060</t>
  </si>
  <si>
    <t>Basel III Pillar 3 – IRRBB – Table OV2 – Item 60</t>
  </si>
  <si>
    <t>17-Mar-2024</t>
  </si>
  <si>
    <t>12-MONTH KRI TREND  |  SBI Enterprise Risk Dashboard  |  All monthly KRI values are Excel formulas derived from Monthly_Data sheet</t>
  </si>
  <si>
    <t>NOTE: Blue text = hardcoded base inputs (Monthly_Data sheet) | Green text = formula referencing Monthly_Data | Change any input in Monthly_Data → all KRIs auto-recalculate</t>
  </si>
  <si>
    <t>Red
Thresh</t>
  </si>
  <si>
    <t>Amber
Thresh</t>
  </si>
  <si>
    <t>12M Avg</t>
  </si>
  <si>
    <t>Apr-26
(Current)</t>
  </si>
  <si>
    <t>3M Avg</t>
  </si>
  <si>
    <t>MoM
Change</t>
  </si>
  <si>
    <t>Trend</t>
  </si>
  <si>
    <t>VaR Utilisation (1D 99%)</t>
  </si>
  <si>
    <t>SVaR (Stressed VaR)</t>
  </si>
  <si>
    <t>% of NII</t>
  </si>
  <si>
    <t>Leverage Ratio (Basel III)</t>
  </si>
  <si>
    <t>Cumulative Gap (1M bucket)₹Cr</t>
  </si>
  <si>
    <t>% NII</t>
  </si>
  <si>
    <t>Repricing Gap (1Y bucket) %</t>
  </si>
  <si>
    <t>% Inc</t>
  </si>
  <si>
    <t>Fraud Recovery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</si>
</sst>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\%"/>
    <numFmt numFmtId="167" formatCode="0.0\%"/>
  </numFmts>
  <fonts count="3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008000"/>
      <name val="Arial"/>
      <charset val="1"/>
    </font>
    <font>
      <sz val="10"/>
      <color rgb="FFC00000"/>
      <name val="Arial"/>
      <charset val="1"/>
    </font>
    <font>
      <sz val="10"/>
      <color rgb="FF375623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9"/>
      <color rgb="FFF6AD55"/>
      <name val="Arial"/>
      <charset val="1"/>
    </font>
    <font>
      <b/>
      <sz val="9"/>
      <color rgb="FF68D391"/>
      <name val="Arial"/>
      <charset val="1"/>
    </font>
    <font>
      <b/>
      <sz val="9"/>
      <color rgb="FFFC8181"/>
      <name val="Arial"/>
      <charset val="1"/>
    </font>
    <font>
      <b/>
      <sz val="13"/>
      <color rgb="FFFFFFFF"/>
      <name val="Arial"/>
      <charset val="1"/>
    </font>
    <font>
      <i/>
      <sz val="8.5"/>
      <color rgb="FF1A4FA0"/>
      <name val="Arial"/>
      <charset val="1"/>
    </font>
    <font>
      <b/>
      <sz val="9"/>
      <name val="Arial"/>
      <charset val="1"/>
    </font>
    <font>
      <sz val="9"/>
      <color rgb="FF0A7C4E"/>
      <name val="Arial"/>
      <charset val="1"/>
    </font>
    <font>
      <sz val="9"/>
      <color rgb="FFC0202E"/>
      <name val="Arial"/>
      <charset val="1"/>
    </font>
    <font>
      <b/>
      <sz val="9"/>
      <color rgb="FFB86E00"/>
      <name val="Arial"/>
      <charset val="1"/>
    </font>
    <font>
      <b/>
      <sz val="9"/>
      <color rgb="FF0A7C4E"/>
      <name val="Arial"/>
      <charset val="1"/>
    </font>
    <font>
      <sz val="9"/>
      <color rgb="FFFFFFFF"/>
      <name val="Arial"/>
      <charset val="1"/>
    </font>
    <font>
      <sz val="9"/>
      <color rgb="FF68D391"/>
      <name val="Arial"/>
      <charset val="1"/>
    </font>
    <font>
      <sz val="9"/>
      <color rgb="FFF6AD55"/>
      <name val="Arial"/>
      <charset val="1"/>
    </font>
    <font>
      <b/>
      <sz val="9"/>
      <color rgb="FF7030A0"/>
      <name val="Arial"/>
      <charset val="1"/>
    </font>
    <font>
      <sz val="9"/>
      <color rgb="FF000000"/>
      <name val="Arial"/>
      <charset val="1"/>
    </font>
    <font>
      <sz val="9"/>
      <color rgb="FFCC0000"/>
      <name val="Arial"/>
      <charset val="1"/>
    </font>
    <font>
      <sz val="9"/>
      <color rgb="FF7F60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A4FA0"/>
      </patternFill>
    </fill>
    <fill>
      <patternFill patternType="solid">
        <fgColor rgb="FF2F75B6"/>
        <bgColor rgb="FF2E75B6"/>
      </patternFill>
    </fill>
    <fill>
      <patternFill patternType="solid">
        <fgColor rgb="FF1F3864"/>
        <bgColor rgb="FF1E3A5F"/>
      </patternFill>
    </fill>
    <fill>
      <patternFill patternType="solid">
        <fgColor rgb="FF2E75B6"/>
        <bgColor rgb="FF2F75B6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E6F4ED"/>
      </patternFill>
    </fill>
    <fill>
      <patternFill patternType="solid">
        <fgColor rgb="FFFCE4D6"/>
        <bgColor rgb="FFFCE8EA"/>
      </patternFill>
    </fill>
    <fill>
      <patternFill patternType="solid">
        <fgColor rgb="FFFFCCCC"/>
        <bgColor rgb="FFFCE4D6"/>
      </patternFill>
    </fill>
    <fill>
      <patternFill patternType="solid">
        <fgColor rgb="FF0A1828"/>
        <bgColor rgb="FF000000"/>
      </patternFill>
    </fill>
    <fill>
      <patternFill patternType="solid">
        <fgColor rgb="FF4A3000"/>
        <bgColor rgb="FF1E4620"/>
      </patternFill>
    </fill>
    <fill>
      <patternFill patternType="solid">
        <fgColor rgb="FF1E4620"/>
        <bgColor rgb="FF375623"/>
      </patternFill>
    </fill>
    <fill>
      <patternFill patternType="solid">
        <fgColor rgb="FF4A0000"/>
        <bgColor rgb="FF4A3000"/>
      </patternFill>
    </fill>
    <fill>
      <patternFill patternType="solid">
        <fgColor rgb="FF0D2D6E"/>
        <bgColor rgb="FF1F3864"/>
      </patternFill>
    </fill>
    <fill>
      <patternFill patternType="solid">
        <fgColor rgb="FFE8EDF7"/>
        <bgColor rgb="FFF2EAFA"/>
      </patternFill>
    </fill>
    <fill>
      <patternFill patternType="solid">
        <fgColor rgb="FF1A4FA0"/>
        <bgColor rgb="FF1F4E79"/>
      </patternFill>
    </fill>
    <fill>
      <patternFill patternType="solid">
        <fgColor rgb="FFFFF3CD"/>
        <bgColor rgb="FFFCE4D6"/>
      </patternFill>
    </fill>
    <fill>
      <patternFill patternType="solid">
        <fgColor rgb="FFE6F4ED"/>
        <bgColor rgb="FFE8EDF7"/>
      </patternFill>
    </fill>
    <fill>
      <patternFill patternType="solid">
        <fgColor rgb="FFFCE8EA"/>
        <bgColor rgb="FFFCE4D6"/>
      </patternFill>
    </fill>
    <fill>
      <patternFill patternType="solid">
        <fgColor rgb="FFF2EAFA"/>
        <bgColor rgb="FFE8EDF7"/>
      </patternFill>
    </fill>
    <fill>
      <patternFill patternType="solid">
        <fgColor rgb="FFF5F5F5"/>
        <bgColor rgb="FFF2F2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4D9E2"/>
      </left>
      <right style="thin">
        <color rgb="FFD4D9E2"/>
      </right>
      <top style="thin">
        <color rgb="FFD4D9E2"/>
      </top>
      <bottom style="thin">
        <color rgb="FFD4D9E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0" fillId="0" borderId="1" xfId="0" applyBorder="1"/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2" fontId="12" fillId="7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left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left"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" fontId="12" fillId="6" borderId="1" xfId="0" applyNumberFormat="1" applyFont="1" applyFill="1" applyBorder="1" applyAlignment="1">
      <alignment horizontal="left" vertical="center" wrapText="1"/>
    </xf>
    <xf numFmtId="1" fontId="12" fillId="7" borderId="1" xfId="0" applyNumberFormat="1" applyFont="1" applyFill="1" applyBorder="1" applyAlignment="1">
      <alignment horizontal="center" vertical="center" wrapText="1"/>
    </xf>
    <xf numFmtId="1" fontId="12" fillId="7" borderId="1" xfId="0" applyNumberFormat="1" applyFont="1" applyFill="1" applyBorder="1" applyAlignment="1">
      <alignment horizontal="left" vertical="center" wrapText="1"/>
    </xf>
    <xf numFmtId="3" fontId="12" fillId="6" borderId="1" xfId="0" applyNumberFormat="1" applyFont="1" applyFill="1" applyBorder="1" applyAlignment="1">
      <alignment horizontal="center" vertical="center" wrapText="1"/>
    </xf>
    <xf numFmtId="3" fontId="12" fillId="6" borderId="1" xfId="0" applyNumberFormat="1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4" fontId="17" fillId="11" borderId="2" xfId="0" applyNumberFormat="1" applyFont="1" applyFill="1" applyBorder="1" applyAlignment="1">
      <alignment horizontal="center" vertical="center"/>
    </xf>
    <xf numFmtId="2" fontId="17" fillId="11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4" fontId="18" fillId="11" borderId="2" xfId="0" applyNumberFormat="1" applyFont="1" applyFill="1" applyBorder="1" applyAlignment="1">
      <alignment horizontal="center" vertical="center"/>
    </xf>
    <xf numFmtId="2" fontId="18" fillId="11" borderId="2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4" fontId="19" fillId="11" borderId="2" xfId="0" applyNumberFormat="1" applyFont="1" applyFill="1" applyBorder="1" applyAlignment="1">
      <alignment horizontal="center" vertical="center"/>
    </xf>
    <xf numFmtId="2" fontId="19" fillId="11" borderId="2" xfId="0" applyNumberFormat="1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165" fontId="19" fillId="11" borderId="2" xfId="0" applyNumberFormat="1" applyFont="1" applyFill="1" applyBorder="1" applyAlignment="1">
      <alignment horizontal="center" vertical="center"/>
    </xf>
    <xf numFmtId="165" fontId="18" fillId="11" borderId="2" xfId="0" applyNumberFormat="1" applyFont="1" applyFill="1" applyBorder="1" applyAlignment="1">
      <alignment horizontal="center" vertical="center"/>
    </xf>
    <xf numFmtId="165" fontId="17" fillId="11" borderId="2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2" fillId="17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166" fontId="23" fillId="19" borderId="4" xfId="0" applyNumberFormat="1" applyFont="1" applyFill="1" applyBorder="1" applyAlignment="1">
      <alignment horizontal="center" vertical="center"/>
    </xf>
    <xf numFmtId="166" fontId="24" fillId="20" borderId="4" xfId="0" applyNumberFormat="1" applyFont="1" applyFill="1" applyBorder="1" applyAlignment="1">
      <alignment horizontal="center" vertical="center"/>
    </xf>
    <xf numFmtId="167" fontId="3" fillId="18" borderId="4" xfId="0" applyNumberFormat="1" applyFont="1" applyFill="1" applyBorder="1" applyAlignment="1">
      <alignment horizontal="center" vertical="center"/>
    </xf>
    <xf numFmtId="0" fontId="25" fillId="18" borderId="4" xfId="0" applyFont="1" applyFill="1" applyBorder="1" applyAlignment="1">
      <alignment horizontal="center" vertical="center"/>
    </xf>
    <xf numFmtId="0" fontId="22" fillId="19" borderId="4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167" fontId="3" fillId="19" borderId="4" xfId="0" applyNumberFormat="1" applyFont="1" applyFill="1" applyBorder="1" applyAlignment="1">
      <alignment horizontal="center" vertical="center"/>
    </xf>
    <xf numFmtId="0" fontId="26" fillId="19" borderId="4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31" fillId="22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left" vertical="center"/>
    </xf>
    <xf numFmtId="0" fontId="31" fillId="22" borderId="0" xfId="0" applyFont="1" applyFill="1" applyAlignment="1">
      <alignment horizontal="right" vertical="center"/>
    </xf>
    <xf numFmtId="2" fontId="32" fillId="22" borderId="0" xfId="0" applyNumberFormat="1" applyFont="1" applyFill="1" applyAlignment="1">
      <alignment horizontal="right" vertical="center"/>
    </xf>
    <xf numFmtId="2" fontId="33" fillId="22" borderId="0" xfId="0" applyNumberFormat="1" applyFont="1" applyFill="1" applyAlignment="1">
      <alignment horizontal="right" vertical="center"/>
    </xf>
    <xf numFmtId="2" fontId="12" fillId="22" borderId="0" xfId="0" applyNumberFormat="1" applyFont="1" applyFill="1" applyAlignment="1">
      <alignment horizontal="right"/>
    </xf>
    <xf numFmtId="2" fontId="5" fillId="8" borderId="0" xfId="0" applyNumberFormat="1" applyFont="1" applyFill="1"/>
    <xf numFmtId="2" fontId="31" fillId="22" borderId="0" xfId="0" applyNumberFormat="1" applyFont="1" applyFill="1"/>
    <xf numFmtId="0" fontId="5" fillId="22" borderId="0" xfId="0" applyFont="1" applyFill="1"/>
    <xf numFmtId="0" fontId="31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right" vertical="center"/>
    </xf>
    <xf numFmtId="2" fontId="32" fillId="6" borderId="0" xfId="0" applyNumberFormat="1" applyFont="1" applyFill="1" applyAlignment="1">
      <alignment horizontal="right" vertical="center"/>
    </xf>
    <xf numFmtId="2" fontId="33" fillId="6" borderId="0" xfId="0" applyNumberFormat="1" applyFont="1" applyFill="1" applyAlignment="1">
      <alignment horizontal="right" vertical="center"/>
    </xf>
    <xf numFmtId="2" fontId="12" fillId="6" borderId="0" xfId="0" applyNumberFormat="1" applyFont="1" applyFill="1" applyAlignment="1">
      <alignment horizontal="right"/>
    </xf>
    <xf numFmtId="2" fontId="31" fillId="6" borderId="0" xfId="0" applyNumberFormat="1" applyFont="1" applyFill="1"/>
    <xf numFmtId="0" fontId="5" fillId="6" borderId="0" xfId="0" applyFont="1" applyFill="1"/>
    <xf numFmtId="3" fontId="32" fillId="22" borderId="0" xfId="0" applyNumberFormat="1" applyFont="1" applyFill="1" applyAlignment="1">
      <alignment horizontal="right" vertical="center"/>
    </xf>
    <xf numFmtId="3" fontId="33" fillId="22" borderId="0" xfId="0" applyNumberFormat="1" applyFont="1" applyFill="1" applyAlignment="1">
      <alignment horizontal="right" vertical="center"/>
    </xf>
    <xf numFmtId="3" fontId="12" fillId="22" borderId="0" xfId="0" applyNumberFormat="1" applyFont="1" applyFill="1" applyAlignment="1">
      <alignment horizontal="right"/>
    </xf>
    <xf numFmtId="3" fontId="5" fillId="8" borderId="0" xfId="0" applyNumberFormat="1" applyFont="1" applyFill="1"/>
    <xf numFmtId="3" fontId="31" fillId="22" borderId="0" xfId="0" applyNumberFormat="1" applyFont="1" applyFill="1"/>
    <xf numFmtId="3" fontId="32" fillId="6" borderId="0" xfId="0" applyNumberFormat="1" applyFont="1" applyFill="1" applyAlignment="1">
      <alignment horizontal="right" vertical="center"/>
    </xf>
    <xf numFmtId="3" fontId="33" fillId="6" borderId="0" xfId="0" applyNumberFormat="1" applyFont="1" applyFill="1" applyAlignment="1">
      <alignment horizontal="right" vertical="center"/>
    </xf>
    <xf numFmtId="3" fontId="12" fillId="6" borderId="0" xfId="0" applyNumberFormat="1" applyFont="1" applyFill="1" applyAlignment="1">
      <alignment horizontal="right"/>
    </xf>
    <xf numFmtId="3" fontId="31" fillId="6" borderId="0" xfId="0" applyNumberFormat="1" applyFont="1" applyFill="1"/>
    <xf numFmtId="164" fontId="32" fillId="22" borderId="0" xfId="0" applyNumberFormat="1" applyFont="1" applyFill="1" applyAlignment="1">
      <alignment horizontal="right" vertical="center"/>
    </xf>
    <xf numFmtId="164" fontId="33" fillId="22" borderId="0" xfId="0" applyNumberFormat="1" applyFont="1" applyFill="1" applyAlignment="1">
      <alignment horizontal="right" vertical="center"/>
    </xf>
    <xf numFmtId="164" fontId="12" fillId="22" borderId="0" xfId="0" applyNumberFormat="1" applyFont="1" applyFill="1" applyAlignment="1">
      <alignment horizontal="right"/>
    </xf>
    <xf numFmtId="164" fontId="5" fillId="8" borderId="0" xfId="0" applyNumberFormat="1" applyFont="1" applyFill="1"/>
    <xf numFmtId="164" fontId="31" fillId="22" borderId="0" xfId="0" applyNumberFormat="1" applyFont="1" applyFill="1"/>
    <xf numFmtId="1" fontId="32" fillId="6" borderId="0" xfId="0" applyNumberFormat="1" applyFont="1" applyFill="1" applyAlignment="1">
      <alignment horizontal="right" vertical="center"/>
    </xf>
    <xf numFmtId="1" fontId="33" fillId="6" borderId="0" xfId="0" applyNumberFormat="1" applyFont="1" applyFill="1" applyAlignment="1">
      <alignment horizontal="right" vertical="center"/>
    </xf>
    <xf numFmtId="1" fontId="12" fillId="6" borderId="0" xfId="0" applyNumberFormat="1" applyFont="1" applyFill="1" applyAlignment="1">
      <alignment horizontal="right"/>
    </xf>
    <xf numFmtId="1" fontId="5" fillId="8" borderId="0" xfId="0" applyNumberFormat="1" applyFont="1" applyFill="1"/>
    <xf numFmtId="1" fontId="31" fillId="6" borderId="0" xfId="0" applyNumberFormat="1" applyFont="1" applyFill="1"/>
    <xf numFmtId="1" fontId="32" fillId="22" borderId="0" xfId="0" applyNumberFormat="1" applyFont="1" applyFill="1" applyAlignment="1">
      <alignment horizontal="right" vertical="center"/>
    </xf>
    <xf numFmtId="1" fontId="33" fillId="22" borderId="0" xfId="0" applyNumberFormat="1" applyFont="1" applyFill="1" applyAlignment="1">
      <alignment horizontal="right" vertical="center"/>
    </xf>
    <xf numFmtId="1" fontId="12" fillId="22" borderId="0" xfId="0" applyNumberFormat="1" applyFont="1" applyFill="1" applyAlignment="1">
      <alignment horizontal="right"/>
    </xf>
    <xf numFmtId="1" fontId="31" fillId="22" borderId="0" xfId="0" applyNumberFormat="1" applyFont="1" applyFill="1"/>
    <xf numFmtId="165" fontId="32" fillId="6" borderId="0" xfId="0" applyNumberFormat="1" applyFont="1" applyFill="1" applyAlignment="1">
      <alignment horizontal="right" vertical="center"/>
    </xf>
    <xf numFmtId="165" fontId="33" fillId="6" borderId="0" xfId="0" applyNumberFormat="1" applyFont="1" applyFill="1" applyAlignment="1">
      <alignment horizontal="right" vertical="center"/>
    </xf>
    <xf numFmtId="165" fontId="12" fillId="6" borderId="0" xfId="0" applyNumberFormat="1" applyFont="1" applyFill="1" applyAlignment="1">
      <alignment horizontal="right"/>
    </xf>
    <xf numFmtId="165" fontId="5" fillId="8" borderId="0" xfId="0" applyNumberFormat="1" applyFont="1" applyFill="1"/>
    <xf numFmtId="165" fontId="31" fillId="6" borderId="0" xfId="0" applyNumberFormat="1" applyFont="1" applyFill="1"/>
    <xf numFmtId="0" fontId="1" fillId="2" borderId="0" xfId="0" applyFont="1" applyFill="1"/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0" fillId="4" borderId="3" xfId="0" applyFont="1" applyFill="1" applyBorder="1" applyAlignment="1">
      <alignment horizontal="center" vertical="center"/>
    </xf>
    <xf numFmtId="0" fontId="21" fillId="16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30" fillId="21" borderId="0" xfId="0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5F5F5"/>
      <rgbColor rgb="FFFF00FF"/>
      <rgbColor rgb="FF00FFFF"/>
      <rgbColor rgb="FF4A0000"/>
      <rgbColor rgb="FF008000"/>
      <rgbColor rgb="FF0A1828"/>
      <rgbColor rgb="FF7F6000"/>
      <rgbColor rgb="FF800080"/>
      <rgbColor rgb="FF0A7C4E"/>
      <rgbColor rgb="FFBFBFBF"/>
      <rgbColor rgb="FF808080"/>
      <rgbColor rgb="FF9999FF"/>
      <rgbColor rgb="FF7030A0"/>
      <rgbColor rgb="FFFFF3CD"/>
      <rgbColor rgb="FFE6F4ED"/>
      <rgbColor rgb="FF660066"/>
      <rgbColor rgb="FFFC8181"/>
      <rgbColor rgb="FF1A4FA0"/>
      <rgbColor rgb="FFD4D9E2"/>
      <rgbColor rgb="FF1F4E79"/>
      <rgbColor rgb="FFFF00FF"/>
      <rgbColor rgb="FFFFFF00"/>
      <rgbColor rgb="FF00FFFF"/>
      <rgbColor rgb="FF800080"/>
      <rgbColor rgb="FFC00000"/>
      <rgbColor rgb="FF2E75B6"/>
      <rgbColor rgb="FF0000FF"/>
      <rgbColor rgb="FF00CCFF"/>
      <rgbColor rgb="FFE8EDF7"/>
      <rgbColor rgb="FFE2EFDA"/>
      <rgbColor rgb="FFFCE4D6"/>
      <rgbColor rgb="FFF2EAFA"/>
      <rgbColor rgb="FFFCE8EA"/>
      <rgbColor rgb="FFF2F2F2"/>
      <rgbColor rgb="FFFFCCCC"/>
      <rgbColor rgb="FF2F75B6"/>
      <rgbColor rgb="FF68D391"/>
      <rgbColor rgb="FF99CC00"/>
      <rgbColor rgb="FFFFCC00"/>
      <rgbColor rgb="FFF6AD55"/>
      <rgbColor rgb="FFB86E00"/>
      <rgbColor rgb="FF595959"/>
      <rgbColor rgb="FF969696"/>
      <rgbColor rgb="FF0D2D6E"/>
      <rgbColor rgb="FF375623"/>
      <rgbColor rgb="FF1E4620"/>
      <rgbColor rgb="FF4A3000"/>
      <rgbColor rgb="FFC0202E"/>
      <rgbColor rgb="FF993366"/>
      <rgbColor rgb="FF1F3864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Normal="100" workbookViewId="0">
      <selection activeCell="A18" sqref="A18"/>
    </sheetView>
  </sheetViews>
  <sheetFormatPr defaultColWidth="8.7109375" defaultRowHeight="15" x14ac:dyDescent="0.25"/>
  <cols>
    <col min="1" max="1" width="38" customWidth="1"/>
    <col min="2" max="2" width="10" customWidth="1"/>
    <col min="3" max="14" width="9" customWidth="1"/>
    <col min="15" max="15" width="22" customWidth="1"/>
    <col min="16" max="16" width="45" customWidth="1"/>
  </cols>
  <sheetData>
    <row r="1" spans="1:16" ht="21.75" customHeight="1" x14ac:dyDescent="0.2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" customHeight="1" x14ac:dyDescent="0.25">
      <c r="A3" s="2" t="s">
        <v>17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 t="s">
        <v>18</v>
      </c>
      <c r="P3" s="5"/>
    </row>
    <row r="4" spans="1:16" ht="15" customHeight="1" x14ac:dyDescent="0.25">
      <c r="A4" s="6" t="s">
        <v>19</v>
      </c>
      <c r="B4" s="7" t="s">
        <v>20</v>
      </c>
      <c r="C4" s="8">
        <v>16640</v>
      </c>
      <c r="D4" s="8">
        <v>16290</v>
      </c>
      <c r="E4" s="8">
        <v>15750</v>
      </c>
      <c r="F4" s="8">
        <v>15390</v>
      </c>
      <c r="G4" s="8">
        <v>15120</v>
      </c>
      <c r="H4" s="8">
        <v>14820</v>
      </c>
      <c r="I4" s="8">
        <v>14550</v>
      </c>
      <c r="J4" s="8">
        <v>14250</v>
      </c>
      <c r="K4" s="8">
        <v>13940</v>
      </c>
      <c r="L4" s="8">
        <v>13940</v>
      </c>
      <c r="M4" s="8">
        <v>14250</v>
      </c>
      <c r="N4" s="8">
        <v>14250</v>
      </c>
      <c r="O4" s="9" t="s">
        <v>18</v>
      </c>
      <c r="P4" s="9" t="s">
        <v>21</v>
      </c>
    </row>
    <row r="5" spans="1:16" ht="15" customHeight="1" x14ac:dyDescent="0.25">
      <c r="A5" s="6" t="s">
        <v>22</v>
      </c>
      <c r="B5" s="7" t="s">
        <v>20</v>
      </c>
      <c r="C5" s="8">
        <v>286900</v>
      </c>
      <c r="D5" s="8">
        <v>285900</v>
      </c>
      <c r="E5" s="8">
        <v>286200</v>
      </c>
      <c r="F5" s="8">
        <v>285100</v>
      </c>
      <c r="G5" s="8">
        <v>285400</v>
      </c>
      <c r="H5" s="8">
        <v>284800</v>
      </c>
      <c r="I5" s="8">
        <v>285200</v>
      </c>
      <c r="J5" s="8">
        <v>285000</v>
      </c>
      <c r="K5" s="8">
        <v>284700</v>
      </c>
      <c r="L5" s="8">
        <v>284600</v>
      </c>
      <c r="M5" s="8">
        <v>285000</v>
      </c>
      <c r="N5" s="8">
        <v>285000</v>
      </c>
      <c r="O5" s="9" t="s">
        <v>18</v>
      </c>
      <c r="P5" s="9" t="s">
        <v>23</v>
      </c>
    </row>
    <row r="6" spans="1:16" ht="15" customHeight="1" x14ac:dyDescent="0.25">
      <c r="A6" s="6" t="s">
        <v>24</v>
      </c>
      <c r="B6" s="7" t="s">
        <v>20</v>
      </c>
      <c r="C6" s="8">
        <v>8035</v>
      </c>
      <c r="D6" s="8">
        <v>7727</v>
      </c>
      <c r="E6" s="8">
        <v>7446</v>
      </c>
      <c r="F6" s="8">
        <v>7128</v>
      </c>
      <c r="G6" s="8">
        <v>6840</v>
      </c>
      <c r="H6" s="8">
        <v>6552</v>
      </c>
      <c r="I6" s="8">
        <v>6270</v>
      </c>
      <c r="J6" s="8">
        <v>5985</v>
      </c>
      <c r="K6" s="8">
        <v>5985</v>
      </c>
      <c r="L6" s="8">
        <v>5700</v>
      </c>
      <c r="M6" s="8">
        <v>5985</v>
      </c>
      <c r="N6" s="8">
        <v>5985</v>
      </c>
      <c r="O6" s="9" t="s">
        <v>18</v>
      </c>
      <c r="P6" s="9" t="s">
        <v>25</v>
      </c>
    </row>
    <row r="7" spans="1:16" ht="15" customHeight="1" x14ac:dyDescent="0.25">
      <c r="A7" s="6" t="s">
        <v>26</v>
      </c>
      <c r="B7" s="7" t="s">
        <v>20</v>
      </c>
      <c r="C7" s="8">
        <v>286900</v>
      </c>
      <c r="D7" s="8">
        <v>285900</v>
      </c>
      <c r="E7" s="8">
        <v>286200</v>
      </c>
      <c r="F7" s="8">
        <v>285100</v>
      </c>
      <c r="G7" s="8">
        <v>285400</v>
      </c>
      <c r="H7" s="8">
        <v>284800</v>
      </c>
      <c r="I7" s="8">
        <v>285200</v>
      </c>
      <c r="J7" s="8">
        <v>285000</v>
      </c>
      <c r="K7" s="8">
        <v>284700</v>
      </c>
      <c r="L7" s="8">
        <v>284600</v>
      </c>
      <c r="M7" s="8">
        <v>285000</v>
      </c>
      <c r="N7" s="8">
        <v>285000</v>
      </c>
      <c r="O7" s="9" t="s">
        <v>18</v>
      </c>
      <c r="P7" s="9" t="s">
        <v>27</v>
      </c>
    </row>
    <row r="8" spans="1:16" ht="15" customHeight="1" x14ac:dyDescent="0.25">
      <c r="A8" s="6" t="s">
        <v>28</v>
      </c>
      <c r="B8" s="7" t="s">
        <v>20</v>
      </c>
      <c r="C8" s="8">
        <v>9726</v>
      </c>
      <c r="D8" s="8">
        <v>9440</v>
      </c>
      <c r="E8" s="8">
        <v>9589</v>
      </c>
      <c r="F8" s="8">
        <v>9609</v>
      </c>
      <c r="G8" s="8">
        <v>9572</v>
      </c>
      <c r="H8" s="8">
        <v>9377</v>
      </c>
      <c r="I8" s="8">
        <v>9177</v>
      </c>
      <c r="J8" s="8">
        <v>9120</v>
      </c>
      <c r="K8" s="8">
        <v>9120</v>
      </c>
      <c r="L8" s="8">
        <v>9120</v>
      </c>
      <c r="M8" s="8">
        <v>9120</v>
      </c>
      <c r="N8" s="8">
        <v>9120</v>
      </c>
      <c r="O8" s="9" t="s">
        <v>18</v>
      </c>
      <c r="P8" s="9" t="s">
        <v>29</v>
      </c>
    </row>
    <row r="9" spans="1:16" ht="15" customHeight="1" x14ac:dyDescent="0.25">
      <c r="A9" s="6" t="s">
        <v>30</v>
      </c>
      <c r="B9" s="7" t="s">
        <v>20</v>
      </c>
      <c r="C9" s="8">
        <v>3446</v>
      </c>
      <c r="D9" s="8">
        <v>3202</v>
      </c>
      <c r="E9" s="8">
        <v>3161</v>
      </c>
      <c r="F9" s="8">
        <v>3159</v>
      </c>
      <c r="G9" s="8">
        <v>3151</v>
      </c>
      <c r="H9" s="8">
        <v>3302</v>
      </c>
      <c r="I9" s="8">
        <v>3304</v>
      </c>
      <c r="J9" s="8">
        <v>3420</v>
      </c>
      <c r="K9" s="8">
        <v>3420</v>
      </c>
      <c r="L9" s="8">
        <v>3420</v>
      </c>
      <c r="M9" s="8">
        <v>3420</v>
      </c>
      <c r="N9" s="8">
        <v>3420</v>
      </c>
      <c r="O9" s="9" t="s">
        <v>18</v>
      </c>
      <c r="P9" s="9" t="s">
        <v>31</v>
      </c>
    </row>
    <row r="10" spans="1:16" ht="15" customHeight="1" x14ac:dyDescent="0.25">
      <c r="A10" s="6" t="s">
        <v>32</v>
      </c>
      <c r="B10" s="7" t="s">
        <v>20</v>
      </c>
      <c r="C10" s="8">
        <v>1721</v>
      </c>
      <c r="D10" s="8">
        <v>1751</v>
      </c>
      <c r="E10" s="8">
        <v>1723</v>
      </c>
      <c r="F10" s="8">
        <v>1720</v>
      </c>
      <c r="G10" s="8">
        <v>1714</v>
      </c>
      <c r="H10" s="8">
        <v>1709</v>
      </c>
      <c r="I10" s="8">
        <v>1705</v>
      </c>
      <c r="J10" s="8">
        <v>1995</v>
      </c>
      <c r="K10" s="8">
        <v>1995</v>
      </c>
      <c r="L10" s="8">
        <v>1995</v>
      </c>
      <c r="M10" s="8">
        <v>1995</v>
      </c>
      <c r="N10" s="8">
        <v>1995</v>
      </c>
      <c r="O10" s="9" t="s">
        <v>18</v>
      </c>
      <c r="P10" s="9" t="s">
        <v>33</v>
      </c>
    </row>
    <row r="11" spans="1:16" ht="15" customHeight="1" x14ac:dyDescent="0.25">
      <c r="A11" s="6" t="s">
        <v>34</v>
      </c>
      <c r="B11" s="7" t="s">
        <v>20</v>
      </c>
      <c r="C11" s="8">
        <v>12652</v>
      </c>
      <c r="D11" s="8">
        <v>12600</v>
      </c>
      <c r="E11" s="8">
        <v>12350</v>
      </c>
      <c r="F11" s="8">
        <v>12300</v>
      </c>
      <c r="G11" s="8">
        <v>12318</v>
      </c>
      <c r="H11" s="8">
        <v>12319</v>
      </c>
      <c r="I11" s="8">
        <v>12320</v>
      </c>
      <c r="J11" s="8">
        <v>12330</v>
      </c>
      <c r="K11" s="8">
        <v>12000</v>
      </c>
      <c r="L11" s="8">
        <v>12260</v>
      </c>
      <c r="M11" s="8">
        <v>12330</v>
      </c>
      <c r="N11" s="8">
        <v>12330</v>
      </c>
      <c r="O11" s="9" t="s">
        <v>18</v>
      </c>
      <c r="P11" s="9" t="s">
        <v>35</v>
      </c>
    </row>
    <row r="12" spans="1:16" ht="15" customHeight="1" x14ac:dyDescent="0.25">
      <c r="A12" s="6" t="s">
        <v>36</v>
      </c>
      <c r="B12" s="7" t="s">
        <v>20</v>
      </c>
      <c r="C12" s="8">
        <v>12652</v>
      </c>
      <c r="D12" s="8">
        <v>11681</v>
      </c>
      <c r="E12" s="8">
        <v>11692</v>
      </c>
      <c r="F12" s="8">
        <v>10851</v>
      </c>
      <c r="G12" s="8">
        <v>10911</v>
      </c>
      <c r="H12" s="8">
        <v>10817</v>
      </c>
      <c r="I12" s="8">
        <v>11058</v>
      </c>
      <c r="J12" s="8">
        <v>10830</v>
      </c>
      <c r="K12" s="8">
        <v>10829</v>
      </c>
      <c r="L12" s="8">
        <v>10829</v>
      </c>
      <c r="M12" s="8">
        <v>10830</v>
      </c>
      <c r="N12" s="8">
        <v>10830</v>
      </c>
      <c r="O12" s="9" t="s">
        <v>18</v>
      </c>
      <c r="P12" s="9" t="s">
        <v>37</v>
      </c>
    </row>
    <row r="13" spans="1:16" ht="15" customHeight="1" x14ac:dyDescent="0.25">
      <c r="A13" s="6" t="s">
        <v>38</v>
      </c>
      <c r="B13" s="7" t="s">
        <v>20</v>
      </c>
      <c r="C13" s="8">
        <v>16640</v>
      </c>
      <c r="D13" s="8">
        <v>16290</v>
      </c>
      <c r="E13" s="8">
        <v>15750</v>
      </c>
      <c r="F13" s="8">
        <v>15390</v>
      </c>
      <c r="G13" s="8">
        <v>15120</v>
      </c>
      <c r="H13" s="8">
        <v>14820</v>
      </c>
      <c r="I13" s="8">
        <v>14550</v>
      </c>
      <c r="J13" s="8">
        <v>14250</v>
      </c>
      <c r="K13" s="8">
        <v>13940</v>
      </c>
      <c r="L13" s="8">
        <v>13940</v>
      </c>
      <c r="M13" s="8">
        <v>14250</v>
      </c>
      <c r="N13" s="8">
        <v>14250</v>
      </c>
      <c r="O13" s="9" t="s">
        <v>39</v>
      </c>
      <c r="P13" s="9" t="s">
        <v>40</v>
      </c>
    </row>
    <row r="14" spans="1:16" ht="15" customHeight="1" x14ac:dyDescent="0.25">
      <c r="A14" s="6" t="s">
        <v>41</v>
      </c>
      <c r="B14" s="7" t="s">
        <v>20</v>
      </c>
      <c r="C14" s="8">
        <v>10234</v>
      </c>
      <c r="D14" s="8">
        <v>10027</v>
      </c>
      <c r="E14" s="8">
        <v>9945</v>
      </c>
      <c r="F14" s="8">
        <v>9752</v>
      </c>
      <c r="G14" s="8">
        <v>9645</v>
      </c>
      <c r="H14" s="8">
        <v>9408</v>
      </c>
      <c r="I14" s="8">
        <v>9249</v>
      </c>
      <c r="J14" s="8">
        <v>8992</v>
      </c>
      <c r="K14" s="8">
        <v>8808</v>
      </c>
      <c r="L14" s="8">
        <v>8808</v>
      </c>
      <c r="M14" s="8">
        <v>8992</v>
      </c>
      <c r="N14" s="8">
        <v>8992</v>
      </c>
      <c r="O14" s="9" t="s">
        <v>39</v>
      </c>
      <c r="P14" s="9" t="s">
        <v>42</v>
      </c>
    </row>
    <row r="15" spans="1:16" ht="15" customHeight="1" x14ac:dyDescent="0.25">
      <c r="A15" s="2" t="s">
        <v>43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 t="s">
        <v>44</v>
      </c>
      <c r="P15" s="5"/>
    </row>
    <row r="16" spans="1:16" ht="15" customHeight="1" x14ac:dyDescent="0.25">
      <c r="A16" s="6" t="s">
        <v>45</v>
      </c>
      <c r="B16" s="7" t="s">
        <v>20</v>
      </c>
      <c r="C16" s="8">
        <v>720</v>
      </c>
      <c r="D16" s="8">
        <v>680</v>
      </c>
      <c r="E16" s="8">
        <v>660</v>
      </c>
      <c r="F16" s="8">
        <v>665</v>
      </c>
      <c r="G16" s="8">
        <v>630</v>
      </c>
      <c r="H16" s="8">
        <v>640</v>
      </c>
      <c r="I16" s="8">
        <v>640</v>
      </c>
      <c r="J16" s="8">
        <v>650</v>
      </c>
      <c r="K16" s="8">
        <v>650</v>
      </c>
      <c r="L16" s="8">
        <v>640</v>
      </c>
      <c r="M16" s="8">
        <v>640</v>
      </c>
      <c r="N16" s="8">
        <v>640</v>
      </c>
      <c r="O16" s="9" t="s">
        <v>46</v>
      </c>
      <c r="P16" s="9" t="s">
        <v>47</v>
      </c>
    </row>
    <row r="17" spans="1:16" ht="15" customHeight="1" x14ac:dyDescent="0.25">
      <c r="A17" s="6" t="s">
        <v>48</v>
      </c>
      <c r="B17" s="7" t="s">
        <v>20</v>
      </c>
      <c r="C17" s="8">
        <v>1000</v>
      </c>
      <c r="D17" s="8">
        <v>1000</v>
      </c>
      <c r="E17" s="8">
        <v>1000</v>
      </c>
      <c r="F17" s="8">
        <v>1000</v>
      </c>
      <c r="G17" s="8">
        <v>1000</v>
      </c>
      <c r="H17" s="8">
        <v>1000</v>
      </c>
      <c r="I17" s="8">
        <v>1000</v>
      </c>
      <c r="J17" s="8">
        <v>1000</v>
      </c>
      <c r="K17" s="8">
        <v>1000</v>
      </c>
      <c r="L17" s="8">
        <v>1000</v>
      </c>
      <c r="M17" s="8">
        <v>1000</v>
      </c>
      <c r="N17" s="8">
        <v>1000</v>
      </c>
      <c r="O17" s="9" t="s">
        <v>46</v>
      </c>
      <c r="P17" s="9" t="s">
        <v>49</v>
      </c>
    </row>
    <row r="18" spans="1:16" ht="15" customHeight="1" x14ac:dyDescent="0.25">
      <c r="A18" s="6" t="s">
        <v>50</v>
      </c>
      <c r="B18" s="7" t="s">
        <v>20</v>
      </c>
      <c r="C18" s="8">
        <v>4250</v>
      </c>
      <c r="D18" s="8">
        <v>4300</v>
      </c>
      <c r="E18" s="8">
        <v>4280</v>
      </c>
      <c r="F18" s="8">
        <v>4210</v>
      </c>
      <c r="G18" s="8">
        <v>4150</v>
      </c>
      <c r="H18" s="8">
        <v>4100</v>
      </c>
      <c r="I18" s="8">
        <v>4080</v>
      </c>
      <c r="J18" s="8">
        <v>4060</v>
      </c>
      <c r="K18" s="8">
        <v>4050</v>
      </c>
      <c r="L18" s="8">
        <v>4050</v>
      </c>
      <c r="M18" s="8">
        <v>4050</v>
      </c>
      <c r="N18" s="8">
        <v>4050</v>
      </c>
      <c r="O18" s="9" t="s">
        <v>46</v>
      </c>
      <c r="P18" s="9" t="s">
        <v>51</v>
      </c>
    </row>
    <row r="19" spans="1:16" ht="15" customHeight="1" x14ac:dyDescent="0.25">
      <c r="A19" s="6" t="s">
        <v>52</v>
      </c>
      <c r="B19" s="7" t="s">
        <v>20</v>
      </c>
      <c r="C19" s="8">
        <v>1820</v>
      </c>
      <c r="D19" s="8">
        <v>1800</v>
      </c>
      <c r="E19" s="8">
        <v>1780</v>
      </c>
      <c r="F19" s="8">
        <v>1760</v>
      </c>
      <c r="G19" s="8">
        <v>1750</v>
      </c>
      <c r="H19" s="8">
        <v>1740</v>
      </c>
      <c r="I19" s="8">
        <v>1730</v>
      </c>
      <c r="J19" s="8">
        <v>1720</v>
      </c>
      <c r="K19" s="8">
        <v>1720</v>
      </c>
      <c r="L19" s="8">
        <v>1720</v>
      </c>
      <c r="M19" s="8">
        <v>1720</v>
      </c>
      <c r="N19" s="8">
        <v>1720</v>
      </c>
      <c r="O19" s="9" t="s">
        <v>46</v>
      </c>
      <c r="P19" s="9" t="s">
        <v>53</v>
      </c>
    </row>
    <row r="20" spans="1:16" ht="15" customHeight="1" x14ac:dyDescent="0.25">
      <c r="A20" s="6" t="s">
        <v>54</v>
      </c>
      <c r="B20" s="7" t="s">
        <v>20</v>
      </c>
      <c r="C20" s="8">
        <v>92</v>
      </c>
      <c r="D20" s="8">
        <v>94</v>
      </c>
      <c r="E20" s="8">
        <v>91</v>
      </c>
      <c r="F20" s="8">
        <v>88</v>
      </c>
      <c r="G20" s="8">
        <v>85</v>
      </c>
      <c r="H20" s="8">
        <v>87</v>
      </c>
      <c r="I20" s="8">
        <v>88</v>
      </c>
      <c r="J20" s="8">
        <v>89</v>
      </c>
      <c r="K20" s="8">
        <v>90</v>
      </c>
      <c r="L20" s="8">
        <v>88</v>
      </c>
      <c r="M20" s="8">
        <v>88</v>
      </c>
      <c r="N20" s="8">
        <v>88</v>
      </c>
      <c r="O20" s="9" t="s">
        <v>55</v>
      </c>
      <c r="P20" s="9" t="s">
        <v>56</v>
      </c>
    </row>
    <row r="21" spans="1:16" ht="15" customHeight="1" x14ac:dyDescent="0.25">
      <c r="A21" s="6" t="s">
        <v>57</v>
      </c>
      <c r="B21" s="7" t="s">
        <v>58</v>
      </c>
      <c r="C21" s="8">
        <v>5420</v>
      </c>
      <c r="D21" s="8">
        <v>5380</v>
      </c>
      <c r="E21" s="8">
        <v>5350</v>
      </c>
      <c r="F21" s="8">
        <v>5320</v>
      </c>
      <c r="G21" s="8">
        <v>5290</v>
      </c>
      <c r="H21" s="8">
        <v>5260</v>
      </c>
      <c r="I21" s="8">
        <v>5240</v>
      </c>
      <c r="J21" s="8">
        <v>5220</v>
      </c>
      <c r="K21" s="8">
        <v>5200</v>
      </c>
      <c r="L21" s="8">
        <v>5200</v>
      </c>
      <c r="M21" s="8">
        <v>5200</v>
      </c>
      <c r="N21" s="8">
        <v>5200</v>
      </c>
      <c r="O21" s="9" t="s">
        <v>59</v>
      </c>
      <c r="P21" s="9" t="s">
        <v>60</v>
      </c>
    </row>
    <row r="22" spans="1:16" ht="15" customHeight="1" x14ac:dyDescent="0.25">
      <c r="A22" s="6" t="s">
        <v>61</v>
      </c>
      <c r="B22" s="7" t="s">
        <v>58</v>
      </c>
      <c r="C22" s="8">
        <v>9000</v>
      </c>
      <c r="D22" s="8">
        <v>9000</v>
      </c>
      <c r="E22" s="8">
        <v>9000</v>
      </c>
      <c r="F22" s="8">
        <v>9000</v>
      </c>
      <c r="G22" s="8">
        <v>9000</v>
      </c>
      <c r="H22" s="8">
        <v>9000</v>
      </c>
      <c r="I22" s="8">
        <v>9000</v>
      </c>
      <c r="J22" s="8">
        <v>9000</v>
      </c>
      <c r="K22" s="8">
        <v>9000</v>
      </c>
      <c r="L22" s="8">
        <v>9000</v>
      </c>
      <c r="M22" s="8">
        <v>9000</v>
      </c>
      <c r="N22" s="8">
        <v>9000</v>
      </c>
      <c r="O22" s="9" t="s">
        <v>59</v>
      </c>
      <c r="P22" s="9" t="s">
        <v>49</v>
      </c>
    </row>
    <row r="23" spans="1:16" ht="15" customHeight="1" x14ac:dyDescent="0.25">
      <c r="A23" s="2" t="s">
        <v>62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 t="s">
        <v>63</v>
      </c>
      <c r="P23" s="5"/>
    </row>
    <row r="24" spans="1:16" ht="15" customHeight="1" x14ac:dyDescent="0.25">
      <c r="A24" s="6" t="s">
        <v>64</v>
      </c>
      <c r="B24" s="7" t="s">
        <v>20</v>
      </c>
      <c r="C24" s="8">
        <v>0.14000000000000001</v>
      </c>
      <c r="D24" s="8">
        <v>0.13</v>
      </c>
      <c r="E24" s="8">
        <v>0.13</v>
      </c>
      <c r="F24" s="8">
        <v>0.12</v>
      </c>
      <c r="G24" s="8">
        <v>0.13</v>
      </c>
      <c r="H24" s="8">
        <v>0.12</v>
      </c>
      <c r="I24" s="8">
        <v>0.12</v>
      </c>
      <c r="J24" s="8">
        <v>0.12</v>
      </c>
      <c r="K24" s="8">
        <v>0.12</v>
      </c>
      <c r="L24" s="8">
        <v>0.11</v>
      </c>
      <c r="M24" s="8">
        <v>0.12</v>
      </c>
      <c r="N24" s="8">
        <v>0.12</v>
      </c>
      <c r="O24" s="9" t="s">
        <v>65</v>
      </c>
      <c r="P24" s="9" t="s">
        <v>66</v>
      </c>
    </row>
    <row r="25" spans="1:16" ht="15" customHeight="1" x14ac:dyDescent="0.25">
      <c r="A25" s="6" t="s">
        <v>67</v>
      </c>
      <c r="B25" s="7" t="s">
        <v>20</v>
      </c>
      <c r="C25" s="8">
        <v>11667</v>
      </c>
      <c r="D25" s="8">
        <v>11667</v>
      </c>
      <c r="E25" s="8">
        <v>11667</v>
      </c>
      <c r="F25" s="8">
        <v>11667</v>
      </c>
      <c r="G25" s="8">
        <v>11667</v>
      </c>
      <c r="H25" s="8">
        <v>11667</v>
      </c>
      <c r="I25" s="8">
        <v>11667</v>
      </c>
      <c r="J25" s="8">
        <v>11667</v>
      </c>
      <c r="K25" s="8">
        <v>11667</v>
      </c>
      <c r="L25" s="8">
        <v>11667</v>
      </c>
      <c r="M25" s="8">
        <v>11667</v>
      </c>
      <c r="N25" s="8">
        <v>11667</v>
      </c>
      <c r="O25" s="9" t="s">
        <v>68</v>
      </c>
      <c r="P25" s="9" t="s">
        <v>69</v>
      </c>
    </row>
    <row r="26" spans="1:16" ht="15" customHeight="1" x14ac:dyDescent="0.25">
      <c r="A26" s="6" t="s">
        <v>70</v>
      </c>
      <c r="B26" s="7" t="s">
        <v>71</v>
      </c>
      <c r="C26" s="8">
        <v>3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3</v>
      </c>
      <c r="O26" s="9" t="s">
        <v>65</v>
      </c>
      <c r="P26" s="9" t="s">
        <v>72</v>
      </c>
    </row>
    <row r="27" spans="1:16" ht="15" customHeight="1" x14ac:dyDescent="0.25">
      <c r="A27" s="6" t="s">
        <v>73</v>
      </c>
      <c r="B27" s="7" t="s">
        <v>71</v>
      </c>
      <c r="C27" s="8">
        <v>20</v>
      </c>
      <c r="D27" s="8">
        <v>20</v>
      </c>
      <c r="E27" s="8">
        <v>19</v>
      </c>
      <c r="F27" s="8">
        <v>18</v>
      </c>
      <c r="G27" s="8">
        <v>18</v>
      </c>
      <c r="H27" s="8">
        <v>18</v>
      </c>
      <c r="I27" s="8">
        <v>18</v>
      </c>
      <c r="J27" s="8">
        <v>18</v>
      </c>
      <c r="K27" s="8">
        <v>18</v>
      </c>
      <c r="L27" s="8">
        <v>18</v>
      </c>
      <c r="M27" s="8">
        <v>18</v>
      </c>
      <c r="N27" s="8">
        <v>18</v>
      </c>
      <c r="O27" s="9" t="s">
        <v>74</v>
      </c>
      <c r="P27" s="9" t="s">
        <v>75</v>
      </c>
    </row>
    <row r="28" spans="1:16" ht="15" customHeight="1" x14ac:dyDescent="0.25">
      <c r="A28" s="2" t="s">
        <v>76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 t="s">
        <v>77</v>
      </c>
      <c r="P28" s="5"/>
    </row>
    <row r="29" spans="1:16" ht="15" customHeight="1" x14ac:dyDescent="0.25">
      <c r="A29" s="6" t="s">
        <v>78</v>
      </c>
      <c r="B29" s="7" t="s">
        <v>20</v>
      </c>
      <c r="C29" s="8">
        <v>356000</v>
      </c>
      <c r="D29" s="8">
        <v>358000</v>
      </c>
      <c r="E29" s="8">
        <v>360000</v>
      </c>
      <c r="F29" s="8">
        <v>362000</v>
      </c>
      <c r="G29" s="8">
        <v>364000</v>
      </c>
      <c r="H29" s="8">
        <v>366000</v>
      </c>
      <c r="I29" s="8">
        <v>366000</v>
      </c>
      <c r="J29" s="8">
        <v>366000</v>
      </c>
      <c r="K29" s="8">
        <v>359199</v>
      </c>
      <c r="L29" s="8">
        <v>362448</v>
      </c>
      <c r="M29" s="8">
        <v>366393</v>
      </c>
      <c r="N29" s="8">
        <v>372064</v>
      </c>
      <c r="O29" s="9" t="s">
        <v>79</v>
      </c>
      <c r="P29" s="9" t="s">
        <v>80</v>
      </c>
    </row>
    <row r="30" spans="1:16" ht="15" customHeight="1" x14ac:dyDescent="0.25">
      <c r="A30" s="6" t="s">
        <v>81</v>
      </c>
      <c r="B30" s="7" t="s">
        <v>20</v>
      </c>
      <c r="C30" s="8">
        <v>374000</v>
      </c>
      <c r="D30" s="8">
        <v>376000</v>
      </c>
      <c r="E30" s="8">
        <v>378000</v>
      </c>
      <c r="F30" s="8">
        <v>380000</v>
      </c>
      <c r="G30" s="8">
        <v>382000</v>
      </c>
      <c r="H30" s="8">
        <v>384000</v>
      </c>
      <c r="I30" s="8">
        <v>384000</v>
      </c>
      <c r="J30" s="8">
        <v>384000</v>
      </c>
      <c r="K30" s="8">
        <v>379036</v>
      </c>
      <c r="L30" s="8">
        <v>382633</v>
      </c>
      <c r="M30" s="8">
        <v>386361</v>
      </c>
      <c r="N30" s="8">
        <v>392022</v>
      </c>
      <c r="O30" s="9" t="s">
        <v>79</v>
      </c>
      <c r="P30" s="9"/>
    </row>
    <row r="31" spans="1:16" ht="15" customHeight="1" x14ac:dyDescent="0.25">
      <c r="A31" s="6" t="s">
        <v>82</v>
      </c>
      <c r="B31" s="7" t="s">
        <v>20</v>
      </c>
      <c r="C31" s="8">
        <v>436000</v>
      </c>
      <c r="D31" s="8">
        <v>438000</v>
      </c>
      <c r="E31" s="8">
        <v>440000</v>
      </c>
      <c r="F31" s="8">
        <v>442000</v>
      </c>
      <c r="G31" s="8">
        <v>444000</v>
      </c>
      <c r="H31" s="8">
        <v>446000</v>
      </c>
      <c r="I31" s="8">
        <v>446000</v>
      </c>
      <c r="J31" s="8">
        <v>446000</v>
      </c>
      <c r="K31" s="8">
        <v>444897</v>
      </c>
      <c r="L31" s="8">
        <v>448727</v>
      </c>
      <c r="M31" s="8">
        <v>454008</v>
      </c>
      <c r="N31" s="8">
        <v>460108</v>
      </c>
      <c r="O31" s="9" t="s">
        <v>79</v>
      </c>
      <c r="P31" s="9"/>
    </row>
    <row r="32" spans="1:16" ht="15" customHeight="1" x14ac:dyDescent="0.25">
      <c r="A32" s="6" t="s">
        <v>83</v>
      </c>
      <c r="B32" s="7" t="s">
        <v>20</v>
      </c>
      <c r="C32" s="8">
        <v>2280000</v>
      </c>
      <c r="D32" s="8">
        <v>2285000</v>
      </c>
      <c r="E32" s="8">
        <v>2290000</v>
      </c>
      <c r="F32" s="8">
        <v>2295000</v>
      </c>
      <c r="G32" s="8">
        <v>2300000</v>
      </c>
      <c r="H32" s="8">
        <v>2305000</v>
      </c>
      <c r="I32" s="8">
        <v>2310000</v>
      </c>
      <c r="J32" s="8">
        <v>2315000</v>
      </c>
      <c r="K32" s="8">
        <v>2300775</v>
      </c>
      <c r="L32" s="8">
        <v>2323874</v>
      </c>
      <c r="M32" s="8">
        <v>2363920</v>
      </c>
      <c r="N32" s="8">
        <v>2381080</v>
      </c>
      <c r="O32" s="9" t="s">
        <v>79</v>
      </c>
      <c r="P32" s="9"/>
    </row>
    <row r="33" spans="1:16" ht="15" customHeight="1" x14ac:dyDescent="0.25">
      <c r="A33" s="6" t="s">
        <v>84</v>
      </c>
      <c r="B33" s="7" t="s">
        <v>20</v>
      </c>
      <c r="C33" s="8">
        <v>24800000</v>
      </c>
      <c r="D33" s="8">
        <v>24900000</v>
      </c>
      <c r="E33" s="8">
        <v>25000000</v>
      </c>
      <c r="F33" s="8">
        <v>25100000</v>
      </c>
      <c r="G33" s="8">
        <v>25200000</v>
      </c>
      <c r="H33" s="8">
        <v>25300000</v>
      </c>
      <c r="I33" s="8">
        <v>25400000</v>
      </c>
      <c r="J33" s="8">
        <v>25500000</v>
      </c>
      <c r="K33" s="8">
        <v>25357612</v>
      </c>
      <c r="L33" s="8">
        <v>24654381</v>
      </c>
      <c r="M33" s="8">
        <v>26351120</v>
      </c>
      <c r="N33" s="8">
        <v>25265818</v>
      </c>
      <c r="O33" s="9" t="s">
        <v>79</v>
      </c>
      <c r="P33" s="9" t="s">
        <v>85</v>
      </c>
    </row>
    <row r="34" spans="1:16" ht="15" customHeight="1" x14ac:dyDescent="0.25">
      <c r="A34" s="2" t="s">
        <v>86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 t="s">
        <v>87</v>
      </c>
      <c r="P34" s="5"/>
    </row>
    <row r="35" spans="1:16" ht="15" customHeight="1" x14ac:dyDescent="0.25">
      <c r="A35" s="6" t="s">
        <v>88</v>
      </c>
      <c r="B35" s="7" t="s">
        <v>20</v>
      </c>
      <c r="C35" s="8">
        <v>6800</v>
      </c>
      <c r="D35" s="8">
        <v>7100</v>
      </c>
      <c r="E35" s="8">
        <v>7200</v>
      </c>
      <c r="F35" s="8">
        <v>7500</v>
      </c>
      <c r="G35" s="8">
        <v>7600</v>
      </c>
      <c r="H35" s="8">
        <v>7800</v>
      </c>
      <c r="I35" s="8">
        <v>8000</v>
      </c>
      <c r="J35" s="8">
        <v>8200</v>
      </c>
      <c r="K35" s="8">
        <v>8400</v>
      </c>
      <c r="L35" s="8">
        <v>8500</v>
      </c>
      <c r="M35" s="8">
        <v>8200</v>
      </c>
      <c r="N35" s="8">
        <v>8200</v>
      </c>
      <c r="O35" s="9" t="s">
        <v>89</v>
      </c>
      <c r="P35" s="9" t="s">
        <v>90</v>
      </c>
    </row>
    <row r="36" spans="1:16" ht="15" customHeight="1" x14ac:dyDescent="0.25">
      <c r="A36" s="6" t="s">
        <v>91</v>
      </c>
      <c r="B36" s="7" t="s">
        <v>20</v>
      </c>
      <c r="C36" s="8">
        <v>5763</v>
      </c>
      <c r="D36" s="8">
        <v>5917</v>
      </c>
      <c r="E36" s="8">
        <v>5902</v>
      </c>
      <c r="F36" s="8">
        <v>6048</v>
      </c>
      <c r="G36" s="8">
        <v>6080</v>
      </c>
      <c r="H36" s="8">
        <v>6191</v>
      </c>
      <c r="I36" s="8">
        <v>6299</v>
      </c>
      <c r="J36" s="8">
        <v>6406</v>
      </c>
      <c r="K36" s="8">
        <v>6512</v>
      </c>
      <c r="L36" s="8">
        <v>6538</v>
      </c>
      <c r="M36" s="8">
        <v>6406</v>
      </c>
      <c r="N36" s="8">
        <v>6406</v>
      </c>
      <c r="O36" s="9" t="s">
        <v>89</v>
      </c>
      <c r="P36" s="9" t="s">
        <v>92</v>
      </c>
    </row>
    <row r="37" spans="1:16" ht="15" customHeight="1" x14ac:dyDescent="0.25">
      <c r="A37" s="6" t="s">
        <v>93</v>
      </c>
      <c r="B37" s="7" t="s">
        <v>20</v>
      </c>
      <c r="C37" s="8">
        <v>130000</v>
      </c>
      <c r="D37" s="8">
        <v>131000</v>
      </c>
      <c r="E37" s="8">
        <v>132000</v>
      </c>
      <c r="F37" s="8">
        <v>133000</v>
      </c>
      <c r="G37" s="8">
        <v>134000</v>
      </c>
      <c r="H37" s="8">
        <v>135000</v>
      </c>
      <c r="I37" s="8">
        <v>136000</v>
      </c>
      <c r="J37" s="8">
        <v>137000</v>
      </c>
      <c r="K37" s="8">
        <v>138000</v>
      </c>
      <c r="L37" s="8">
        <v>139000</v>
      </c>
      <c r="M37" s="8">
        <v>137000</v>
      </c>
      <c r="N37" s="8">
        <v>137000</v>
      </c>
      <c r="O37" s="9" t="s">
        <v>89</v>
      </c>
      <c r="P37" s="9" t="s">
        <v>94</v>
      </c>
    </row>
    <row r="38" spans="1:16" ht="15" customHeight="1" x14ac:dyDescent="0.25">
      <c r="A38" s="6" t="s">
        <v>95</v>
      </c>
      <c r="B38" s="7" t="s">
        <v>20</v>
      </c>
      <c r="C38" s="8">
        <v>120000</v>
      </c>
      <c r="D38" s="8">
        <v>120183</v>
      </c>
      <c r="E38" s="8">
        <v>120000</v>
      </c>
      <c r="F38" s="8">
        <v>119800</v>
      </c>
      <c r="G38" s="8">
        <v>120721</v>
      </c>
      <c r="H38" s="8">
        <v>120536</v>
      </c>
      <c r="I38" s="8">
        <v>121429</v>
      </c>
      <c r="J38" s="8">
        <v>121239</v>
      </c>
      <c r="K38" s="8">
        <v>123214</v>
      </c>
      <c r="L38" s="8">
        <v>123009</v>
      </c>
      <c r="M38" s="8">
        <v>121239</v>
      </c>
      <c r="N38" s="8">
        <v>121239</v>
      </c>
      <c r="O38" s="9" t="s">
        <v>89</v>
      </c>
      <c r="P38" s="9" t="s">
        <v>96</v>
      </c>
    </row>
    <row r="39" spans="1:16" ht="15" customHeight="1" x14ac:dyDescent="0.25">
      <c r="A39" s="6" t="s">
        <v>97</v>
      </c>
      <c r="B39" s="7" t="s">
        <v>98</v>
      </c>
      <c r="C39" s="8">
        <v>23.06</v>
      </c>
      <c r="D39" s="8">
        <v>21.85</v>
      </c>
      <c r="E39" s="8">
        <v>22.06</v>
      </c>
      <c r="F39" s="8">
        <v>22.82</v>
      </c>
      <c r="G39" s="8">
        <v>23.25</v>
      </c>
      <c r="H39" s="8">
        <v>22.62</v>
      </c>
      <c r="I39" s="8">
        <v>22.71</v>
      </c>
      <c r="J39" s="8">
        <v>22.6</v>
      </c>
      <c r="K39" s="8">
        <v>23.06</v>
      </c>
      <c r="L39" s="8">
        <v>22.6</v>
      </c>
      <c r="M39" s="8">
        <v>22.6</v>
      </c>
      <c r="N39" s="8">
        <v>22.6</v>
      </c>
      <c r="O39" s="9" t="s">
        <v>99</v>
      </c>
      <c r="P39" s="9" t="s">
        <v>100</v>
      </c>
    </row>
    <row r="40" spans="1:16" ht="15" customHeight="1" x14ac:dyDescent="0.25">
      <c r="A40" s="6" t="s">
        <v>101</v>
      </c>
      <c r="B40" s="7" t="s">
        <v>98</v>
      </c>
      <c r="C40" s="8">
        <v>4</v>
      </c>
      <c r="D40" s="8">
        <v>4.5</v>
      </c>
      <c r="E40" s="8">
        <v>4.5</v>
      </c>
      <c r="F40" s="8">
        <v>4.5</v>
      </c>
      <c r="G40" s="8">
        <v>4</v>
      </c>
      <c r="H40" s="8">
        <v>4.5</v>
      </c>
      <c r="I40" s="8">
        <v>4.5</v>
      </c>
      <c r="J40" s="8">
        <v>4.5</v>
      </c>
      <c r="K40" s="8">
        <v>4</v>
      </c>
      <c r="L40" s="8">
        <v>4.5</v>
      </c>
      <c r="M40" s="8">
        <v>4.5</v>
      </c>
      <c r="N40" s="8">
        <v>4.5</v>
      </c>
      <c r="O40" s="9" t="s">
        <v>99</v>
      </c>
      <c r="P40" s="9" t="s">
        <v>102</v>
      </c>
    </row>
    <row r="41" spans="1:16" ht="15" customHeight="1" x14ac:dyDescent="0.25">
      <c r="A41" s="6" t="s">
        <v>103</v>
      </c>
      <c r="B41" s="7" t="s">
        <v>20</v>
      </c>
      <c r="C41" s="8">
        <v>-3800</v>
      </c>
      <c r="D41" s="8">
        <v>-3500</v>
      </c>
      <c r="E41" s="8">
        <v>-3200</v>
      </c>
      <c r="F41" s="8">
        <v>-2900</v>
      </c>
      <c r="G41" s="8">
        <v>-2700</v>
      </c>
      <c r="H41" s="8">
        <v>-2600</v>
      </c>
      <c r="I41" s="8">
        <v>-2500</v>
      </c>
      <c r="J41" s="8">
        <v>-2400</v>
      </c>
      <c r="K41" s="8">
        <v>-2400</v>
      </c>
      <c r="L41" s="8">
        <v>-2400</v>
      </c>
      <c r="M41" s="8">
        <v>-2400</v>
      </c>
      <c r="N41" s="8">
        <v>-2400</v>
      </c>
      <c r="O41" s="9" t="s">
        <v>89</v>
      </c>
      <c r="P41" s="9" t="s">
        <v>104</v>
      </c>
    </row>
    <row r="42" spans="1:16" ht="15" customHeight="1" x14ac:dyDescent="0.25">
      <c r="A42" s="2" t="s">
        <v>105</v>
      </c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 t="s">
        <v>106</v>
      </c>
      <c r="P42" s="5"/>
    </row>
    <row r="43" spans="1:16" ht="15" customHeight="1" x14ac:dyDescent="0.25">
      <c r="A43" s="6" t="s">
        <v>107</v>
      </c>
      <c r="B43" s="7" t="s">
        <v>98</v>
      </c>
      <c r="C43" s="8">
        <v>-4.2</v>
      </c>
      <c r="D43" s="8">
        <v>-4</v>
      </c>
      <c r="E43" s="8">
        <v>-3.8</v>
      </c>
      <c r="F43" s="8">
        <v>-3.6</v>
      </c>
      <c r="G43" s="8">
        <v>-3.5</v>
      </c>
      <c r="H43" s="8">
        <v>-3.4</v>
      </c>
      <c r="I43" s="8">
        <v>-3.3</v>
      </c>
      <c r="J43" s="8">
        <v>-3.2</v>
      </c>
      <c r="K43" s="8">
        <v>-3.2</v>
      </c>
      <c r="L43" s="8">
        <v>-3.1</v>
      </c>
      <c r="M43" s="8">
        <v>-3.2</v>
      </c>
      <c r="N43" s="8">
        <v>-3.2</v>
      </c>
      <c r="O43" s="9" t="s">
        <v>89</v>
      </c>
      <c r="P43" s="9" t="s">
        <v>108</v>
      </c>
    </row>
    <row r="44" spans="1:16" ht="15" customHeight="1" x14ac:dyDescent="0.25">
      <c r="A44" s="6" t="s">
        <v>109</v>
      </c>
      <c r="B44" s="7" t="s">
        <v>110</v>
      </c>
      <c r="C44" s="8">
        <v>-6.8</v>
      </c>
      <c r="D44" s="8">
        <v>-6.7</v>
      </c>
      <c r="E44" s="8">
        <v>-6.6</v>
      </c>
      <c r="F44" s="8">
        <v>-6.5</v>
      </c>
      <c r="G44" s="8">
        <v>-6.5</v>
      </c>
      <c r="H44" s="8">
        <v>-6.4</v>
      </c>
      <c r="I44" s="8">
        <v>-6.3</v>
      </c>
      <c r="J44" s="8">
        <v>-6.2</v>
      </c>
      <c r="K44" s="8">
        <v>-6.2</v>
      </c>
      <c r="L44" s="8">
        <v>-6.1</v>
      </c>
      <c r="M44" s="8">
        <v>-6.2</v>
      </c>
      <c r="N44" s="8">
        <v>-6.2</v>
      </c>
      <c r="O44" s="9" t="s">
        <v>89</v>
      </c>
      <c r="P44" s="9" t="s">
        <v>111</v>
      </c>
    </row>
    <row r="45" spans="1:16" ht="15" customHeight="1" x14ac:dyDescent="0.25">
      <c r="A45" s="6" t="s">
        <v>112</v>
      </c>
      <c r="B45" s="7" t="s">
        <v>113</v>
      </c>
      <c r="C45" s="8">
        <v>1.4</v>
      </c>
      <c r="D45" s="8">
        <v>1.4</v>
      </c>
      <c r="E45" s="8">
        <v>1.3</v>
      </c>
      <c r="F45" s="8">
        <v>1.3</v>
      </c>
      <c r="G45" s="8">
        <v>1.2</v>
      </c>
      <c r="H45" s="8">
        <v>1.2</v>
      </c>
      <c r="I45" s="8">
        <v>1.2</v>
      </c>
      <c r="J45" s="8">
        <v>1.2</v>
      </c>
      <c r="K45" s="8">
        <v>1.2</v>
      </c>
      <c r="L45" s="8">
        <v>1.1000000000000001</v>
      </c>
      <c r="M45" s="8">
        <v>1.2</v>
      </c>
      <c r="N45" s="8">
        <v>1.2</v>
      </c>
      <c r="O45" s="9" t="s">
        <v>89</v>
      </c>
      <c r="P45" s="9" t="s">
        <v>114</v>
      </c>
    </row>
    <row r="46" spans="1:16" ht="15" customHeight="1" x14ac:dyDescent="0.25">
      <c r="A46" s="6" t="s">
        <v>115</v>
      </c>
      <c r="B46" s="7" t="s">
        <v>98</v>
      </c>
      <c r="C46" s="8">
        <v>-4.5</v>
      </c>
      <c r="D46" s="8">
        <v>-4.3</v>
      </c>
      <c r="E46" s="8">
        <v>-4.2</v>
      </c>
      <c r="F46" s="8">
        <v>-4.2</v>
      </c>
      <c r="G46" s="8">
        <v>-4.0999999999999996</v>
      </c>
      <c r="H46" s="8">
        <v>-4</v>
      </c>
      <c r="I46" s="8">
        <v>-4</v>
      </c>
      <c r="J46" s="8">
        <v>-4.0999999999999996</v>
      </c>
      <c r="K46" s="8">
        <v>-4.0999999999999996</v>
      </c>
      <c r="L46" s="8">
        <v>-4.0999999999999996</v>
      </c>
      <c r="M46" s="8">
        <v>-4.0999999999999996</v>
      </c>
      <c r="N46" s="8">
        <v>-4.0999999999999996</v>
      </c>
      <c r="O46" s="9" t="s">
        <v>89</v>
      </c>
      <c r="P46" s="9" t="s">
        <v>116</v>
      </c>
    </row>
    <row r="47" spans="1:16" ht="15" customHeight="1" x14ac:dyDescent="0.25">
      <c r="A47" s="2" t="s">
        <v>117</v>
      </c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 t="s">
        <v>118</v>
      </c>
      <c r="P47" s="5"/>
    </row>
    <row r="48" spans="1:16" ht="15" customHeight="1" x14ac:dyDescent="0.25">
      <c r="A48" s="6" t="s">
        <v>119</v>
      </c>
      <c r="B48" s="7" t="s">
        <v>20</v>
      </c>
      <c r="C48" s="8">
        <v>5200</v>
      </c>
      <c r="D48" s="8">
        <v>5100</v>
      </c>
      <c r="E48" s="8">
        <v>5000</v>
      </c>
      <c r="F48" s="8">
        <v>4900</v>
      </c>
      <c r="G48" s="8">
        <v>4700</v>
      </c>
      <c r="H48" s="8">
        <v>4600</v>
      </c>
      <c r="I48" s="8">
        <v>4500</v>
      </c>
      <c r="J48" s="8">
        <v>4400</v>
      </c>
      <c r="K48" s="8">
        <v>4300</v>
      </c>
      <c r="L48" s="8">
        <v>4200</v>
      </c>
      <c r="M48" s="8">
        <v>4200</v>
      </c>
      <c r="N48" s="8">
        <v>4200</v>
      </c>
      <c r="O48" s="9" t="s">
        <v>120</v>
      </c>
      <c r="P48" s="9" t="s">
        <v>121</v>
      </c>
    </row>
    <row r="49" spans="1:16" ht="15" customHeight="1" x14ac:dyDescent="0.25">
      <c r="A49" s="6" t="s">
        <v>122</v>
      </c>
      <c r="B49" s="7" t="s">
        <v>20</v>
      </c>
      <c r="C49" s="8">
        <v>286900</v>
      </c>
      <c r="D49" s="8">
        <v>285900</v>
      </c>
      <c r="E49" s="8">
        <v>286200</v>
      </c>
      <c r="F49" s="8">
        <v>285100</v>
      </c>
      <c r="G49" s="8">
        <v>285400</v>
      </c>
      <c r="H49" s="8">
        <v>284800</v>
      </c>
      <c r="I49" s="8">
        <v>285200</v>
      </c>
      <c r="J49" s="8">
        <v>285000</v>
      </c>
      <c r="K49" s="8">
        <v>284700</v>
      </c>
      <c r="L49" s="8">
        <v>284600</v>
      </c>
      <c r="M49" s="8">
        <v>285000</v>
      </c>
      <c r="N49" s="8">
        <v>285000</v>
      </c>
      <c r="O49" s="9" t="s">
        <v>99</v>
      </c>
      <c r="P49" s="9" t="s">
        <v>123</v>
      </c>
    </row>
    <row r="50" spans="1:16" ht="15" customHeight="1" x14ac:dyDescent="0.25">
      <c r="A50" s="6" t="s">
        <v>124</v>
      </c>
      <c r="B50" s="7" t="s">
        <v>20</v>
      </c>
      <c r="C50" s="8">
        <v>20657</v>
      </c>
      <c r="D50" s="8">
        <v>21443</v>
      </c>
      <c r="E50" s="8">
        <v>22284</v>
      </c>
      <c r="F50" s="8">
        <v>22808</v>
      </c>
      <c r="G50" s="8">
        <v>23728</v>
      </c>
      <c r="H50" s="8">
        <v>24208</v>
      </c>
      <c r="I50" s="8">
        <v>25068</v>
      </c>
      <c r="J50" s="8">
        <v>25650</v>
      </c>
      <c r="K50" s="8">
        <v>26192</v>
      </c>
      <c r="L50" s="8">
        <v>26753</v>
      </c>
      <c r="M50" s="8">
        <v>27075</v>
      </c>
      <c r="N50" s="8">
        <v>27360</v>
      </c>
      <c r="O50" s="9" t="s">
        <v>125</v>
      </c>
      <c r="P50" s="9" t="s">
        <v>126</v>
      </c>
    </row>
    <row r="51" spans="1:16" ht="15" customHeight="1" x14ac:dyDescent="0.25">
      <c r="A51" s="2" t="s">
        <v>127</v>
      </c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128</v>
      </c>
      <c r="P51" s="5"/>
    </row>
    <row r="52" spans="1:16" ht="15" customHeight="1" x14ac:dyDescent="0.25">
      <c r="A52" s="6" t="s">
        <v>129</v>
      </c>
      <c r="B52" s="7" t="s">
        <v>71</v>
      </c>
      <c r="C52" s="8">
        <v>8</v>
      </c>
      <c r="D52" s="8">
        <v>7</v>
      </c>
      <c r="E52" s="8">
        <v>7</v>
      </c>
      <c r="F52" s="8">
        <v>6</v>
      </c>
      <c r="G52" s="8">
        <v>5</v>
      </c>
      <c r="H52" s="8">
        <v>5</v>
      </c>
      <c r="I52" s="8">
        <v>4</v>
      </c>
      <c r="J52" s="8">
        <v>4</v>
      </c>
      <c r="K52" s="8">
        <v>4</v>
      </c>
      <c r="L52" s="8">
        <v>4</v>
      </c>
      <c r="M52" s="8">
        <v>4</v>
      </c>
      <c r="N52" s="8">
        <v>4</v>
      </c>
      <c r="O52" s="9" t="s">
        <v>130</v>
      </c>
      <c r="P52" s="9" t="s">
        <v>131</v>
      </c>
    </row>
    <row r="53" spans="1:16" ht="15" customHeight="1" x14ac:dyDescent="0.25">
      <c r="A53" s="6" t="s">
        <v>132</v>
      </c>
      <c r="B53" s="7" t="s">
        <v>133</v>
      </c>
      <c r="C53" s="8">
        <v>5.2</v>
      </c>
      <c r="D53" s="8">
        <v>4.8</v>
      </c>
      <c r="E53" s="8">
        <v>4.5</v>
      </c>
      <c r="F53" s="8">
        <v>4.2</v>
      </c>
      <c r="G53" s="8">
        <v>4</v>
      </c>
      <c r="H53" s="8">
        <v>3.8</v>
      </c>
      <c r="I53" s="8">
        <v>3.5</v>
      </c>
      <c r="J53" s="8">
        <v>3.2</v>
      </c>
      <c r="K53" s="8">
        <v>3</v>
      </c>
      <c r="L53" s="8">
        <v>2.8</v>
      </c>
      <c r="M53" s="8">
        <v>2.8</v>
      </c>
      <c r="N53" s="8">
        <v>2.8</v>
      </c>
      <c r="O53" s="9" t="s">
        <v>134</v>
      </c>
      <c r="P53" s="9" t="s">
        <v>135</v>
      </c>
    </row>
    <row r="54" spans="1:16" ht="15" customHeight="1" x14ac:dyDescent="0.25">
      <c r="A54" s="6" t="s">
        <v>136</v>
      </c>
      <c r="B54" s="7" t="s">
        <v>133</v>
      </c>
      <c r="C54" s="8">
        <v>44.8</v>
      </c>
      <c r="D54" s="8">
        <v>43.2</v>
      </c>
      <c r="E54" s="8">
        <v>42</v>
      </c>
      <c r="F54" s="8">
        <v>40.5</v>
      </c>
      <c r="G54" s="8">
        <v>39.1</v>
      </c>
      <c r="H54" s="8">
        <v>37.4</v>
      </c>
      <c r="I54" s="8">
        <v>36.1</v>
      </c>
      <c r="J54" s="8">
        <v>34.5</v>
      </c>
      <c r="K54" s="8">
        <v>33</v>
      </c>
      <c r="L54" s="8">
        <v>31.5</v>
      </c>
      <c r="M54" s="8">
        <v>31.5</v>
      </c>
      <c r="N54" s="8">
        <v>31.5</v>
      </c>
      <c r="O54" s="9" t="s">
        <v>134</v>
      </c>
      <c r="P54" s="9" t="s">
        <v>137</v>
      </c>
    </row>
    <row r="55" spans="1:16" ht="15" customHeight="1" x14ac:dyDescent="0.25">
      <c r="A55" s="2" t="s">
        <v>138</v>
      </c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 t="s">
        <v>139</v>
      </c>
      <c r="P55" s="5"/>
    </row>
    <row r="56" spans="1:16" ht="15" customHeight="1" x14ac:dyDescent="0.25">
      <c r="A56" s="6" t="s">
        <v>140</v>
      </c>
      <c r="B56" s="7" t="s">
        <v>20</v>
      </c>
      <c r="C56" s="8">
        <v>0.14000000000000001</v>
      </c>
      <c r="D56" s="8">
        <v>0.128</v>
      </c>
      <c r="E56" s="8">
        <v>0.126</v>
      </c>
      <c r="F56" s="8">
        <v>0.11700000000000001</v>
      </c>
      <c r="G56" s="8">
        <v>0.11700000000000001</v>
      </c>
      <c r="H56" s="8">
        <v>0.105</v>
      </c>
      <c r="I56" s="8">
        <v>0.105</v>
      </c>
      <c r="J56" s="8">
        <v>9.4E-2</v>
      </c>
      <c r="K56" s="8">
        <v>9.4E-2</v>
      </c>
      <c r="L56" s="8">
        <v>9.4E-2</v>
      </c>
      <c r="M56" s="8">
        <v>9.4E-2</v>
      </c>
      <c r="N56" s="8">
        <v>9.4E-2</v>
      </c>
      <c r="O56" s="9" t="s">
        <v>141</v>
      </c>
      <c r="P56" s="9" t="s">
        <v>142</v>
      </c>
    </row>
    <row r="57" spans="1:16" ht="15" customHeight="1" x14ac:dyDescent="0.25">
      <c r="A57" s="6" t="s">
        <v>143</v>
      </c>
      <c r="B57" s="7" t="s">
        <v>20</v>
      </c>
      <c r="C57" s="8">
        <v>14500</v>
      </c>
      <c r="D57" s="8">
        <v>14500</v>
      </c>
      <c r="E57" s="8">
        <v>14500</v>
      </c>
      <c r="F57" s="8">
        <v>14500</v>
      </c>
      <c r="G57" s="8">
        <v>14500</v>
      </c>
      <c r="H57" s="8">
        <v>14500</v>
      </c>
      <c r="I57" s="8">
        <v>14500</v>
      </c>
      <c r="J57" s="8">
        <v>14500</v>
      </c>
      <c r="K57" s="8">
        <v>14500</v>
      </c>
      <c r="L57" s="8">
        <v>14500</v>
      </c>
      <c r="M57" s="8">
        <v>14500</v>
      </c>
      <c r="N57" s="8">
        <v>14500</v>
      </c>
      <c r="O57" s="9" t="s">
        <v>68</v>
      </c>
      <c r="P57" s="9" t="s">
        <v>144</v>
      </c>
    </row>
    <row r="58" spans="1:16" ht="15" customHeight="1" x14ac:dyDescent="0.25">
      <c r="A58" s="6" t="s">
        <v>145</v>
      </c>
      <c r="B58" s="7" t="s">
        <v>20</v>
      </c>
      <c r="C58" s="8">
        <v>0.16200000000000001</v>
      </c>
      <c r="D58" s="8">
        <v>0.153</v>
      </c>
      <c r="E58" s="8">
        <v>0.152</v>
      </c>
      <c r="F58" s="8">
        <v>0.14000000000000001</v>
      </c>
      <c r="G58" s="8">
        <v>0.14199999999999999</v>
      </c>
      <c r="H58" s="8">
        <v>0.128</v>
      </c>
      <c r="I58" s="8">
        <v>0.13</v>
      </c>
      <c r="J58" s="8">
        <v>0.11799999999999999</v>
      </c>
      <c r="K58" s="8">
        <v>0.11799999999999999</v>
      </c>
      <c r="L58" s="8">
        <v>0.11799999999999999</v>
      </c>
      <c r="M58" s="8">
        <v>0.11799999999999999</v>
      </c>
      <c r="N58" s="8">
        <v>0.11799999999999999</v>
      </c>
      <c r="O58" s="9" t="s">
        <v>141</v>
      </c>
      <c r="P58" s="9" t="s">
        <v>146</v>
      </c>
    </row>
    <row r="59" spans="1:16" ht="15" customHeight="1" x14ac:dyDescent="0.25">
      <c r="A59" s="6" t="s">
        <v>147</v>
      </c>
      <c r="B59" s="7" t="s">
        <v>20</v>
      </c>
      <c r="C59" s="8">
        <v>0.249</v>
      </c>
      <c r="D59" s="8">
        <v>0.221</v>
      </c>
      <c r="E59" s="8">
        <v>0.219</v>
      </c>
      <c r="F59" s="8">
        <v>0.19700000000000001</v>
      </c>
      <c r="G59" s="8">
        <v>0.20200000000000001</v>
      </c>
      <c r="H59" s="8">
        <v>0.17799999999999999</v>
      </c>
      <c r="I59" s="8">
        <v>0.17899999999999999</v>
      </c>
      <c r="J59" s="8">
        <v>0.158</v>
      </c>
      <c r="K59" s="8">
        <v>0.158</v>
      </c>
      <c r="L59" s="8">
        <v>0.158</v>
      </c>
      <c r="M59" s="8">
        <v>0.158</v>
      </c>
      <c r="N59" s="8">
        <v>0.158</v>
      </c>
      <c r="O59" s="9" t="s">
        <v>141</v>
      </c>
      <c r="P59" s="9" t="s">
        <v>148</v>
      </c>
    </row>
    <row r="60" spans="1:16" ht="15" customHeight="1" x14ac:dyDescent="0.25">
      <c r="A60" s="2" t="s">
        <v>149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 t="s">
        <v>150</v>
      </c>
      <c r="P60" s="5"/>
    </row>
    <row r="61" spans="1:16" ht="15" customHeight="1" x14ac:dyDescent="0.25">
      <c r="A61" s="6" t="s">
        <v>151</v>
      </c>
      <c r="B61" s="7" t="s">
        <v>71</v>
      </c>
      <c r="C61" s="8">
        <v>5</v>
      </c>
      <c r="D61" s="8">
        <v>5</v>
      </c>
      <c r="E61" s="8">
        <v>4</v>
      </c>
      <c r="F61" s="8">
        <v>4</v>
      </c>
      <c r="G61" s="8">
        <v>3</v>
      </c>
      <c r="H61" s="8">
        <v>3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9" t="s">
        <v>152</v>
      </c>
      <c r="P61" s="9" t="s">
        <v>153</v>
      </c>
    </row>
    <row r="62" spans="1:16" ht="15" customHeight="1" x14ac:dyDescent="0.25">
      <c r="A62" s="2" t="s">
        <v>154</v>
      </c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 t="s">
        <v>155</v>
      </c>
      <c r="P62" s="5"/>
    </row>
    <row r="63" spans="1:16" ht="15" customHeight="1" x14ac:dyDescent="0.25">
      <c r="A63" s="6" t="s">
        <v>156</v>
      </c>
      <c r="B63" s="7" t="s">
        <v>157</v>
      </c>
      <c r="C63" s="8">
        <v>58</v>
      </c>
      <c r="D63" s="8">
        <v>59</v>
      </c>
      <c r="E63" s="8">
        <v>60</v>
      </c>
      <c r="F63" s="8">
        <v>61</v>
      </c>
      <c r="G63" s="8">
        <v>62</v>
      </c>
      <c r="H63" s="8">
        <v>62</v>
      </c>
      <c r="I63" s="8">
        <v>63</v>
      </c>
      <c r="J63" s="8">
        <v>63</v>
      </c>
      <c r="K63" s="8">
        <v>62</v>
      </c>
      <c r="L63" s="8">
        <v>62</v>
      </c>
      <c r="M63" s="8">
        <v>62</v>
      </c>
      <c r="N63" s="8">
        <v>62</v>
      </c>
      <c r="O63" s="9" t="s">
        <v>158</v>
      </c>
      <c r="P63" s="9" t="s">
        <v>159</v>
      </c>
    </row>
    <row r="64" spans="1:16" ht="15" customHeight="1" x14ac:dyDescent="0.25">
      <c r="A64" s="6" t="s">
        <v>160</v>
      </c>
      <c r="B64" s="7" t="s">
        <v>71</v>
      </c>
      <c r="C64" s="8">
        <v>3200</v>
      </c>
      <c r="D64" s="8">
        <v>3100</v>
      </c>
      <c r="E64" s="8">
        <v>3050</v>
      </c>
      <c r="F64" s="8">
        <v>2950</v>
      </c>
      <c r="G64" s="8">
        <v>2900</v>
      </c>
      <c r="H64" s="8">
        <v>2850</v>
      </c>
      <c r="I64" s="8">
        <v>2800</v>
      </c>
      <c r="J64" s="8">
        <v>2750</v>
      </c>
      <c r="K64" s="8">
        <v>2700</v>
      </c>
      <c r="L64" s="8">
        <v>2650</v>
      </c>
      <c r="M64" s="8">
        <v>2750</v>
      </c>
      <c r="N64" s="8">
        <v>2750</v>
      </c>
      <c r="O64" s="9" t="s">
        <v>161</v>
      </c>
      <c r="P64" s="9" t="s">
        <v>162</v>
      </c>
    </row>
    <row r="65" spans="1:16" ht="15" customHeight="1" x14ac:dyDescent="0.25">
      <c r="A65" s="6" t="s">
        <v>163</v>
      </c>
      <c r="B65" s="7" t="s">
        <v>71</v>
      </c>
      <c r="C65" s="8">
        <v>2880</v>
      </c>
      <c r="D65" s="8">
        <v>2821</v>
      </c>
      <c r="E65" s="8">
        <v>2836</v>
      </c>
      <c r="F65" s="8">
        <v>2773</v>
      </c>
      <c r="G65" s="8">
        <v>2624</v>
      </c>
      <c r="H65" s="8">
        <v>2736</v>
      </c>
      <c r="I65" s="8">
        <v>2786</v>
      </c>
      <c r="J65" s="8">
        <v>2667</v>
      </c>
      <c r="K65" s="8">
        <v>2619</v>
      </c>
      <c r="L65" s="8">
        <v>2571</v>
      </c>
      <c r="M65" s="8">
        <v>2667</v>
      </c>
      <c r="N65" s="8">
        <v>2667</v>
      </c>
      <c r="O65" s="9" t="s">
        <v>161</v>
      </c>
      <c r="P65" s="9" t="s">
        <v>164</v>
      </c>
    </row>
    <row r="66" spans="1:16" ht="15" customHeight="1" x14ac:dyDescent="0.25">
      <c r="A66" s="2" t="s">
        <v>165</v>
      </c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 t="s">
        <v>166</v>
      </c>
      <c r="P66" s="5"/>
    </row>
    <row r="67" spans="1:16" ht="15" customHeight="1" x14ac:dyDescent="0.25">
      <c r="A67" s="6" t="s">
        <v>167</v>
      </c>
      <c r="B67" s="7" t="s">
        <v>20</v>
      </c>
      <c r="C67" s="8">
        <v>59400</v>
      </c>
      <c r="D67" s="8">
        <v>60000</v>
      </c>
      <c r="E67" s="8">
        <v>62100</v>
      </c>
      <c r="F67" s="8">
        <v>63000</v>
      </c>
      <c r="G67" s="8">
        <v>63600</v>
      </c>
      <c r="H67" s="8">
        <v>64500</v>
      </c>
      <c r="I67" s="8">
        <v>64500</v>
      </c>
      <c r="J67" s="8">
        <v>65400</v>
      </c>
      <c r="K67" s="8">
        <v>64800</v>
      </c>
      <c r="L67" s="8">
        <v>64800</v>
      </c>
      <c r="M67" s="8">
        <v>65400</v>
      </c>
      <c r="N67" s="8">
        <v>65400</v>
      </c>
      <c r="O67" s="9" t="s">
        <v>125</v>
      </c>
      <c r="P67" s="9" t="s">
        <v>168</v>
      </c>
    </row>
    <row r="68" spans="1:16" ht="15" customHeight="1" x14ac:dyDescent="0.25">
      <c r="A68" s="6" t="s">
        <v>169</v>
      </c>
      <c r="B68" s="7" t="s">
        <v>20</v>
      </c>
      <c r="C68" s="8">
        <v>400000</v>
      </c>
      <c r="D68" s="8">
        <v>402000</v>
      </c>
      <c r="E68" s="8">
        <v>404000</v>
      </c>
      <c r="F68" s="8">
        <v>406000</v>
      </c>
      <c r="G68" s="8">
        <v>408000</v>
      </c>
      <c r="H68" s="8">
        <v>410000</v>
      </c>
      <c r="I68" s="8">
        <v>410000</v>
      </c>
      <c r="J68" s="8">
        <v>410000</v>
      </c>
      <c r="K68" s="8">
        <v>444897</v>
      </c>
      <c r="L68" s="8">
        <v>448727</v>
      </c>
      <c r="M68" s="8">
        <v>454008</v>
      </c>
      <c r="N68" s="8">
        <v>460108</v>
      </c>
      <c r="O68" s="9" t="s">
        <v>79</v>
      </c>
      <c r="P68" s="9" t="s">
        <v>170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103" zoomScaleNormal="103" workbookViewId="0">
      <selection activeCell="C8" sqref="C8"/>
    </sheetView>
  </sheetViews>
  <sheetFormatPr defaultColWidth="8.7109375" defaultRowHeight="15" x14ac:dyDescent="0.25"/>
  <cols>
    <col min="1" max="1" width="6" customWidth="1"/>
    <col min="2" max="2" width="38" customWidth="1"/>
    <col min="3" max="3" width="55.28515625" customWidth="1"/>
    <col min="4" max="4" width="22" customWidth="1"/>
    <col min="5" max="5" width="18" customWidth="1"/>
  </cols>
  <sheetData>
    <row r="1" spans="1:5" ht="49.5" customHeight="1" x14ac:dyDescent="0.25">
      <c r="A1" s="133" t="s">
        <v>171</v>
      </c>
      <c r="B1" s="134"/>
      <c r="C1" s="134"/>
      <c r="D1" s="134"/>
      <c r="E1" s="135"/>
    </row>
    <row r="2" spans="1:5" ht="15" customHeight="1" x14ac:dyDescent="0.25">
      <c r="A2" s="10" t="s">
        <v>172</v>
      </c>
      <c r="B2" s="10" t="s">
        <v>173</v>
      </c>
      <c r="C2" s="10" t="s">
        <v>174</v>
      </c>
      <c r="D2" s="10" t="s">
        <v>175</v>
      </c>
      <c r="E2" s="10" t="s">
        <v>176</v>
      </c>
    </row>
    <row r="3" spans="1:5" ht="15" customHeight="1" x14ac:dyDescent="0.25">
      <c r="A3" s="11">
        <v>1</v>
      </c>
      <c r="B3" s="12" t="s">
        <v>177</v>
      </c>
      <c r="C3" s="12" t="s">
        <v>178</v>
      </c>
      <c r="D3" s="11" t="s">
        <v>179</v>
      </c>
      <c r="E3" s="11" t="s">
        <v>180</v>
      </c>
    </row>
    <row r="4" spans="1:5" ht="15" customHeight="1" x14ac:dyDescent="0.25">
      <c r="A4" s="13">
        <v>2</v>
      </c>
      <c r="B4" s="14" t="s">
        <v>181</v>
      </c>
      <c r="C4" s="14" t="s">
        <v>182</v>
      </c>
      <c r="D4" s="13" t="s">
        <v>179</v>
      </c>
      <c r="E4" s="13" t="s">
        <v>180</v>
      </c>
    </row>
    <row r="5" spans="1:5" ht="15" customHeight="1" x14ac:dyDescent="0.25">
      <c r="A5" s="11">
        <v>3</v>
      </c>
      <c r="B5" s="12" t="s">
        <v>18</v>
      </c>
      <c r="C5" s="12" t="s">
        <v>183</v>
      </c>
      <c r="D5" s="11" t="s">
        <v>184</v>
      </c>
      <c r="E5" s="11" t="s">
        <v>180</v>
      </c>
    </row>
    <row r="6" spans="1:5" ht="15" customHeight="1" x14ac:dyDescent="0.25">
      <c r="A6" s="13">
        <v>4</v>
      </c>
      <c r="B6" s="14" t="s">
        <v>44</v>
      </c>
      <c r="C6" s="14" t="s">
        <v>185</v>
      </c>
      <c r="D6" s="13" t="s">
        <v>184</v>
      </c>
      <c r="E6" s="13" t="s">
        <v>180</v>
      </c>
    </row>
    <row r="7" spans="1:5" ht="15" customHeight="1" x14ac:dyDescent="0.25">
      <c r="A7" s="11">
        <v>5</v>
      </c>
      <c r="B7" s="12" t="s">
        <v>63</v>
      </c>
      <c r="C7" s="12" t="s">
        <v>186</v>
      </c>
      <c r="D7" s="11" t="s">
        <v>184</v>
      </c>
      <c r="E7" s="11" t="s">
        <v>180</v>
      </c>
    </row>
    <row r="8" spans="1:5" ht="15" customHeight="1" x14ac:dyDescent="0.25">
      <c r="A8" s="13">
        <v>6</v>
      </c>
      <c r="B8" s="14" t="s">
        <v>77</v>
      </c>
      <c r="C8" s="14" t="s">
        <v>187</v>
      </c>
      <c r="D8" s="13" t="s">
        <v>184</v>
      </c>
      <c r="E8" s="13" t="s">
        <v>180</v>
      </c>
    </row>
    <row r="9" spans="1:5" ht="15" customHeight="1" x14ac:dyDescent="0.25">
      <c r="A9" s="11">
        <v>7</v>
      </c>
      <c r="B9" s="12" t="s">
        <v>87</v>
      </c>
      <c r="C9" s="12" t="s">
        <v>188</v>
      </c>
      <c r="D9" s="11" t="s">
        <v>189</v>
      </c>
      <c r="E9" s="11" t="s">
        <v>180</v>
      </c>
    </row>
    <row r="10" spans="1:5" ht="15" customHeight="1" x14ac:dyDescent="0.25">
      <c r="A10" s="13">
        <v>8</v>
      </c>
      <c r="B10" s="14" t="s">
        <v>106</v>
      </c>
      <c r="C10" s="14" t="s">
        <v>190</v>
      </c>
      <c r="D10" s="13" t="s">
        <v>189</v>
      </c>
      <c r="E10" s="13" t="s">
        <v>180</v>
      </c>
    </row>
    <row r="11" spans="1:5" ht="15" customHeight="1" x14ac:dyDescent="0.25">
      <c r="A11" s="11">
        <v>9</v>
      </c>
      <c r="B11" s="12" t="s">
        <v>166</v>
      </c>
      <c r="C11" s="12" t="s">
        <v>191</v>
      </c>
      <c r="D11" s="11" t="s">
        <v>189</v>
      </c>
      <c r="E11" s="11" t="s">
        <v>180</v>
      </c>
    </row>
    <row r="12" spans="1:5" ht="15" customHeight="1" x14ac:dyDescent="0.25">
      <c r="A12" s="13">
        <v>10</v>
      </c>
      <c r="B12" s="14" t="s">
        <v>118</v>
      </c>
      <c r="C12" s="14" t="s">
        <v>192</v>
      </c>
      <c r="D12" s="13" t="s">
        <v>189</v>
      </c>
      <c r="E12" s="13" t="s">
        <v>180</v>
      </c>
    </row>
    <row r="13" spans="1:5" ht="15" customHeight="1" x14ac:dyDescent="0.25">
      <c r="A13" s="11">
        <v>11</v>
      </c>
      <c r="B13" s="12" t="s">
        <v>128</v>
      </c>
      <c r="C13" s="12" t="s">
        <v>193</v>
      </c>
      <c r="D13" s="11" t="s">
        <v>189</v>
      </c>
      <c r="E13" s="11" t="s">
        <v>180</v>
      </c>
    </row>
    <row r="14" spans="1:5" ht="15" customHeight="1" x14ac:dyDescent="0.25">
      <c r="A14" s="13">
        <v>12</v>
      </c>
      <c r="B14" s="14" t="s">
        <v>139</v>
      </c>
      <c r="C14" s="14" t="s">
        <v>194</v>
      </c>
      <c r="D14" s="13" t="s">
        <v>189</v>
      </c>
      <c r="E14" s="13" t="s">
        <v>180</v>
      </c>
    </row>
    <row r="15" spans="1:5" ht="15" customHeight="1" x14ac:dyDescent="0.25">
      <c r="A15" s="11">
        <v>13</v>
      </c>
      <c r="B15" s="12" t="s">
        <v>150</v>
      </c>
      <c r="C15" s="12" t="s">
        <v>195</v>
      </c>
      <c r="D15" s="11" t="s">
        <v>189</v>
      </c>
      <c r="E15" s="11" t="s">
        <v>180</v>
      </c>
    </row>
    <row r="16" spans="1:5" ht="15" customHeight="1" x14ac:dyDescent="0.25">
      <c r="A16" s="13">
        <v>14</v>
      </c>
      <c r="B16" s="14" t="s">
        <v>155</v>
      </c>
      <c r="C16" s="14" t="s">
        <v>196</v>
      </c>
      <c r="D16" s="13" t="s">
        <v>189</v>
      </c>
      <c r="E16" s="13" t="s">
        <v>180</v>
      </c>
    </row>
    <row r="17" spans="1:5" ht="15" customHeight="1" x14ac:dyDescent="0.25">
      <c r="A17" s="11">
        <v>15</v>
      </c>
      <c r="B17" s="12" t="s">
        <v>197</v>
      </c>
      <c r="C17" s="12" t="s">
        <v>198</v>
      </c>
      <c r="D17" s="11" t="s">
        <v>189</v>
      </c>
      <c r="E17" s="11" t="s">
        <v>180</v>
      </c>
    </row>
    <row r="18" spans="1:5" ht="15" customHeight="1" x14ac:dyDescent="0.25">
      <c r="A18" s="13">
        <v>16</v>
      </c>
      <c r="B18" s="14" t="s">
        <v>199</v>
      </c>
      <c r="C18" s="14" t="s">
        <v>200</v>
      </c>
      <c r="D18" s="13" t="s">
        <v>201</v>
      </c>
      <c r="E18" s="13" t="s">
        <v>180</v>
      </c>
    </row>
    <row r="19" spans="1:5" ht="15" customHeight="1" x14ac:dyDescent="0.25">
      <c r="A19" s="11">
        <v>17</v>
      </c>
      <c r="B19" s="12" t="s">
        <v>202</v>
      </c>
      <c r="C19" s="12" t="s">
        <v>203</v>
      </c>
      <c r="D19" s="11" t="s">
        <v>201</v>
      </c>
      <c r="E19" s="11" t="s">
        <v>180</v>
      </c>
    </row>
    <row r="20" spans="1:5" ht="15" customHeight="1" x14ac:dyDescent="0.25">
      <c r="A20" s="13">
        <v>18</v>
      </c>
      <c r="B20" s="14" t="s">
        <v>204</v>
      </c>
      <c r="C20" s="14" t="s">
        <v>205</v>
      </c>
      <c r="D20" s="13" t="s">
        <v>179</v>
      </c>
      <c r="E20" s="13" t="s">
        <v>180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zoomScaleNormal="100" workbookViewId="0">
      <pane xSplit="2" ySplit="2" topLeftCell="C52" activePane="bottomRight" state="frozen"/>
      <selection pane="topRight" activeCell="C1" sqref="C1"/>
      <selection pane="bottomLeft" activeCell="A52" sqref="A52"/>
      <selection pane="bottomRight" activeCell="L64" sqref="L64"/>
    </sheetView>
  </sheetViews>
  <sheetFormatPr defaultColWidth="8.7109375" defaultRowHeight="15" x14ac:dyDescent="0.25"/>
  <cols>
    <col min="1" max="1" width="3" customWidth="1"/>
    <col min="2" max="2" width="20.5703125" customWidth="1"/>
    <col min="3" max="3" width="30.140625" customWidth="1"/>
    <col min="4" max="4" width="15.140625" customWidth="1"/>
    <col min="5" max="6" width="20.140625" customWidth="1"/>
    <col min="7" max="7" width="17.85546875" customWidth="1"/>
    <col min="8" max="8" width="11.140625" customWidth="1"/>
    <col min="9" max="9" width="11.7109375" customWidth="1"/>
    <col min="10" max="10" width="12.5703125" customWidth="1"/>
    <col min="11" max="11" width="14.5703125" customWidth="1"/>
    <col min="12" max="12" width="15.28515625" customWidth="1"/>
    <col min="13" max="13" width="16.28515625" customWidth="1"/>
    <col min="14" max="14" width="9.7109375" customWidth="1"/>
    <col min="15" max="15" width="11.5703125" customWidth="1"/>
  </cols>
  <sheetData>
    <row r="1" spans="1:15" ht="39.75" customHeight="1" x14ac:dyDescent="0.25">
      <c r="A1" s="136" t="s">
        <v>206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  <c r="N1" s="15"/>
      <c r="O1" s="15"/>
    </row>
    <row r="2" spans="1:15" ht="15" customHeight="1" x14ac:dyDescent="0.25">
      <c r="A2" s="10" t="s">
        <v>172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</v>
      </c>
      <c r="I2" s="10" t="s">
        <v>213</v>
      </c>
      <c r="J2" s="10" t="s">
        <v>214</v>
      </c>
      <c r="K2" s="10" t="s">
        <v>215</v>
      </c>
      <c r="L2" s="10" t="s">
        <v>216</v>
      </c>
      <c r="M2" s="10" t="s">
        <v>217</v>
      </c>
      <c r="N2" s="15" t="s">
        <v>218</v>
      </c>
      <c r="O2" s="15" t="s">
        <v>219</v>
      </c>
    </row>
    <row r="3" spans="1:15" ht="15" customHeight="1" x14ac:dyDescent="0.25">
      <c r="A3" s="16">
        <v>1</v>
      </c>
      <c r="B3" s="17" t="s">
        <v>220</v>
      </c>
      <c r="C3" s="17" t="s">
        <v>221</v>
      </c>
      <c r="D3" s="18">
        <f>IFERROR(Monthly_KRI_Trend!T4,"")</f>
        <v>5</v>
      </c>
      <c r="E3" s="16" t="s">
        <v>222</v>
      </c>
      <c r="F3" s="16" t="s">
        <v>223</v>
      </c>
      <c r="G3" s="16" t="s">
        <v>224</v>
      </c>
      <c r="H3" s="17" t="s">
        <v>225</v>
      </c>
      <c r="I3" s="16" t="s">
        <v>226</v>
      </c>
      <c r="J3" s="19" t="str">
        <f>IFERROR(IF(Monthly_KRI_Trend!D4="Lower Better",IF(Monthly_KRI_Trend!T4&lt;Monthly_KRI_Trend!F4,"Green",IF(Monthly_KRI_Trend!T4&lt;Monthly_KRI_Trend!E4,"Amber","Red")),IF(Monthly_KRI_Trend!T4&gt;Monthly_KRI_Trend!F4,"Green",IF(Monthly_KRI_Trend!T4&gt;Monthly_KRI_Trend!E4,"Amber","Red"))),"")</f>
        <v>Amber</v>
      </c>
      <c r="K3" s="20" t="s">
        <v>227</v>
      </c>
      <c r="L3" s="21">
        <f>IFERROR(Monthly_KRI_Trend!V4,"")</f>
        <v>0</v>
      </c>
      <c r="M3" s="17" t="s">
        <v>228</v>
      </c>
      <c r="N3" s="15">
        <f t="shared" ref="N3:N34" si="0">IF(J3="Green",1,IF(J3="Amber",2,IF(J3="Red",3,"")))</f>
        <v>2</v>
      </c>
      <c r="O3" s="15" t="str">
        <f t="shared" ref="O3:O34" si="1">IF(J3="Red","YES",IF(J3="Amber","WATCH","OK"))</f>
        <v>WATCH</v>
      </c>
    </row>
    <row r="4" spans="1:15" ht="15" customHeight="1" x14ac:dyDescent="0.25">
      <c r="A4" s="22">
        <v>2</v>
      </c>
      <c r="B4" s="23" t="s">
        <v>220</v>
      </c>
      <c r="C4" s="23" t="s">
        <v>229</v>
      </c>
      <c r="D4" s="24">
        <f>IFERROR(Monthly_KRI_Trend!T5,"")</f>
        <v>2.1</v>
      </c>
      <c r="E4" s="22" t="s">
        <v>230</v>
      </c>
      <c r="F4" s="22" t="s">
        <v>231</v>
      </c>
      <c r="G4" s="22" t="s">
        <v>232</v>
      </c>
      <c r="H4" s="23" t="s">
        <v>225</v>
      </c>
      <c r="I4" s="22" t="s">
        <v>226</v>
      </c>
      <c r="J4" s="25" t="str">
        <f>IFERROR(IF(Monthly_KRI_Trend!D5="Lower Better",IF(Monthly_KRI_Trend!T5&lt;Monthly_KRI_Trend!F5,"Green",IF(Monthly_KRI_Trend!T5&lt;Monthly_KRI_Trend!E5,"Amber","Red")),IF(Monthly_KRI_Trend!T5&gt;Monthly_KRI_Trend!F5,"Green",IF(Monthly_KRI_Trend!T5&gt;Monthly_KRI_Trend!E5,"Amber","Red"))),"")</f>
        <v>Amber</v>
      </c>
      <c r="K4" s="26" t="s">
        <v>233</v>
      </c>
      <c r="L4" s="27">
        <f>IFERROR(Monthly_KRI_Trend!V5,"")</f>
        <v>0</v>
      </c>
      <c r="M4" s="23" t="s">
        <v>228</v>
      </c>
      <c r="N4" s="15">
        <f t="shared" si="0"/>
        <v>2</v>
      </c>
      <c r="O4" s="15" t="str">
        <f t="shared" si="1"/>
        <v>WATCH</v>
      </c>
    </row>
    <row r="5" spans="1:15" ht="25.5" customHeight="1" x14ac:dyDescent="0.25">
      <c r="A5" s="16">
        <v>3</v>
      </c>
      <c r="B5" s="17" t="s">
        <v>220</v>
      </c>
      <c r="C5" s="17" t="s">
        <v>234</v>
      </c>
      <c r="D5" s="18">
        <f>IFERROR(IF(Monthly_Data!N5=0,"",ROUND((Monthly_Data!N11/Monthly_Data!N5)*100,2)),"")</f>
        <v>4.33</v>
      </c>
      <c r="E5" s="16" t="s">
        <v>235</v>
      </c>
      <c r="F5" s="16" t="s">
        <v>236</v>
      </c>
      <c r="G5" s="16" t="s">
        <v>237</v>
      </c>
      <c r="H5" s="17" t="s">
        <v>225</v>
      </c>
      <c r="I5" s="16" t="s">
        <v>238</v>
      </c>
      <c r="J5" s="25" t="str">
        <f>IFERROR(IF(Monthly_KRI_Trend!D6="Lower Better",IF(Monthly_KRI_Trend!T6&lt;Monthly_KRI_Trend!F6,"Green",IF(Monthly_KRI_Trend!T6&lt;Monthly_KRI_Trend!E6,"Amber","Red")),IF(Monthly_KRI_Trend!T6&gt;Monthly_KRI_Trend!F6,"Green",IF(Monthly_KRI_Trend!T6&gt;Monthly_KRI_Trend!E6,"Amber","Red"))),"")</f>
        <v>Amber</v>
      </c>
      <c r="K5" s="28" t="s">
        <v>239</v>
      </c>
      <c r="L5" s="21">
        <f>IFERROR(Monthly_KRI_Trend!V6,"")</f>
        <v>0</v>
      </c>
      <c r="M5" s="17" t="s">
        <v>240</v>
      </c>
      <c r="N5" s="15">
        <f t="shared" si="0"/>
        <v>2</v>
      </c>
      <c r="O5" s="15" t="str">
        <f t="shared" si="1"/>
        <v>WATCH</v>
      </c>
    </row>
    <row r="6" spans="1:15" ht="15" customHeight="1" x14ac:dyDescent="0.25">
      <c r="A6" s="22">
        <v>4</v>
      </c>
      <c r="B6" s="23" t="s">
        <v>220</v>
      </c>
      <c r="C6" s="23" t="s">
        <v>241</v>
      </c>
      <c r="D6" s="24">
        <f>IFERROR(Monthly_KRI_Trend!T6,"")</f>
        <v>3.2</v>
      </c>
      <c r="E6" s="22" t="s">
        <v>242</v>
      </c>
      <c r="F6" s="22" t="s">
        <v>243</v>
      </c>
      <c r="G6" s="22" t="s">
        <v>244</v>
      </c>
      <c r="H6" s="23" t="s">
        <v>225</v>
      </c>
      <c r="I6" s="22" t="s">
        <v>226</v>
      </c>
      <c r="J6" s="25" t="str">
        <f>IFERROR(IF(Monthly_KRI_Trend!D7="Lower Better",IF(Monthly_KRI_Trend!T7&lt;Monthly_KRI_Trend!F7,"Green",IF(Monthly_KRI_Trend!T7&lt;Monthly_KRI_Trend!E7,"Amber","Red")),IF(Monthly_KRI_Trend!T7&gt;Monthly_KRI_Trend!F7,"Green",IF(Monthly_KRI_Trend!T7&gt;Monthly_KRI_Trend!E7,"Amber","Red"))),"")</f>
        <v>Amber</v>
      </c>
      <c r="K6" s="26" t="s">
        <v>245</v>
      </c>
      <c r="L6" s="27">
        <f>IFERROR(Monthly_KRI_Trend!V7,"")</f>
        <v>0</v>
      </c>
      <c r="M6" s="23" t="s">
        <v>246</v>
      </c>
      <c r="N6" s="15">
        <f t="shared" si="0"/>
        <v>2</v>
      </c>
      <c r="O6" s="15" t="str">
        <f t="shared" si="1"/>
        <v>WATCH</v>
      </c>
    </row>
    <row r="7" spans="1:15" ht="15" customHeight="1" x14ac:dyDescent="0.25">
      <c r="A7" s="16">
        <v>5</v>
      </c>
      <c r="B7" s="17" t="s">
        <v>220</v>
      </c>
      <c r="C7" s="17" t="s">
        <v>247</v>
      </c>
      <c r="D7" s="18">
        <f>IFERROR(Monthly_KRI_Trend!T7,"")</f>
        <v>1.2</v>
      </c>
      <c r="E7" s="16" t="s">
        <v>248</v>
      </c>
      <c r="F7" s="16" t="s">
        <v>249</v>
      </c>
      <c r="G7" s="16" t="s">
        <v>237</v>
      </c>
      <c r="H7" s="17" t="s">
        <v>225</v>
      </c>
      <c r="I7" s="16" t="s">
        <v>226</v>
      </c>
      <c r="J7" s="25" t="str">
        <f>IFERROR(IF(Monthly_KRI_Trend!D8="Lower Better",IF(Monthly_KRI_Trend!T8&lt;Monthly_KRI_Trend!F8,"Green",IF(Monthly_KRI_Trend!T8&lt;Monthly_KRI_Trend!E8,"Amber","Red")),IF(Monthly_KRI_Trend!T8&gt;Monthly_KRI_Trend!F8,"Green",IF(Monthly_KRI_Trend!T8&gt;Monthly_KRI_Trend!E8,"Amber","Red"))),"")</f>
        <v>Amber</v>
      </c>
      <c r="K7" s="20" t="s">
        <v>250</v>
      </c>
      <c r="L7" s="21">
        <f>IFERROR(Monthly_KRI_Trend!V8,"")</f>
        <v>0</v>
      </c>
      <c r="M7" s="17" t="s">
        <v>246</v>
      </c>
      <c r="N7" s="15">
        <f t="shared" si="0"/>
        <v>2</v>
      </c>
      <c r="O7" s="15" t="str">
        <f t="shared" si="1"/>
        <v>WATCH</v>
      </c>
    </row>
    <row r="8" spans="1:15" ht="15" customHeight="1" x14ac:dyDescent="0.25">
      <c r="A8" s="22">
        <v>6</v>
      </c>
      <c r="B8" s="23" t="s">
        <v>220</v>
      </c>
      <c r="C8" s="23" t="s">
        <v>251</v>
      </c>
      <c r="D8" s="24">
        <f>IFERROR(Monthly_KRI_Trend!T8,"")</f>
        <v>0.70000000000000007</v>
      </c>
      <c r="E8" s="22" t="s">
        <v>252</v>
      </c>
      <c r="F8" s="22" t="s">
        <v>253</v>
      </c>
      <c r="G8" s="22" t="s">
        <v>254</v>
      </c>
      <c r="H8" s="23" t="s">
        <v>225</v>
      </c>
      <c r="I8" s="22" t="s">
        <v>226</v>
      </c>
      <c r="J8" s="25" t="str">
        <f>IFERROR(IF(Monthly_KRI_Trend!D9="Lower Better",IF(Monthly_KRI_Trend!T9&lt;Monthly_KRI_Trend!F9,"Green",IF(Monthly_KRI_Trend!T9&lt;Monthly_KRI_Trend!E9,"Amber","Red")),IF(Monthly_KRI_Trend!T9&gt;Monthly_KRI_Trend!F9,"Green",IF(Monthly_KRI_Trend!T9&gt;Monthly_KRI_Trend!E9,"Amber","Red"))),"")</f>
        <v>Green</v>
      </c>
      <c r="K8" s="29" t="s">
        <v>255</v>
      </c>
      <c r="L8" s="27">
        <f>IFERROR(Monthly_KRI_Trend!V9,"")</f>
        <v>0</v>
      </c>
      <c r="M8" s="23" t="s">
        <v>246</v>
      </c>
      <c r="N8" s="15">
        <f t="shared" si="0"/>
        <v>1</v>
      </c>
      <c r="O8" s="15" t="str">
        <f t="shared" si="1"/>
        <v>OK</v>
      </c>
    </row>
    <row r="9" spans="1:15" ht="25.5" customHeight="1" x14ac:dyDescent="0.25">
      <c r="A9" s="22">
        <v>8</v>
      </c>
      <c r="B9" s="23" t="s">
        <v>220</v>
      </c>
      <c r="C9" s="23" t="s">
        <v>256</v>
      </c>
      <c r="D9" s="24">
        <f>IFERROR(Monthly_KRI_Trend!T9,"")</f>
        <v>76</v>
      </c>
      <c r="E9" s="22" t="s">
        <v>257</v>
      </c>
      <c r="F9" s="22" t="s">
        <v>258</v>
      </c>
      <c r="G9" s="22" t="s">
        <v>259</v>
      </c>
      <c r="H9" s="23" t="s">
        <v>225</v>
      </c>
      <c r="I9" s="22" t="s">
        <v>238</v>
      </c>
      <c r="J9" s="19" t="str">
        <f>IFERROR(IF(Monthly_KRI_Trend!D10="Lower Better",IF(Monthly_KRI_Trend!T10&lt;Monthly_KRI_Trend!F10,"Green",IF(Monthly_KRI_Trend!T10&lt;Monthly_KRI_Trend!E10,"Amber","Red")),IF(Monthly_KRI_Trend!T10&gt;Monthly_KRI_Trend!F10,"Green",IF(Monthly_KRI_Trend!T10&gt;Monthly_KRI_Trend!E10,"Amber","Red"))),"")</f>
        <v>Green</v>
      </c>
      <c r="K9" s="26" t="s">
        <v>260</v>
      </c>
      <c r="L9" s="27">
        <f>IFERROR(Monthly_KRI_Trend!V10,"")</f>
        <v>0</v>
      </c>
      <c r="M9" s="23" t="s">
        <v>261</v>
      </c>
      <c r="N9" s="15">
        <f t="shared" si="0"/>
        <v>1</v>
      </c>
      <c r="O9" s="15" t="str">
        <f t="shared" si="1"/>
        <v>OK</v>
      </c>
    </row>
    <row r="10" spans="1:15" ht="15" customHeight="1" x14ac:dyDescent="0.25">
      <c r="A10" s="16">
        <v>9</v>
      </c>
      <c r="B10" s="17" t="s">
        <v>220</v>
      </c>
      <c r="C10" s="17" t="s">
        <v>262</v>
      </c>
      <c r="D10" s="18">
        <f>IFERROR(Monthly_KRI_Trend!T10,"")</f>
        <v>63.101754385964917</v>
      </c>
      <c r="E10" s="16" t="s">
        <v>263</v>
      </c>
      <c r="F10" s="16" t="s">
        <v>264</v>
      </c>
      <c r="G10" s="16" t="s">
        <v>265</v>
      </c>
      <c r="H10" s="17" t="s">
        <v>225</v>
      </c>
      <c r="I10" s="16" t="s">
        <v>238</v>
      </c>
      <c r="J10" s="19" t="s">
        <v>266</v>
      </c>
      <c r="K10" s="28" t="s">
        <v>267</v>
      </c>
      <c r="L10" s="21" t="str">
        <f>IFERROR(Monthly_KRI_Trend!#REF!,"")</f>
        <v/>
      </c>
      <c r="M10" s="17" t="s">
        <v>268</v>
      </c>
      <c r="N10" s="15">
        <f t="shared" si="0"/>
        <v>1</v>
      </c>
      <c r="O10" s="15" t="str">
        <f t="shared" si="1"/>
        <v>OK</v>
      </c>
    </row>
    <row r="11" spans="1:15" ht="25.5" customHeight="1" x14ac:dyDescent="0.25">
      <c r="A11" s="16">
        <v>13</v>
      </c>
      <c r="B11" s="17" t="s">
        <v>269</v>
      </c>
      <c r="C11" s="17" t="s">
        <v>270</v>
      </c>
      <c r="D11" s="30">
        <f>IFERROR(Monthly_KRI_Trend!T14,"")</f>
        <v>88</v>
      </c>
      <c r="E11" s="16" t="s">
        <v>271</v>
      </c>
      <c r="F11" s="16" t="s">
        <v>272</v>
      </c>
      <c r="G11" s="16" t="s">
        <v>273</v>
      </c>
      <c r="H11" s="17" t="s">
        <v>20</v>
      </c>
      <c r="I11" s="16" t="s">
        <v>274</v>
      </c>
      <c r="J11" s="25" t="str">
        <f>IFERROR(IF(Monthly_KRI_Trend!D14="Lower Better",IF(Monthly_KRI_Trend!T14&lt;Monthly_KRI_Trend!F14,"Green",IF(Monthly_KRI_Trend!T14&lt;Monthly_KRI_Trend!E14,"Amber","Red")),IF(Monthly_KRI_Trend!T14&gt;Monthly_KRI_Trend!F14,"Green",IF(Monthly_KRI_Trend!T14&gt;Monthly_KRI_Trend!E14,"Amber","Red"))),"")</f>
        <v>Green</v>
      </c>
      <c r="K11" s="28" t="s">
        <v>275</v>
      </c>
      <c r="L11" s="31">
        <f>IFERROR(Monthly_KRI_Trend!V14,"")</f>
        <v>0</v>
      </c>
      <c r="M11" s="17" t="s">
        <v>276</v>
      </c>
      <c r="N11" s="15">
        <f t="shared" si="0"/>
        <v>1</v>
      </c>
      <c r="O11" s="15" t="str">
        <f t="shared" si="1"/>
        <v>OK</v>
      </c>
    </row>
    <row r="12" spans="1:15" ht="25.5" customHeight="1" x14ac:dyDescent="0.25">
      <c r="A12" s="22">
        <v>14</v>
      </c>
      <c r="B12" s="23" t="s">
        <v>269</v>
      </c>
      <c r="C12" s="23" t="s">
        <v>277</v>
      </c>
      <c r="D12" s="24">
        <v>3.8</v>
      </c>
      <c r="E12" s="22" t="s">
        <v>278</v>
      </c>
      <c r="F12" s="22" t="s">
        <v>279</v>
      </c>
      <c r="G12" s="22" t="s">
        <v>280</v>
      </c>
      <c r="H12" s="23" t="s">
        <v>281</v>
      </c>
      <c r="I12" s="22" t="s">
        <v>226</v>
      </c>
      <c r="J12" s="19" t="str">
        <f>IFERROR(IF(Monthly_KRI_Trend!D15="Lower Better",IF(Monthly_KRI_Trend!T15&lt;Monthly_KRI_Trend!F15,"Green",IF(Monthly_KRI_Trend!T15&lt;Monthly_KRI_Trend!E15,"Amber","Red")),IF(Monthly_KRI_Trend!T15&gt;Monthly_KRI_Trend!F15,"Green",IF(Monthly_KRI_Trend!T15&gt;Monthly_KRI_Trend!E15,"Amber","Red"))),"")</f>
        <v>Green</v>
      </c>
      <c r="K12" s="26" t="s">
        <v>282</v>
      </c>
      <c r="L12" s="27">
        <f>IFERROR(Monthly_KRI_Trend!V15,"")</f>
        <v>0</v>
      </c>
      <c r="M12" s="23" t="s">
        <v>283</v>
      </c>
      <c r="N12" s="15">
        <f t="shared" si="0"/>
        <v>1</v>
      </c>
      <c r="O12" s="15" t="str">
        <f t="shared" si="1"/>
        <v>OK</v>
      </c>
    </row>
    <row r="13" spans="1:15" ht="15" customHeight="1" x14ac:dyDescent="0.25">
      <c r="A13" s="16">
        <v>15</v>
      </c>
      <c r="B13" s="17" t="s">
        <v>269</v>
      </c>
      <c r="C13" s="17" t="s">
        <v>284</v>
      </c>
      <c r="D13" s="32">
        <v>-45</v>
      </c>
      <c r="E13" s="16" t="s">
        <v>285</v>
      </c>
      <c r="F13" s="16" t="s">
        <v>286</v>
      </c>
      <c r="G13" s="16" t="s">
        <v>287</v>
      </c>
      <c r="H13" s="17" t="s">
        <v>20</v>
      </c>
      <c r="I13" s="16" t="s">
        <v>288</v>
      </c>
      <c r="J13" s="19" t="str">
        <f>IFERROR(IF(Monthly_KRI_Trend!D16="Lower Better",IF(Monthly_KRI_Trend!T16&lt;Monthly_KRI_Trend!F16,"Green",IF(Monthly_KRI_Trend!T16&lt;Monthly_KRI_Trend!E16,"Amber","Red")),IF(Monthly_KRI_Trend!T16&gt;Monthly_KRI_Trend!F16,"Green",IF(Monthly_KRI_Trend!T16&gt;Monthly_KRI_Trend!E16,"Amber","Red"))),"")</f>
        <v>Green</v>
      </c>
      <c r="K13" s="20" t="s">
        <v>289</v>
      </c>
      <c r="L13" s="33">
        <f>IFERROR(Monthly_KRI_Trend!V16,"")</f>
        <v>0</v>
      </c>
      <c r="M13" s="17" t="s">
        <v>283</v>
      </c>
      <c r="N13" s="15">
        <f t="shared" si="0"/>
        <v>1</v>
      </c>
      <c r="O13" s="15" t="str">
        <f t="shared" si="1"/>
        <v>OK</v>
      </c>
    </row>
    <row r="14" spans="1:15" ht="25.5" customHeight="1" x14ac:dyDescent="0.25">
      <c r="A14" s="22">
        <v>16</v>
      </c>
      <c r="B14" s="23" t="s">
        <v>269</v>
      </c>
      <c r="C14" s="23" t="s">
        <v>290</v>
      </c>
      <c r="D14" s="34">
        <f>IFERROR(Monthly_KRI_Trend!T14,"")</f>
        <v>88</v>
      </c>
      <c r="E14" s="22" t="s">
        <v>291</v>
      </c>
      <c r="F14" s="22" t="s">
        <v>292</v>
      </c>
      <c r="G14" s="22" t="s">
        <v>293</v>
      </c>
      <c r="H14" s="23" t="s">
        <v>20</v>
      </c>
      <c r="I14" s="22" t="s">
        <v>288</v>
      </c>
      <c r="J14" s="19" t="s">
        <v>266</v>
      </c>
      <c r="K14" s="29" t="s">
        <v>294</v>
      </c>
      <c r="L14" s="35">
        <f>IFERROR(Monthly_KRI_Trend!V17,"")</f>
        <v>0</v>
      </c>
      <c r="M14" s="23" t="s">
        <v>295</v>
      </c>
      <c r="N14" s="15">
        <f t="shared" si="0"/>
        <v>1</v>
      </c>
      <c r="O14" s="15" t="str">
        <f t="shared" si="1"/>
        <v>OK</v>
      </c>
    </row>
    <row r="15" spans="1:15" ht="15" customHeight="1" x14ac:dyDescent="0.25">
      <c r="A15" s="16">
        <v>17</v>
      </c>
      <c r="B15" s="17" t="s">
        <v>269</v>
      </c>
      <c r="C15" s="17" t="s">
        <v>296</v>
      </c>
      <c r="D15" s="36">
        <f>IFERROR(Monthly_KRI_Trend!T15,"")</f>
        <v>57.777777777777771</v>
      </c>
      <c r="E15" s="16" t="s">
        <v>297</v>
      </c>
      <c r="F15" s="16" t="s">
        <v>298</v>
      </c>
      <c r="G15" s="16" t="s">
        <v>299</v>
      </c>
      <c r="H15" s="17" t="s">
        <v>225</v>
      </c>
      <c r="I15" s="16" t="s">
        <v>288</v>
      </c>
      <c r="J15" s="19" t="s">
        <v>266</v>
      </c>
      <c r="K15" s="28" t="s">
        <v>300</v>
      </c>
      <c r="L15" s="37">
        <f>IFERROR(Monthly_KRI_Trend!V18,"")</f>
        <v>0</v>
      </c>
      <c r="M15" s="17" t="s">
        <v>283</v>
      </c>
      <c r="N15" s="15">
        <f t="shared" si="0"/>
        <v>1</v>
      </c>
      <c r="O15" s="15" t="str">
        <f t="shared" si="1"/>
        <v>OK</v>
      </c>
    </row>
    <row r="16" spans="1:15" ht="15" customHeight="1" x14ac:dyDescent="0.25">
      <c r="A16" s="22">
        <v>18</v>
      </c>
      <c r="B16" s="23" t="s">
        <v>269</v>
      </c>
      <c r="C16" s="23" t="s">
        <v>301</v>
      </c>
      <c r="D16" s="24">
        <v>19.3</v>
      </c>
      <c r="E16" s="22" t="s">
        <v>265</v>
      </c>
      <c r="F16" s="22" t="s">
        <v>302</v>
      </c>
      <c r="G16" s="22" t="s">
        <v>303</v>
      </c>
      <c r="H16" s="23" t="s">
        <v>225</v>
      </c>
      <c r="I16" s="22" t="s">
        <v>288</v>
      </c>
      <c r="J16" s="19" t="str">
        <f>IFERROR(IF(Monthly_KRI_Trend!D19="Lower Better",IF(Monthly_KRI_Trend!T19&lt;Monthly_KRI_Trend!F19,"Green",IF(Monthly_KRI_Trend!T19&lt;Monthly_KRI_Trend!E19,"Amber","Red")),IF(Monthly_KRI_Trend!T19&gt;Monthly_KRI_Trend!F19,"Green",IF(Monthly_KRI_Trend!T19&gt;Monthly_KRI_Trend!E19,"Amber","Red"))),"")</f>
        <v>Green</v>
      </c>
      <c r="K16" s="29" t="s">
        <v>304</v>
      </c>
      <c r="L16" s="27">
        <f>IFERROR(Monthly_KRI_Trend!V19,"")</f>
        <v>0.11777417828512071</v>
      </c>
      <c r="M16" s="23" t="s">
        <v>283</v>
      </c>
      <c r="N16" s="15">
        <f t="shared" si="0"/>
        <v>1</v>
      </c>
      <c r="O16" s="15" t="str">
        <f t="shared" si="1"/>
        <v>OK</v>
      </c>
    </row>
    <row r="17" spans="1:15" ht="15" customHeight="1" x14ac:dyDescent="0.25">
      <c r="A17" s="22">
        <v>20</v>
      </c>
      <c r="B17" s="23" t="s">
        <v>305</v>
      </c>
      <c r="C17" s="23" t="s">
        <v>306</v>
      </c>
      <c r="D17" s="24">
        <v>2.1</v>
      </c>
      <c r="E17" s="22" t="s">
        <v>307</v>
      </c>
      <c r="F17" s="22" t="s">
        <v>308</v>
      </c>
      <c r="G17" s="22" t="s">
        <v>309</v>
      </c>
      <c r="H17" s="23" t="s">
        <v>310</v>
      </c>
      <c r="I17" s="22" t="s">
        <v>311</v>
      </c>
      <c r="J17" s="19" t="str">
        <f>IFERROR(IF(Monthly_KRI_Trend!D21="Lower Better",IF(Monthly_KRI_Trend!T21&lt;Monthly_KRI_Trend!F21,"Green",IF(Monthly_KRI_Trend!T21&lt;Monthly_KRI_Trend!E21,"Amber","Red")),IF(Monthly_KRI_Trend!T21&gt;Monthly_KRI_Trend!F21,"Green",IF(Monthly_KRI_Trend!T21&gt;Monthly_KRI_Trend!E21,"Amber","Red"))),"")</f>
        <v>Red</v>
      </c>
      <c r="K17" s="26" t="s">
        <v>312</v>
      </c>
      <c r="L17" s="27">
        <f>IFERROR(Monthly_KRI_Trend!V21,"")</f>
        <v>8.538703994674246E-2</v>
      </c>
      <c r="M17" s="23" t="s">
        <v>283</v>
      </c>
      <c r="N17" s="15">
        <f t="shared" si="0"/>
        <v>3</v>
      </c>
      <c r="O17" s="15" t="str">
        <f t="shared" si="1"/>
        <v>YES</v>
      </c>
    </row>
    <row r="18" spans="1:15" ht="15" customHeight="1" x14ac:dyDescent="0.25">
      <c r="A18" s="16">
        <v>21</v>
      </c>
      <c r="B18" s="17" t="s">
        <v>305</v>
      </c>
      <c r="C18" s="17" t="s">
        <v>70</v>
      </c>
      <c r="D18" s="18">
        <f>IFERROR(Monthly_KRI_Trend!T17,"")</f>
        <v>3</v>
      </c>
      <c r="E18" s="16" t="s">
        <v>313</v>
      </c>
      <c r="F18" s="16" t="s">
        <v>314</v>
      </c>
      <c r="G18" s="16" t="s">
        <v>315</v>
      </c>
      <c r="H18" s="17" t="s">
        <v>71</v>
      </c>
      <c r="I18" s="16" t="s">
        <v>226</v>
      </c>
      <c r="J18" s="19" t="str">
        <f>IFERROR(IF(Monthly_KRI_Trend!D22="Lower Better",IF(Monthly_KRI_Trend!T22&lt;Monthly_KRI_Trend!F22,"Green",IF(Monthly_KRI_Trend!T22&lt;Monthly_KRI_Trend!E22,"Amber","Red")),IF(Monthly_KRI_Trend!T22&gt;Monthly_KRI_Trend!F22,"Green",IF(Monthly_KRI_Trend!T22&gt;Monthly_KRI_Trend!E22,"Amber","Red"))),"")</f>
        <v>Green</v>
      </c>
      <c r="K18" s="20" t="s">
        <v>316</v>
      </c>
      <c r="L18" s="21">
        <f>IFERROR(Monthly_KRI_Trend!V22,"")</f>
        <v>0</v>
      </c>
      <c r="M18" s="17" t="s">
        <v>283</v>
      </c>
      <c r="N18" s="15">
        <f t="shared" si="0"/>
        <v>1</v>
      </c>
      <c r="O18" s="15" t="str">
        <f t="shared" si="1"/>
        <v>OK</v>
      </c>
    </row>
    <row r="19" spans="1:15" ht="15" customHeight="1" x14ac:dyDescent="0.25">
      <c r="A19" s="22">
        <v>22</v>
      </c>
      <c r="B19" s="23" t="s">
        <v>305</v>
      </c>
      <c r="C19" s="23" t="s">
        <v>317</v>
      </c>
      <c r="D19" s="24">
        <f>IFERROR(Monthly_KRI_Trend!T18,"")</f>
        <v>18</v>
      </c>
      <c r="E19" s="22" t="s">
        <v>318</v>
      </c>
      <c r="F19" s="22" t="s">
        <v>319</v>
      </c>
      <c r="G19" s="22" t="s">
        <v>320</v>
      </c>
      <c r="H19" s="23" t="s">
        <v>71</v>
      </c>
      <c r="I19" s="22" t="s">
        <v>226</v>
      </c>
      <c r="J19" s="25" t="s">
        <v>321</v>
      </c>
      <c r="K19" s="29" t="s">
        <v>322</v>
      </c>
      <c r="L19" s="27">
        <f>IFERROR(Monthly_KRI_Trend!V23,"")</f>
        <v>0</v>
      </c>
      <c r="M19" s="23" t="s">
        <v>283</v>
      </c>
      <c r="N19" s="15">
        <f t="shared" si="0"/>
        <v>2</v>
      </c>
      <c r="O19" s="15" t="str">
        <f t="shared" si="1"/>
        <v>WATCH</v>
      </c>
    </row>
    <row r="20" spans="1:15" ht="15" customHeight="1" x14ac:dyDescent="0.25">
      <c r="A20" s="16">
        <v>23</v>
      </c>
      <c r="B20" s="17" t="s">
        <v>305</v>
      </c>
      <c r="C20" s="17" t="s">
        <v>323</v>
      </c>
      <c r="D20" s="18">
        <v>92</v>
      </c>
      <c r="E20" s="16" t="s">
        <v>324</v>
      </c>
      <c r="F20" s="16" t="s">
        <v>325</v>
      </c>
      <c r="G20" s="16" t="s">
        <v>326</v>
      </c>
      <c r="H20" s="17" t="s">
        <v>225</v>
      </c>
      <c r="I20" s="16" t="s">
        <v>238</v>
      </c>
      <c r="J20" s="25" t="str">
        <f>IFERROR(IF(Monthly_KRI_Trend!D24="Lower Better",IF(Monthly_KRI_Trend!T24&lt;Monthly_KRI_Trend!F24,"Green",IF(Monthly_KRI_Trend!T24&lt;Monthly_KRI_Trend!E24,"Amber","Red")),IF(Monthly_KRI_Trend!T24&gt;Monthly_KRI_Trend!F24,"Green",IF(Monthly_KRI_Trend!T24&gt;Monthly_KRI_Trend!E24,"Amber","Red"))),"")</f>
        <v>Green</v>
      </c>
      <c r="K20" s="28" t="s">
        <v>327</v>
      </c>
      <c r="L20" s="21">
        <f>IFERROR(Monthly_KRI_Trend!V24,"")</f>
        <v>0</v>
      </c>
      <c r="M20" s="17" t="s">
        <v>328</v>
      </c>
      <c r="N20" s="15">
        <f t="shared" si="0"/>
        <v>1</v>
      </c>
      <c r="O20" s="15" t="str">
        <f t="shared" si="1"/>
        <v>OK</v>
      </c>
    </row>
    <row r="21" spans="1:15" ht="15" customHeight="1" x14ac:dyDescent="0.25">
      <c r="A21" s="22">
        <v>24</v>
      </c>
      <c r="B21" s="23" t="s">
        <v>329</v>
      </c>
      <c r="C21" s="23" t="s">
        <v>330</v>
      </c>
      <c r="D21" s="24">
        <f>IFERROR(Monthly_KRI_Trend!T19,"")</f>
        <v>19.323500260386041</v>
      </c>
      <c r="E21" s="22" t="s">
        <v>331</v>
      </c>
      <c r="F21" s="22" t="s">
        <v>332</v>
      </c>
      <c r="G21" s="22" t="s">
        <v>333</v>
      </c>
      <c r="H21" s="23" t="s">
        <v>225</v>
      </c>
      <c r="I21" s="22" t="s">
        <v>238</v>
      </c>
      <c r="J21" s="19" t="str">
        <f>IFERROR(IF(Monthly_KRI_Trend!D19="Lower Better",IF(Monthly_KRI_Trend!T19&lt;Monthly_KRI_Trend!F19,"Green",IF(Monthly_KRI_Trend!T19&lt;Monthly_KRI_Trend!E19,"Amber","Red")),IF(Monthly_KRI_Trend!T19&gt;Monthly_KRI_Trend!F19,"Green",IF(Monthly_KRI_Trend!T19&gt;Monthly_KRI_Trend!E19,"Amber","Red"))),"")</f>
        <v>Green</v>
      </c>
      <c r="K21" s="26" t="s">
        <v>334</v>
      </c>
      <c r="L21" s="27">
        <f>IFERROR(Monthly_KRI_Trend!V19,"")</f>
        <v>0.11777417828512071</v>
      </c>
      <c r="M21" s="23" t="s">
        <v>335</v>
      </c>
      <c r="N21" s="15">
        <f t="shared" si="0"/>
        <v>1</v>
      </c>
      <c r="O21" s="15" t="str">
        <f t="shared" si="1"/>
        <v>OK</v>
      </c>
    </row>
    <row r="22" spans="1:15" ht="15" customHeight="1" x14ac:dyDescent="0.25">
      <c r="A22" s="16">
        <v>25</v>
      </c>
      <c r="B22" s="17" t="s">
        <v>329</v>
      </c>
      <c r="C22" s="17" t="s">
        <v>336</v>
      </c>
      <c r="D22" s="30">
        <f>IFERROR(Monthly_KRI_Trend!T20,"")</f>
        <v>15.625850454415643</v>
      </c>
      <c r="E22" s="16" t="s">
        <v>337</v>
      </c>
      <c r="F22" s="16" t="s">
        <v>338</v>
      </c>
      <c r="G22" s="16" t="s">
        <v>339</v>
      </c>
      <c r="H22" s="17" t="s">
        <v>225</v>
      </c>
      <c r="I22" s="16" t="s">
        <v>238</v>
      </c>
      <c r="J22" s="19" t="str">
        <f>IFERROR(IF(Monthly_KRI_Trend!D20="Lower Better",IF(Monthly_KRI_Trend!T20&lt;Monthly_KRI_Trend!F20,"Green",IF(Monthly_KRI_Trend!T20&lt;Monthly_KRI_Trend!E20,"Amber","Red")),IF(Monthly_KRI_Trend!T20&gt;Monthly_KRI_Trend!F20,"Green",IF(Monthly_KRI_Trend!T20&gt;Monthly_KRI_Trend!E20,"Amber","Red"))),"")</f>
        <v>Green</v>
      </c>
      <c r="K22" s="20" t="s">
        <v>340</v>
      </c>
      <c r="L22" s="31">
        <f>IFERROR(Monthly_KRI_Trend!V20,"")</f>
        <v>0.12646807260915338</v>
      </c>
      <c r="M22" s="17" t="s">
        <v>261</v>
      </c>
      <c r="N22" s="15">
        <f t="shared" si="0"/>
        <v>1</v>
      </c>
      <c r="O22" s="15" t="str">
        <f t="shared" si="1"/>
        <v>OK</v>
      </c>
    </row>
    <row r="23" spans="1:15" ht="15" customHeight="1" x14ac:dyDescent="0.25">
      <c r="A23" s="22">
        <v>26</v>
      </c>
      <c r="B23" s="23" t="s">
        <v>329</v>
      </c>
      <c r="C23" s="23" t="s">
        <v>341</v>
      </c>
      <c r="D23" s="24">
        <f>IFERROR(Monthly_Data!N30/Monthly_Data!N32*100,"")</f>
        <v>16.464041527374132</v>
      </c>
      <c r="E23" s="22" t="s">
        <v>342</v>
      </c>
      <c r="F23" s="22" t="s">
        <v>343</v>
      </c>
      <c r="G23" s="22" t="s">
        <v>344</v>
      </c>
      <c r="H23" s="23" t="s">
        <v>225</v>
      </c>
      <c r="I23" s="22" t="s">
        <v>238</v>
      </c>
      <c r="J23" s="19" t="str">
        <f>IFERROR(IF(D23&gt;12,"Green",IF(D23&gt;10,"Amber","Red")),"")</f>
        <v>Green</v>
      </c>
      <c r="K23" s="26" t="s">
        <v>345</v>
      </c>
      <c r="L23" s="27">
        <f>IFERROR(D23-(Monthly_Data!M30/Monthly_Data!M32*100),"")</f>
        <v>0.11996050940398106</v>
      </c>
      <c r="M23" s="23" t="s">
        <v>261</v>
      </c>
      <c r="N23" s="15">
        <f t="shared" si="0"/>
        <v>1</v>
      </c>
      <c r="O23" s="15" t="str">
        <f t="shared" si="1"/>
        <v>OK</v>
      </c>
    </row>
    <row r="24" spans="1:15" ht="15" customHeight="1" x14ac:dyDescent="0.25">
      <c r="A24" s="16">
        <v>27</v>
      </c>
      <c r="B24" s="17" t="s">
        <v>329</v>
      </c>
      <c r="C24" s="17" t="s">
        <v>346</v>
      </c>
      <c r="D24" s="18">
        <v>2.5</v>
      </c>
      <c r="E24" s="16" t="s">
        <v>347</v>
      </c>
      <c r="F24" s="16" t="s">
        <v>348</v>
      </c>
      <c r="G24" s="16" t="s">
        <v>349</v>
      </c>
      <c r="H24" s="17" t="s">
        <v>225</v>
      </c>
      <c r="I24" s="16" t="s">
        <v>238</v>
      </c>
      <c r="J24" s="19" t="str">
        <f>IF(D24&gt;=2.5,"Green",IF(D24&gt;=1.875,"Amber","Red"))</f>
        <v>Green</v>
      </c>
      <c r="K24" s="28" t="s">
        <v>350</v>
      </c>
      <c r="L24" s="21">
        <v>0</v>
      </c>
      <c r="M24" s="17" t="s">
        <v>276</v>
      </c>
      <c r="N24" s="15">
        <f t="shared" si="0"/>
        <v>1</v>
      </c>
      <c r="O24" s="15" t="str">
        <f t="shared" si="1"/>
        <v>OK</v>
      </c>
    </row>
    <row r="25" spans="1:15" ht="25.5" customHeight="1" x14ac:dyDescent="0.25">
      <c r="A25" s="16">
        <v>29</v>
      </c>
      <c r="B25" s="17" t="s">
        <v>351</v>
      </c>
      <c r="C25" s="17" t="s">
        <v>352</v>
      </c>
      <c r="D25" s="18">
        <f>IFERROR(Monthly_KRI_Trend!T22,"")</f>
        <v>128.00499531689042</v>
      </c>
      <c r="E25" s="16" t="s">
        <v>353</v>
      </c>
      <c r="F25" s="16" t="s">
        <v>354</v>
      </c>
      <c r="G25" s="16" t="s">
        <v>355</v>
      </c>
      <c r="H25" s="17" t="s">
        <v>225</v>
      </c>
      <c r="I25" s="16" t="s">
        <v>288</v>
      </c>
      <c r="J25" s="19" t="str">
        <f>IFERROR(IF(Monthly_KRI_Trend!D22="Lower Better",IF(Monthly_KRI_Trend!T22&lt;Monthly_KRI_Trend!F22,"Green",IF(Monthly_KRI_Trend!T22&lt;Monthly_KRI_Trend!E22,"Amber","Red")),IF(Monthly_KRI_Trend!T22&gt;Monthly_KRI_Trend!F22,"Green",IF(Monthly_KRI_Trend!T22&gt;Monthly_KRI_Trend!E22,"Amber","Red"))),"")</f>
        <v>Green</v>
      </c>
      <c r="K25" s="20" t="s">
        <v>356</v>
      </c>
      <c r="L25" s="21">
        <f>IFERROR(Monthly_KRI_Trend!V22,"")</f>
        <v>0</v>
      </c>
      <c r="M25" s="17" t="s">
        <v>261</v>
      </c>
      <c r="N25" s="15">
        <f t="shared" si="0"/>
        <v>1</v>
      </c>
      <c r="O25" s="15" t="str">
        <f t="shared" si="1"/>
        <v>OK</v>
      </c>
    </row>
    <row r="26" spans="1:15" ht="25.5" customHeight="1" x14ac:dyDescent="0.25">
      <c r="A26" s="22">
        <v>30</v>
      </c>
      <c r="B26" s="23" t="s">
        <v>351</v>
      </c>
      <c r="C26" s="23" t="s">
        <v>357</v>
      </c>
      <c r="D26" s="38">
        <f>IFERROR(Monthly_KRI_Trend!T23,"")</f>
        <v>112.99994226280323</v>
      </c>
      <c r="E26" s="22" t="s">
        <v>358</v>
      </c>
      <c r="F26" s="22" t="s">
        <v>359</v>
      </c>
      <c r="G26" s="22" t="s">
        <v>355</v>
      </c>
      <c r="H26" s="23" t="s">
        <v>225</v>
      </c>
      <c r="I26" s="22" t="s">
        <v>226</v>
      </c>
      <c r="J26" s="19" t="str">
        <f>IFERROR(IF(Monthly_KRI_Trend!D23="Lower Better",IF(Monthly_KRI_Trend!T23&lt;Monthly_KRI_Trend!F23,"Green",IF(Monthly_KRI_Trend!T23&lt;Monthly_KRI_Trend!E23,"Amber","Red")),IF(Monthly_KRI_Trend!T23&gt;Monthly_KRI_Trend!F23,"Green",IF(Monthly_KRI_Trend!T23&gt;Monthly_KRI_Trend!E23,"Amber","Red"))),"")</f>
        <v>Green</v>
      </c>
      <c r="K26" s="29" t="s">
        <v>360</v>
      </c>
      <c r="L26" s="39">
        <f>IFERROR(Monthly_KRI_Trend!V23,"")</f>
        <v>0</v>
      </c>
      <c r="M26" s="23" t="s">
        <v>261</v>
      </c>
      <c r="N26" s="15">
        <f t="shared" si="0"/>
        <v>1</v>
      </c>
      <c r="O26" s="15" t="str">
        <f t="shared" si="1"/>
        <v>OK</v>
      </c>
    </row>
    <row r="27" spans="1:15" ht="25.5" customHeight="1" x14ac:dyDescent="0.25">
      <c r="A27" s="16">
        <v>31</v>
      </c>
      <c r="B27" s="17" t="s">
        <v>351</v>
      </c>
      <c r="C27" s="17" t="s">
        <v>361</v>
      </c>
      <c r="D27" s="18">
        <f>IFERROR(Monthly_KRI_Trend!T24,"")</f>
        <v>22.6</v>
      </c>
      <c r="E27" s="16" t="s">
        <v>362</v>
      </c>
      <c r="F27" s="16" t="s">
        <v>363</v>
      </c>
      <c r="G27" s="16" t="s">
        <v>364</v>
      </c>
      <c r="H27" s="17" t="s">
        <v>225</v>
      </c>
      <c r="I27" s="16" t="s">
        <v>365</v>
      </c>
      <c r="J27" s="19" t="str">
        <f>IFERROR(IF(Monthly_KRI_Trend!D24="Lower Better",IF(Monthly_KRI_Trend!T24&lt;Monthly_KRI_Trend!F24,"Green",IF(Monthly_KRI_Trend!T24&lt;Monthly_KRI_Trend!E24,"Amber","Red")),IF(Monthly_KRI_Trend!T24&gt;Monthly_KRI_Trend!F24,"Green",IF(Monthly_KRI_Trend!T24&gt;Monthly_KRI_Trend!E24,"Amber","Red"))),"")</f>
        <v>Green</v>
      </c>
      <c r="K27" s="20" t="s">
        <v>366</v>
      </c>
      <c r="L27" s="21">
        <f>IFERROR(Monthly_KRI_Trend!V24,"")</f>
        <v>0</v>
      </c>
      <c r="M27" s="17" t="s">
        <v>261</v>
      </c>
      <c r="N27" s="15">
        <f t="shared" si="0"/>
        <v>1</v>
      </c>
      <c r="O27" s="15" t="str">
        <f t="shared" si="1"/>
        <v>OK</v>
      </c>
    </row>
    <row r="28" spans="1:15" ht="15" customHeight="1" x14ac:dyDescent="0.25">
      <c r="A28" s="22">
        <v>32</v>
      </c>
      <c r="B28" s="23" t="s">
        <v>351</v>
      </c>
      <c r="C28" s="23" t="s">
        <v>367</v>
      </c>
      <c r="D28" s="34">
        <f>IFERROR(Monthly_KRI_Trend!T33,"")</f>
        <v>4</v>
      </c>
      <c r="E28" s="22" t="s">
        <v>232</v>
      </c>
      <c r="F28" s="22" t="s">
        <v>368</v>
      </c>
      <c r="G28" s="22" t="s">
        <v>242</v>
      </c>
      <c r="H28" s="23" t="s">
        <v>225</v>
      </c>
      <c r="I28" s="22" t="s">
        <v>365</v>
      </c>
      <c r="J28" s="19" t="str">
        <f>IFERROR(IF(Monthly_KRI_Trend!D33="Lower Better",IF(Monthly_KRI_Trend!T33&lt;Monthly_KRI_Trend!F33,"Green",IF(Monthly_KRI_Trend!T33&lt;Monthly_KRI_Trend!E33,"Amber","Red")),IF(Monthly_KRI_Trend!T33&gt;Monthly_KRI_Trend!F33,"Green",IF(Monthly_KRI_Trend!T33&gt;Monthly_KRI_Trend!E33,"Amber","Red"))),"")</f>
        <v>Green</v>
      </c>
      <c r="K28" s="29" t="s">
        <v>369</v>
      </c>
      <c r="L28" s="35">
        <f>IFERROR(Monthly_KRI_Trend!V33,"")</f>
        <v>0</v>
      </c>
      <c r="M28" s="23" t="s">
        <v>261</v>
      </c>
      <c r="N28" s="15">
        <f t="shared" si="0"/>
        <v>1</v>
      </c>
      <c r="O28" s="15" t="str">
        <f t="shared" si="1"/>
        <v>OK</v>
      </c>
    </row>
    <row r="29" spans="1:15" ht="15" customHeight="1" x14ac:dyDescent="0.25">
      <c r="A29" s="22">
        <v>40</v>
      </c>
      <c r="B29" s="23" t="s">
        <v>351</v>
      </c>
      <c r="C29" s="23" t="s">
        <v>370</v>
      </c>
      <c r="D29" s="24">
        <f>IFERROR(Monthly_KRI_Trend!T35,"")</f>
        <v>31.5</v>
      </c>
      <c r="E29" s="22" t="s">
        <v>371</v>
      </c>
      <c r="F29" s="22" t="s">
        <v>372</v>
      </c>
      <c r="G29" s="22" t="s">
        <v>373</v>
      </c>
      <c r="H29" s="23" t="s">
        <v>20</v>
      </c>
      <c r="I29" s="22" t="s">
        <v>288</v>
      </c>
      <c r="J29" s="19" t="str">
        <f>IFERROR(IF(Monthly_KRI_Trend!D35="Lower Better",IF(Monthly_KRI_Trend!T35&lt;Monthly_KRI_Trend!F35,"Green",IF(Monthly_KRI_Trend!T35&lt;Monthly_KRI_Trend!E35,"Amber","Red")),IF(Monthly_KRI_Trend!T35&gt;Monthly_KRI_Trend!F35,"Green",IF(Monthly_KRI_Trend!T35&gt;Monthly_KRI_Trend!E35,"Amber","Red"))),"")</f>
        <v>Red</v>
      </c>
      <c r="K29" s="29" t="s">
        <v>374</v>
      </c>
      <c r="L29" s="27">
        <f>IFERROR(Monthly_KRI_Trend!V35,"")</f>
        <v>0</v>
      </c>
      <c r="M29" s="23" t="s">
        <v>375</v>
      </c>
      <c r="N29" s="15">
        <f t="shared" si="0"/>
        <v>3</v>
      </c>
      <c r="O29" s="15" t="str">
        <f t="shared" si="1"/>
        <v>YES</v>
      </c>
    </row>
    <row r="30" spans="1:15" ht="25.5" customHeight="1" x14ac:dyDescent="0.25">
      <c r="A30" s="22">
        <v>36</v>
      </c>
      <c r="B30" s="23" t="s">
        <v>376</v>
      </c>
      <c r="C30" s="23" t="s">
        <v>377</v>
      </c>
      <c r="D30" s="24">
        <f>IFERROR(Monthly_KRI_Trend!T28,"")</f>
        <v>-6.2</v>
      </c>
      <c r="E30" s="22" t="s">
        <v>378</v>
      </c>
      <c r="F30" s="22" t="s">
        <v>379</v>
      </c>
      <c r="G30" s="22" t="s">
        <v>380</v>
      </c>
      <c r="H30" s="23" t="s">
        <v>381</v>
      </c>
      <c r="I30" s="22" t="s">
        <v>238</v>
      </c>
      <c r="J30" s="19" t="str">
        <f>IFERROR(IF(Monthly_KRI_Trend!D28="Lower Better",IF(Monthly_KRI_Trend!T28&lt;Monthly_KRI_Trend!F28,"Green",IF(Monthly_KRI_Trend!T28&lt;Monthly_KRI_Trend!E28,"Amber","Red")),IF(Monthly_KRI_Trend!T28&gt;Monthly_KRI_Trend!F28,"Green",IF(Monthly_KRI_Trend!T28&gt;Monthly_KRI_Trend!E28,"Amber","Red"))),"")</f>
        <v>Green</v>
      </c>
      <c r="K30" s="29" t="s">
        <v>382</v>
      </c>
      <c r="L30" s="27">
        <f>IFERROR(Monthly_KRI_Trend!V28,"")</f>
        <v>0</v>
      </c>
      <c r="M30" s="23" t="s">
        <v>383</v>
      </c>
      <c r="N30" s="15">
        <f t="shared" si="0"/>
        <v>1</v>
      </c>
      <c r="O30" s="15" t="str">
        <f t="shared" si="1"/>
        <v>OK</v>
      </c>
    </row>
    <row r="31" spans="1:15" ht="15" customHeight="1" x14ac:dyDescent="0.25">
      <c r="A31" s="16">
        <v>37</v>
      </c>
      <c r="B31" s="17" t="s">
        <v>376</v>
      </c>
      <c r="C31" s="17" t="s">
        <v>384</v>
      </c>
      <c r="D31" s="36">
        <f>IFERROR(Monthly_KRI_Trend!T38,"")</f>
        <v>2</v>
      </c>
      <c r="E31" s="16" t="s">
        <v>385</v>
      </c>
      <c r="F31" s="16" t="s">
        <v>386</v>
      </c>
      <c r="G31" s="16" t="s">
        <v>387</v>
      </c>
      <c r="H31" s="17" t="s">
        <v>281</v>
      </c>
      <c r="I31" s="16" t="s">
        <v>238</v>
      </c>
      <c r="J31" s="19" t="str">
        <f>IFERROR(IF(Monthly_KRI_Trend!D38="Lower Better",IF(Monthly_KRI_Trend!T38&lt;Monthly_KRI_Trend!F38,"Green",IF(Monthly_KRI_Trend!T38&lt;Monthly_KRI_Trend!E38,"Amber","Red")),IF(Monthly_KRI_Trend!T38&gt;Monthly_KRI_Trend!F38,"Green",IF(Monthly_KRI_Trend!T38&gt;Monthly_KRI_Trend!E38,"Amber","Red"))),"")</f>
        <v>Green</v>
      </c>
      <c r="K31" s="20" t="s">
        <v>388</v>
      </c>
      <c r="L31" s="37">
        <f>IFERROR(Monthly_KRI_Trend!V38,"")</f>
        <v>0</v>
      </c>
      <c r="M31" s="17" t="s">
        <v>283</v>
      </c>
      <c r="N31" s="15">
        <f t="shared" si="0"/>
        <v>1</v>
      </c>
      <c r="O31" s="15" t="str">
        <f t="shared" si="1"/>
        <v>OK</v>
      </c>
    </row>
    <row r="32" spans="1:15" ht="25.5" customHeight="1" x14ac:dyDescent="0.25">
      <c r="A32" s="16">
        <v>39</v>
      </c>
      <c r="B32" s="17" t="s">
        <v>376</v>
      </c>
      <c r="C32" s="17" t="s">
        <v>389</v>
      </c>
      <c r="D32" s="18">
        <v>0.65</v>
      </c>
      <c r="E32" s="16" t="s">
        <v>248</v>
      </c>
      <c r="F32" s="16" t="s">
        <v>390</v>
      </c>
      <c r="G32" s="16" t="s">
        <v>391</v>
      </c>
      <c r="H32" s="17" t="s">
        <v>392</v>
      </c>
      <c r="I32" s="16" t="s">
        <v>238</v>
      </c>
      <c r="J32" s="19" t="str">
        <f>IF(D32&lt;1,"Green",IF(D32&lt;=1.5,"Amber","Red"))</f>
        <v>Green</v>
      </c>
      <c r="K32" s="20" t="s">
        <v>393</v>
      </c>
      <c r="L32" s="21">
        <v>0</v>
      </c>
      <c r="M32" s="17" t="s">
        <v>261</v>
      </c>
      <c r="N32" s="15">
        <f t="shared" si="0"/>
        <v>1</v>
      </c>
      <c r="O32" s="15" t="str">
        <f t="shared" si="1"/>
        <v>OK</v>
      </c>
    </row>
    <row r="33" spans="1:15" ht="15" customHeight="1" x14ac:dyDescent="0.25">
      <c r="A33" s="22">
        <v>40</v>
      </c>
      <c r="B33" s="23" t="s">
        <v>394</v>
      </c>
      <c r="C33" s="23" t="s">
        <v>395</v>
      </c>
      <c r="D33" s="24">
        <f>IFERROR(Monthly_KRI_Trend!T41,"")</f>
        <v>94.760360610986993</v>
      </c>
      <c r="E33" s="22" t="s">
        <v>396</v>
      </c>
      <c r="F33" s="22" t="s">
        <v>397</v>
      </c>
      <c r="G33" s="22" t="s">
        <v>398</v>
      </c>
      <c r="H33" s="23" t="s">
        <v>225</v>
      </c>
      <c r="I33" s="22" t="s">
        <v>226</v>
      </c>
      <c r="J33" s="25" t="str">
        <f>IFERROR(IF(Monthly_KRI_Trend!D41="Lower Better",IF(Monthly_KRI_Trend!T41&lt;Monthly_KRI_Trend!F41,"Green",IF(Monthly_KRI_Trend!T41&lt;Monthly_KRI_Trend!E41,"Amber","Red")),IF(Monthly_KRI_Trend!T41&gt;Monthly_KRI_Trend!F41,"Green",IF(Monthly_KRI_Trend!T41&gt;Monthly_KRI_Trend!E41,"Amber","Red"))),"")</f>
        <v>Red</v>
      </c>
      <c r="K33" s="29" t="s">
        <v>399</v>
      </c>
      <c r="L33" s="27">
        <f>IFERROR(Monthly_KRI_Trend!V41,"")</f>
        <v>-1.2731894586153061</v>
      </c>
      <c r="M33" s="23" t="s">
        <v>400</v>
      </c>
      <c r="N33" s="15">
        <f t="shared" si="0"/>
        <v>3</v>
      </c>
      <c r="O33" s="15" t="str">
        <f t="shared" si="1"/>
        <v>YES</v>
      </c>
    </row>
    <row r="34" spans="1:15" ht="15" customHeight="1" x14ac:dyDescent="0.25">
      <c r="A34" s="16">
        <v>41</v>
      </c>
      <c r="B34" s="17" t="s">
        <v>394</v>
      </c>
      <c r="C34" s="17" t="s">
        <v>401</v>
      </c>
      <c r="D34" s="40">
        <v>72</v>
      </c>
      <c r="E34" s="16" t="s">
        <v>402</v>
      </c>
      <c r="F34" s="16" t="s">
        <v>403</v>
      </c>
      <c r="G34" s="16" t="s">
        <v>299</v>
      </c>
      <c r="H34" s="17" t="s">
        <v>225</v>
      </c>
      <c r="I34" s="16" t="s">
        <v>226</v>
      </c>
      <c r="J34" s="41" t="s">
        <v>321</v>
      </c>
      <c r="K34" s="20" t="s">
        <v>404</v>
      </c>
      <c r="L34" s="17" t="s">
        <v>125</v>
      </c>
      <c r="M34" s="17" t="s">
        <v>400</v>
      </c>
      <c r="N34" s="15">
        <f t="shared" si="0"/>
        <v>2</v>
      </c>
      <c r="O34" s="15" t="str">
        <f t="shared" si="1"/>
        <v>WATCH</v>
      </c>
    </row>
    <row r="35" spans="1:15" ht="25.5" customHeight="1" x14ac:dyDescent="0.25">
      <c r="A35" s="22">
        <v>42</v>
      </c>
      <c r="B35" s="23" t="s">
        <v>394</v>
      </c>
      <c r="C35" s="23" t="s">
        <v>405</v>
      </c>
      <c r="D35" s="42">
        <v>42</v>
      </c>
      <c r="E35" s="22" t="s">
        <v>406</v>
      </c>
      <c r="F35" s="22" t="s">
        <v>407</v>
      </c>
      <c r="G35" s="22" t="s">
        <v>408</v>
      </c>
      <c r="H35" s="23" t="s">
        <v>409</v>
      </c>
      <c r="I35" s="22" t="s">
        <v>238</v>
      </c>
      <c r="J35" s="41" t="s">
        <v>321</v>
      </c>
      <c r="K35" s="26" t="s">
        <v>410</v>
      </c>
      <c r="L35" s="23" t="s">
        <v>125</v>
      </c>
      <c r="M35" s="23" t="s">
        <v>283</v>
      </c>
      <c r="N35" s="15">
        <f t="shared" ref="N35:N62" si="2">IF(J35="Green",1,IF(J35="Amber",2,IF(J35="Red",3,"")))</f>
        <v>2</v>
      </c>
      <c r="O35" s="15" t="str">
        <f t="shared" ref="O35:O62" si="3">IF(J35="Red","YES",IF(J35="Amber","WATCH","OK"))</f>
        <v>WATCH</v>
      </c>
    </row>
    <row r="36" spans="1:15" ht="15" customHeight="1" x14ac:dyDescent="0.25">
      <c r="A36" s="16">
        <v>43</v>
      </c>
      <c r="B36" s="17" t="s">
        <v>394</v>
      </c>
      <c r="C36" s="17" t="s">
        <v>411</v>
      </c>
      <c r="D36" s="40">
        <v>0.18</v>
      </c>
      <c r="E36" s="16" t="s">
        <v>412</v>
      </c>
      <c r="F36" s="16" t="s">
        <v>413</v>
      </c>
      <c r="G36" s="16" t="s">
        <v>414</v>
      </c>
      <c r="H36" s="17" t="s">
        <v>415</v>
      </c>
      <c r="I36" s="16" t="s">
        <v>238</v>
      </c>
      <c r="J36" s="43" t="s">
        <v>266</v>
      </c>
      <c r="K36" s="28" t="s">
        <v>416</v>
      </c>
      <c r="L36" s="17" t="s">
        <v>125</v>
      </c>
      <c r="M36" s="17" t="s">
        <v>283</v>
      </c>
      <c r="N36" s="15">
        <f t="shared" si="2"/>
        <v>1</v>
      </c>
      <c r="O36" s="15" t="str">
        <f t="shared" si="3"/>
        <v>OK</v>
      </c>
    </row>
    <row r="37" spans="1:15" ht="15" customHeight="1" x14ac:dyDescent="0.25">
      <c r="A37" s="22">
        <v>44</v>
      </c>
      <c r="B37" s="23" t="s">
        <v>394</v>
      </c>
      <c r="C37" s="23" t="s">
        <v>417</v>
      </c>
      <c r="D37" s="42">
        <v>22</v>
      </c>
      <c r="E37" s="22" t="s">
        <v>418</v>
      </c>
      <c r="F37" s="22" t="s">
        <v>419</v>
      </c>
      <c r="G37" s="22" t="s">
        <v>420</v>
      </c>
      <c r="H37" s="23" t="s">
        <v>225</v>
      </c>
      <c r="I37" s="22" t="s">
        <v>226</v>
      </c>
      <c r="J37" s="41" t="s">
        <v>321</v>
      </c>
      <c r="K37" s="26" t="s">
        <v>421</v>
      </c>
      <c r="L37" s="23" t="s">
        <v>422</v>
      </c>
      <c r="M37" s="23" t="s">
        <v>283</v>
      </c>
      <c r="N37" s="15">
        <f t="shared" si="2"/>
        <v>2</v>
      </c>
      <c r="O37" s="15" t="str">
        <f t="shared" si="3"/>
        <v>WATCH</v>
      </c>
    </row>
    <row r="38" spans="1:15" ht="25.5" customHeight="1" x14ac:dyDescent="0.25">
      <c r="A38" s="16">
        <v>45</v>
      </c>
      <c r="B38" s="17" t="s">
        <v>423</v>
      </c>
      <c r="C38" s="17" t="s">
        <v>424</v>
      </c>
      <c r="D38" s="40">
        <v>4200</v>
      </c>
      <c r="E38" s="16" t="s">
        <v>425</v>
      </c>
      <c r="F38" s="16" t="s">
        <v>426</v>
      </c>
      <c r="G38" s="16" t="s">
        <v>427</v>
      </c>
      <c r="H38" s="17" t="s">
        <v>20</v>
      </c>
      <c r="I38" s="16" t="s">
        <v>238</v>
      </c>
      <c r="J38" s="41" t="s">
        <v>321</v>
      </c>
      <c r="K38" s="28" t="s">
        <v>428</v>
      </c>
      <c r="L38" s="17" t="s">
        <v>120</v>
      </c>
      <c r="M38" s="17" t="s">
        <v>429</v>
      </c>
      <c r="N38" s="15">
        <f t="shared" si="2"/>
        <v>2</v>
      </c>
      <c r="O38" s="15" t="str">
        <f t="shared" si="3"/>
        <v>WATCH</v>
      </c>
    </row>
    <row r="39" spans="1:15" ht="25.5" customHeight="1" x14ac:dyDescent="0.25">
      <c r="A39" s="22">
        <v>46</v>
      </c>
      <c r="B39" s="23" t="s">
        <v>423</v>
      </c>
      <c r="C39" s="23" t="s">
        <v>430</v>
      </c>
      <c r="D39" s="42">
        <v>6.2</v>
      </c>
      <c r="E39" s="22" t="s">
        <v>431</v>
      </c>
      <c r="F39" s="22" t="s">
        <v>432</v>
      </c>
      <c r="G39" s="22" t="s">
        <v>433</v>
      </c>
      <c r="H39" s="23" t="s">
        <v>434</v>
      </c>
      <c r="I39" s="22" t="s">
        <v>311</v>
      </c>
      <c r="J39" s="41" t="s">
        <v>321</v>
      </c>
      <c r="K39" s="26" t="s">
        <v>435</v>
      </c>
      <c r="L39" s="23" t="s">
        <v>283</v>
      </c>
      <c r="M39" s="23" t="s">
        <v>436</v>
      </c>
      <c r="N39" s="15">
        <f t="shared" si="2"/>
        <v>2</v>
      </c>
      <c r="O39" s="15" t="str">
        <f t="shared" si="3"/>
        <v>WATCH</v>
      </c>
    </row>
    <row r="40" spans="1:15" ht="15" customHeight="1" x14ac:dyDescent="0.25">
      <c r="A40" s="16">
        <v>47</v>
      </c>
      <c r="B40" s="17" t="s">
        <v>423</v>
      </c>
      <c r="C40" s="17" t="s">
        <v>437</v>
      </c>
      <c r="D40" s="40">
        <v>9.4</v>
      </c>
      <c r="E40" s="16" t="s">
        <v>438</v>
      </c>
      <c r="F40" s="16" t="s">
        <v>439</v>
      </c>
      <c r="G40" s="16" t="s">
        <v>440</v>
      </c>
      <c r="H40" s="17" t="s">
        <v>225</v>
      </c>
      <c r="I40" s="16" t="s">
        <v>238</v>
      </c>
      <c r="J40" s="41" t="s">
        <v>321</v>
      </c>
      <c r="K40" s="28" t="s">
        <v>441</v>
      </c>
      <c r="L40" s="17" t="s">
        <v>125</v>
      </c>
      <c r="M40" s="17" t="s">
        <v>261</v>
      </c>
      <c r="N40" s="15">
        <f t="shared" si="2"/>
        <v>2</v>
      </c>
      <c r="O40" s="15" t="str">
        <f t="shared" si="3"/>
        <v>WATCH</v>
      </c>
    </row>
    <row r="41" spans="1:15" ht="25.5" customHeight="1" x14ac:dyDescent="0.25">
      <c r="A41" s="22">
        <v>48</v>
      </c>
      <c r="B41" s="23" t="s">
        <v>423</v>
      </c>
      <c r="C41" s="23" t="s">
        <v>442</v>
      </c>
      <c r="D41" s="42">
        <v>182</v>
      </c>
      <c r="E41" s="22" t="s">
        <v>443</v>
      </c>
      <c r="F41" s="22" t="s">
        <v>444</v>
      </c>
      <c r="G41" s="22" t="s">
        <v>445</v>
      </c>
      <c r="H41" s="23" t="s">
        <v>446</v>
      </c>
      <c r="I41" s="22" t="s">
        <v>447</v>
      </c>
      <c r="J41" s="41" t="s">
        <v>321</v>
      </c>
      <c r="K41" s="26" t="s">
        <v>448</v>
      </c>
      <c r="L41" s="23" t="s">
        <v>283</v>
      </c>
      <c r="M41" s="23" t="s">
        <v>436</v>
      </c>
      <c r="N41" s="15">
        <f t="shared" si="2"/>
        <v>2</v>
      </c>
      <c r="O41" s="15" t="str">
        <f t="shared" si="3"/>
        <v>WATCH</v>
      </c>
    </row>
    <row r="42" spans="1:15" ht="15" customHeight="1" x14ac:dyDescent="0.25">
      <c r="A42" s="16">
        <v>49</v>
      </c>
      <c r="B42" s="17" t="s">
        <v>423</v>
      </c>
      <c r="C42" s="17" t="s">
        <v>449</v>
      </c>
      <c r="D42" s="40">
        <v>6800</v>
      </c>
      <c r="E42" s="16" t="s">
        <v>450</v>
      </c>
      <c r="F42" s="16" t="s">
        <v>451</v>
      </c>
      <c r="G42" s="16" t="s">
        <v>452</v>
      </c>
      <c r="H42" s="17" t="s">
        <v>20</v>
      </c>
      <c r="I42" s="16" t="s">
        <v>447</v>
      </c>
      <c r="J42" s="41" t="s">
        <v>321</v>
      </c>
      <c r="K42" s="20" t="s">
        <v>453</v>
      </c>
      <c r="L42" s="17" t="s">
        <v>120</v>
      </c>
      <c r="M42" s="17" t="s">
        <v>283</v>
      </c>
      <c r="N42" s="15">
        <f t="shared" si="2"/>
        <v>2</v>
      </c>
      <c r="O42" s="15" t="str">
        <f t="shared" si="3"/>
        <v>WATCH</v>
      </c>
    </row>
    <row r="43" spans="1:15" ht="25.5" customHeight="1" x14ac:dyDescent="0.25">
      <c r="A43" s="22">
        <v>50</v>
      </c>
      <c r="B43" s="23" t="s">
        <v>454</v>
      </c>
      <c r="C43" s="23" t="s">
        <v>455</v>
      </c>
      <c r="D43" s="42">
        <v>3</v>
      </c>
      <c r="E43" s="22" t="s">
        <v>431</v>
      </c>
      <c r="F43" s="22" t="s">
        <v>456</v>
      </c>
      <c r="G43" s="22" t="s">
        <v>457</v>
      </c>
      <c r="H43" s="23" t="s">
        <v>71</v>
      </c>
      <c r="I43" s="22" t="s">
        <v>274</v>
      </c>
      <c r="J43" s="43" t="s">
        <v>266</v>
      </c>
      <c r="K43" s="26" t="s">
        <v>458</v>
      </c>
      <c r="L43" s="23" t="s">
        <v>130</v>
      </c>
      <c r="M43" s="23" t="s">
        <v>459</v>
      </c>
      <c r="N43" s="15">
        <f t="shared" si="2"/>
        <v>1</v>
      </c>
      <c r="O43" s="15" t="str">
        <f t="shared" si="3"/>
        <v>OK</v>
      </c>
    </row>
    <row r="44" spans="1:15" ht="25.5" customHeight="1" x14ac:dyDescent="0.25">
      <c r="A44" s="16">
        <v>51</v>
      </c>
      <c r="B44" s="17" t="s">
        <v>454</v>
      </c>
      <c r="C44" s="17" t="s">
        <v>460</v>
      </c>
      <c r="D44" s="40">
        <v>2.8</v>
      </c>
      <c r="E44" s="16" t="s">
        <v>278</v>
      </c>
      <c r="F44" s="16" t="s">
        <v>461</v>
      </c>
      <c r="G44" s="16" t="s">
        <v>462</v>
      </c>
      <c r="H44" s="17" t="s">
        <v>463</v>
      </c>
      <c r="I44" s="16" t="s">
        <v>226</v>
      </c>
      <c r="J44" s="43" t="s">
        <v>266</v>
      </c>
      <c r="K44" s="28" t="s">
        <v>464</v>
      </c>
      <c r="L44" s="17" t="s">
        <v>134</v>
      </c>
      <c r="M44" s="17" t="s">
        <v>465</v>
      </c>
      <c r="N44" s="15">
        <f t="shared" si="2"/>
        <v>1</v>
      </c>
      <c r="O44" s="15" t="str">
        <f t="shared" si="3"/>
        <v>OK</v>
      </c>
    </row>
    <row r="45" spans="1:15" ht="25.5" customHeight="1" x14ac:dyDescent="0.25">
      <c r="A45" s="22">
        <v>52</v>
      </c>
      <c r="B45" s="23" t="s">
        <v>454</v>
      </c>
      <c r="C45" s="23" t="s">
        <v>466</v>
      </c>
      <c r="D45" s="42">
        <v>6.4</v>
      </c>
      <c r="E45" s="22" t="s">
        <v>467</v>
      </c>
      <c r="F45" s="22" t="s">
        <v>468</v>
      </c>
      <c r="G45" s="22" t="s">
        <v>469</v>
      </c>
      <c r="H45" s="23" t="s">
        <v>463</v>
      </c>
      <c r="I45" s="22" t="s">
        <v>226</v>
      </c>
      <c r="J45" s="43" t="s">
        <v>266</v>
      </c>
      <c r="K45" s="26" t="s">
        <v>470</v>
      </c>
      <c r="L45" s="23" t="s">
        <v>134</v>
      </c>
      <c r="M45" s="23" t="s">
        <v>465</v>
      </c>
      <c r="N45" s="15">
        <f t="shared" si="2"/>
        <v>1</v>
      </c>
      <c r="O45" s="15" t="str">
        <f t="shared" si="3"/>
        <v>OK</v>
      </c>
    </row>
    <row r="46" spans="1:15" ht="15" customHeight="1" x14ac:dyDescent="0.25">
      <c r="A46" s="16">
        <v>53</v>
      </c>
      <c r="B46" s="17" t="s">
        <v>454</v>
      </c>
      <c r="C46" s="17" t="s">
        <v>471</v>
      </c>
      <c r="D46" s="40">
        <v>1</v>
      </c>
      <c r="E46" s="16" t="s">
        <v>472</v>
      </c>
      <c r="F46" s="16" t="s">
        <v>473</v>
      </c>
      <c r="G46" s="16" t="s">
        <v>474</v>
      </c>
      <c r="H46" s="17" t="s">
        <v>475</v>
      </c>
      <c r="I46" s="16" t="s">
        <v>238</v>
      </c>
      <c r="J46" s="43" t="s">
        <v>266</v>
      </c>
      <c r="K46" s="28" t="s">
        <v>476</v>
      </c>
      <c r="L46" s="17" t="s">
        <v>134</v>
      </c>
      <c r="M46" s="17" t="s">
        <v>477</v>
      </c>
      <c r="N46" s="15">
        <f t="shared" si="2"/>
        <v>1</v>
      </c>
      <c r="O46" s="15" t="str">
        <f t="shared" si="3"/>
        <v>OK</v>
      </c>
    </row>
    <row r="47" spans="1:15" ht="25.5" customHeight="1" x14ac:dyDescent="0.25">
      <c r="A47" s="22">
        <v>54</v>
      </c>
      <c r="B47" s="23" t="s">
        <v>454</v>
      </c>
      <c r="C47" s="23" t="s">
        <v>478</v>
      </c>
      <c r="D47" s="42">
        <v>5.8</v>
      </c>
      <c r="E47" s="22" t="s">
        <v>479</v>
      </c>
      <c r="F47" s="22" t="s">
        <v>480</v>
      </c>
      <c r="G47" s="22" t="s">
        <v>462</v>
      </c>
      <c r="H47" s="23" t="s">
        <v>481</v>
      </c>
      <c r="I47" s="22" t="s">
        <v>274</v>
      </c>
      <c r="J47" s="43" t="s">
        <v>266</v>
      </c>
      <c r="K47" s="29" t="s">
        <v>482</v>
      </c>
      <c r="L47" s="23" t="s">
        <v>130</v>
      </c>
      <c r="M47" s="23" t="s">
        <v>483</v>
      </c>
      <c r="N47" s="15">
        <f t="shared" si="2"/>
        <v>1</v>
      </c>
      <c r="O47" s="15" t="str">
        <f t="shared" si="3"/>
        <v>OK</v>
      </c>
    </row>
    <row r="48" spans="1:15" ht="15" customHeight="1" x14ac:dyDescent="0.25">
      <c r="A48" s="16">
        <v>55</v>
      </c>
      <c r="B48" s="17" t="s">
        <v>454</v>
      </c>
      <c r="C48" s="17" t="s">
        <v>484</v>
      </c>
      <c r="D48" s="40">
        <v>0.9</v>
      </c>
      <c r="E48" s="16" t="s">
        <v>248</v>
      </c>
      <c r="F48" s="16" t="s">
        <v>249</v>
      </c>
      <c r="G48" s="16" t="s">
        <v>237</v>
      </c>
      <c r="H48" s="17" t="s">
        <v>225</v>
      </c>
      <c r="I48" s="16" t="s">
        <v>226</v>
      </c>
      <c r="J48" s="43" t="s">
        <v>266</v>
      </c>
      <c r="K48" s="20" t="s">
        <v>485</v>
      </c>
      <c r="L48" s="17" t="s">
        <v>134</v>
      </c>
      <c r="M48" s="17" t="s">
        <v>283</v>
      </c>
      <c r="N48" s="15">
        <f t="shared" si="2"/>
        <v>1</v>
      </c>
      <c r="O48" s="15" t="str">
        <f t="shared" si="3"/>
        <v>OK</v>
      </c>
    </row>
    <row r="49" spans="1:15" ht="15" customHeight="1" x14ac:dyDescent="0.25">
      <c r="A49" s="22">
        <v>56</v>
      </c>
      <c r="B49" s="23" t="s">
        <v>486</v>
      </c>
      <c r="C49" s="23" t="s">
        <v>487</v>
      </c>
      <c r="D49" s="42">
        <v>0.08</v>
      </c>
      <c r="E49" s="22" t="s">
        <v>488</v>
      </c>
      <c r="F49" s="22" t="s">
        <v>489</v>
      </c>
      <c r="G49" s="22" t="s">
        <v>490</v>
      </c>
      <c r="H49" s="23" t="s">
        <v>225</v>
      </c>
      <c r="I49" s="22" t="s">
        <v>238</v>
      </c>
      <c r="J49" s="43" t="s">
        <v>266</v>
      </c>
      <c r="K49" s="29" t="s">
        <v>491</v>
      </c>
      <c r="L49" s="23" t="s">
        <v>141</v>
      </c>
      <c r="M49" s="23" t="s">
        <v>261</v>
      </c>
      <c r="N49" s="15">
        <f t="shared" si="2"/>
        <v>1</v>
      </c>
      <c r="O49" s="15" t="str">
        <f t="shared" si="3"/>
        <v>OK</v>
      </c>
    </row>
    <row r="50" spans="1:15" ht="15" customHeight="1" x14ac:dyDescent="0.25">
      <c r="A50" s="16">
        <v>57</v>
      </c>
      <c r="B50" s="17" t="s">
        <v>486</v>
      </c>
      <c r="C50" s="17" t="s">
        <v>492</v>
      </c>
      <c r="D50" s="40">
        <v>58</v>
      </c>
      <c r="E50" s="16" t="s">
        <v>493</v>
      </c>
      <c r="F50" s="16" t="s">
        <v>494</v>
      </c>
      <c r="G50" s="16" t="s">
        <v>265</v>
      </c>
      <c r="H50" s="17" t="s">
        <v>225</v>
      </c>
      <c r="I50" s="16" t="s">
        <v>238</v>
      </c>
      <c r="J50" s="44" t="s">
        <v>495</v>
      </c>
      <c r="K50" s="28" t="s">
        <v>496</v>
      </c>
      <c r="L50" s="17" t="s">
        <v>141</v>
      </c>
      <c r="M50" s="17" t="s">
        <v>283</v>
      </c>
      <c r="N50" s="15">
        <f t="shared" si="2"/>
        <v>3</v>
      </c>
      <c r="O50" s="15" t="str">
        <f t="shared" si="3"/>
        <v>YES</v>
      </c>
    </row>
    <row r="51" spans="1:15" ht="25.5" customHeight="1" x14ac:dyDescent="0.25">
      <c r="A51" s="22">
        <v>58</v>
      </c>
      <c r="B51" s="23" t="s">
        <v>486</v>
      </c>
      <c r="C51" s="23" t="s">
        <v>497</v>
      </c>
      <c r="D51" s="42">
        <v>1.4</v>
      </c>
      <c r="E51" s="22" t="s">
        <v>472</v>
      </c>
      <c r="F51" s="22" t="s">
        <v>473</v>
      </c>
      <c r="G51" s="22" t="s">
        <v>474</v>
      </c>
      <c r="H51" s="23" t="s">
        <v>71</v>
      </c>
      <c r="I51" s="22" t="s">
        <v>226</v>
      </c>
      <c r="J51" s="43" t="s">
        <v>266</v>
      </c>
      <c r="K51" s="29" t="s">
        <v>369</v>
      </c>
      <c r="L51" s="23" t="s">
        <v>141</v>
      </c>
      <c r="M51" s="23" t="s">
        <v>283</v>
      </c>
      <c r="N51" s="15">
        <f t="shared" si="2"/>
        <v>1</v>
      </c>
      <c r="O51" s="15" t="str">
        <f t="shared" si="3"/>
        <v>OK</v>
      </c>
    </row>
    <row r="52" spans="1:15" ht="15" customHeight="1" x14ac:dyDescent="0.25">
      <c r="A52" s="16">
        <v>59</v>
      </c>
      <c r="B52" s="17" t="s">
        <v>486</v>
      </c>
      <c r="C52" s="17" t="s">
        <v>498</v>
      </c>
      <c r="D52" s="40">
        <v>0.4</v>
      </c>
      <c r="E52" s="16" t="s">
        <v>252</v>
      </c>
      <c r="F52" s="16" t="s">
        <v>253</v>
      </c>
      <c r="G52" s="16" t="s">
        <v>254</v>
      </c>
      <c r="H52" s="17" t="s">
        <v>225</v>
      </c>
      <c r="I52" s="16" t="s">
        <v>238</v>
      </c>
      <c r="J52" s="43" t="s">
        <v>266</v>
      </c>
      <c r="K52" s="28" t="s">
        <v>499</v>
      </c>
      <c r="L52" s="17" t="s">
        <v>99</v>
      </c>
      <c r="M52" s="17" t="s">
        <v>500</v>
      </c>
      <c r="N52" s="15">
        <f t="shared" si="2"/>
        <v>1</v>
      </c>
      <c r="O52" s="15" t="str">
        <f t="shared" si="3"/>
        <v>OK</v>
      </c>
    </row>
    <row r="53" spans="1:15" ht="25.5" customHeight="1" x14ac:dyDescent="0.25">
      <c r="A53" s="22">
        <v>60</v>
      </c>
      <c r="B53" s="23" t="s">
        <v>501</v>
      </c>
      <c r="C53" s="23" t="s">
        <v>502</v>
      </c>
      <c r="D53" s="42">
        <v>2</v>
      </c>
      <c r="E53" s="22" t="s">
        <v>313</v>
      </c>
      <c r="F53" s="22" t="s">
        <v>503</v>
      </c>
      <c r="G53" s="22" t="s">
        <v>280</v>
      </c>
      <c r="H53" s="23" t="s">
        <v>71</v>
      </c>
      <c r="I53" s="22" t="s">
        <v>226</v>
      </c>
      <c r="J53" s="43" t="s">
        <v>266</v>
      </c>
      <c r="K53" s="26" t="s">
        <v>504</v>
      </c>
      <c r="L53" s="23" t="s">
        <v>152</v>
      </c>
      <c r="M53" s="23" t="s">
        <v>505</v>
      </c>
      <c r="N53" s="15">
        <f t="shared" si="2"/>
        <v>1</v>
      </c>
      <c r="O53" s="15" t="str">
        <f t="shared" si="3"/>
        <v>OK</v>
      </c>
    </row>
    <row r="54" spans="1:15" ht="15" customHeight="1" x14ac:dyDescent="0.25">
      <c r="A54" s="16">
        <v>61</v>
      </c>
      <c r="B54" s="17" t="s">
        <v>501</v>
      </c>
      <c r="C54" s="17" t="s">
        <v>506</v>
      </c>
      <c r="D54" s="40">
        <v>2.1</v>
      </c>
      <c r="E54" s="16" t="s">
        <v>307</v>
      </c>
      <c r="F54" s="16" t="s">
        <v>308</v>
      </c>
      <c r="G54" s="16" t="s">
        <v>309</v>
      </c>
      <c r="H54" s="17" t="s">
        <v>310</v>
      </c>
      <c r="I54" s="16" t="s">
        <v>238</v>
      </c>
      <c r="J54" s="43" t="s">
        <v>266</v>
      </c>
      <c r="K54" s="20" t="s">
        <v>507</v>
      </c>
      <c r="L54" s="17" t="s">
        <v>74</v>
      </c>
      <c r="M54" s="17" t="s">
        <v>283</v>
      </c>
      <c r="N54" s="15">
        <f t="shared" si="2"/>
        <v>1</v>
      </c>
      <c r="O54" s="15" t="str">
        <f t="shared" si="3"/>
        <v>OK</v>
      </c>
    </row>
    <row r="55" spans="1:15" ht="25.5" customHeight="1" x14ac:dyDescent="0.25">
      <c r="A55" s="22">
        <v>62</v>
      </c>
      <c r="B55" s="23" t="s">
        <v>501</v>
      </c>
      <c r="C55" s="23" t="s">
        <v>508</v>
      </c>
      <c r="D55" s="42">
        <v>420</v>
      </c>
      <c r="E55" s="22" t="s">
        <v>509</v>
      </c>
      <c r="F55" s="22" t="s">
        <v>510</v>
      </c>
      <c r="G55" s="22" t="s">
        <v>511</v>
      </c>
      <c r="H55" s="23" t="s">
        <v>512</v>
      </c>
      <c r="I55" s="22" t="s">
        <v>226</v>
      </c>
      <c r="J55" s="43" t="s">
        <v>266</v>
      </c>
      <c r="K55" s="29" t="s">
        <v>227</v>
      </c>
      <c r="L55" s="23" t="s">
        <v>513</v>
      </c>
      <c r="M55" s="23" t="s">
        <v>514</v>
      </c>
      <c r="N55" s="15">
        <f t="shared" si="2"/>
        <v>1</v>
      </c>
      <c r="O55" s="15" t="str">
        <f t="shared" si="3"/>
        <v>OK</v>
      </c>
    </row>
    <row r="56" spans="1:15" ht="15" customHeight="1" x14ac:dyDescent="0.25">
      <c r="A56" s="16">
        <v>63</v>
      </c>
      <c r="B56" s="17" t="s">
        <v>515</v>
      </c>
      <c r="C56" s="17" t="s">
        <v>156</v>
      </c>
      <c r="D56" s="40">
        <v>62</v>
      </c>
      <c r="E56" s="16" t="s">
        <v>371</v>
      </c>
      <c r="F56" s="16" t="s">
        <v>516</v>
      </c>
      <c r="G56" s="16" t="s">
        <v>517</v>
      </c>
      <c r="H56" s="17" t="s">
        <v>518</v>
      </c>
      <c r="I56" s="16" t="s">
        <v>274</v>
      </c>
      <c r="J56" s="43" t="s">
        <v>266</v>
      </c>
      <c r="K56" s="20" t="s">
        <v>519</v>
      </c>
      <c r="L56" s="17" t="s">
        <v>158</v>
      </c>
      <c r="M56" s="17" t="s">
        <v>283</v>
      </c>
      <c r="N56" s="15">
        <f t="shared" si="2"/>
        <v>1</v>
      </c>
      <c r="O56" s="15" t="str">
        <f t="shared" si="3"/>
        <v>OK</v>
      </c>
    </row>
    <row r="57" spans="1:15" ht="25.5" customHeight="1" x14ac:dyDescent="0.25">
      <c r="A57" s="22">
        <v>64</v>
      </c>
      <c r="B57" s="23" t="s">
        <v>515</v>
      </c>
      <c r="C57" s="23" t="s">
        <v>520</v>
      </c>
      <c r="D57" s="42">
        <v>91</v>
      </c>
      <c r="E57" s="22" t="s">
        <v>398</v>
      </c>
      <c r="F57" s="22" t="s">
        <v>397</v>
      </c>
      <c r="G57" s="22" t="s">
        <v>396</v>
      </c>
      <c r="H57" s="23" t="s">
        <v>225</v>
      </c>
      <c r="I57" s="22" t="s">
        <v>226</v>
      </c>
      <c r="J57" s="43" t="s">
        <v>266</v>
      </c>
      <c r="K57" s="29" t="s">
        <v>521</v>
      </c>
      <c r="L57" s="23" t="s">
        <v>161</v>
      </c>
      <c r="M57" s="23" t="s">
        <v>261</v>
      </c>
      <c r="N57" s="15">
        <f t="shared" si="2"/>
        <v>1</v>
      </c>
      <c r="O57" s="15" t="str">
        <f t="shared" si="3"/>
        <v>OK</v>
      </c>
    </row>
    <row r="58" spans="1:15" ht="15" customHeight="1" x14ac:dyDescent="0.25">
      <c r="A58" s="16">
        <v>65</v>
      </c>
      <c r="B58" s="17" t="s">
        <v>515</v>
      </c>
      <c r="C58" s="17" t="s">
        <v>522</v>
      </c>
      <c r="D58" s="40">
        <v>0.5</v>
      </c>
      <c r="E58" s="16" t="s">
        <v>523</v>
      </c>
      <c r="F58" s="16" t="s">
        <v>524</v>
      </c>
      <c r="G58" s="16" t="s">
        <v>280</v>
      </c>
      <c r="H58" s="17" t="s">
        <v>20</v>
      </c>
      <c r="I58" s="16" t="s">
        <v>447</v>
      </c>
      <c r="J58" s="43" t="s">
        <v>266</v>
      </c>
      <c r="K58" s="20" t="s">
        <v>525</v>
      </c>
      <c r="L58" s="17" t="s">
        <v>283</v>
      </c>
      <c r="M58" s="17" t="s">
        <v>261</v>
      </c>
      <c r="N58" s="15">
        <f t="shared" si="2"/>
        <v>1</v>
      </c>
      <c r="O58" s="15" t="str">
        <f t="shared" si="3"/>
        <v>OK</v>
      </c>
    </row>
    <row r="59" spans="1:15" ht="15" customHeight="1" x14ac:dyDescent="0.25">
      <c r="A59" s="22">
        <v>66</v>
      </c>
      <c r="B59" s="23" t="s">
        <v>515</v>
      </c>
      <c r="C59" s="23" t="s">
        <v>526</v>
      </c>
      <c r="D59" s="42">
        <v>42</v>
      </c>
      <c r="E59" s="22" t="s">
        <v>527</v>
      </c>
      <c r="F59" s="22" t="s">
        <v>528</v>
      </c>
      <c r="G59" s="22" t="s">
        <v>529</v>
      </c>
      <c r="H59" s="23" t="s">
        <v>157</v>
      </c>
      <c r="I59" s="22" t="s">
        <v>238</v>
      </c>
      <c r="J59" s="43" t="s">
        <v>266</v>
      </c>
      <c r="K59" s="29" t="s">
        <v>530</v>
      </c>
      <c r="L59" s="23" t="s">
        <v>531</v>
      </c>
      <c r="M59" s="23" t="s">
        <v>283</v>
      </c>
      <c r="N59" s="15">
        <f t="shared" si="2"/>
        <v>1</v>
      </c>
      <c r="O59" s="15" t="str">
        <f t="shared" si="3"/>
        <v>OK</v>
      </c>
    </row>
    <row r="60" spans="1:15" ht="15" customHeight="1" x14ac:dyDescent="0.25">
      <c r="A60" s="16">
        <v>67</v>
      </c>
      <c r="B60" s="17" t="s">
        <v>532</v>
      </c>
      <c r="C60" s="17" t="s">
        <v>533</v>
      </c>
      <c r="D60" s="40">
        <v>97</v>
      </c>
      <c r="E60" s="16" t="s">
        <v>534</v>
      </c>
      <c r="F60" s="16" t="s">
        <v>535</v>
      </c>
      <c r="G60" s="16" t="s">
        <v>536</v>
      </c>
      <c r="H60" s="17" t="s">
        <v>225</v>
      </c>
      <c r="I60" s="16" t="s">
        <v>238</v>
      </c>
      <c r="J60" s="43" t="s">
        <v>266</v>
      </c>
      <c r="K60" s="28" t="s">
        <v>537</v>
      </c>
      <c r="L60" s="17" t="s">
        <v>283</v>
      </c>
      <c r="M60" s="17" t="s">
        <v>276</v>
      </c>
      <c r="N60" s="15">
        <f t="shared" si="2"/>
        <v>1</v>
      </c>
      <c r="O60" s="15" t="str">
        <f t="shared" si="3"/>
        <v>OK</v>
      </c>
    </row>
    <row r="61" spans="1:15" ht="25.5" customHeight="1" x14ac:dyDescent="0.25">
      <c r="A61" s="22">
        <v>68</v>
      </c>
      <c r="B61" s="23" t="s">
        <v>532</v>
      </c>
      <c r="C61" s="23" t="s">
        <v>538</v>
      </c>
      <c r="D61" s="42">
        <v>98</v>
      </c>
      <c r="E61" s="22" t="s">
        <v>534</v>
      </c>
      <c r="F61" s="22" t="s">
        <v>535</v>
      </c>
      <c r="G61" s="22" t="s">
        <v>536</v>
      </c>
      <c r="H61" s="23" t="s">
        <v>539</v>
      </c>
      <c r="I61" s="22" t="s">
        <v>238</v>
      </c>
      <c r="J61" s="43" t="s">
        <v>266</v>
      </c>
      <c r="K61" s="26" t="s">
        <v>540</v>
      </c>
      <c r="L61" s="23" t="s">
        <v>283</v>
      </c>
      <c r="M61" s="23" t="s">
        <v>261</v>
      </c>
      <c r="N61" s="15">
        <f t="shared" si="2"/>
        <v>1</v>
      </c>
      <c r="O61" s="15" t="str">
        <f t="shared" si="3"/>
        <v>OK</v>
      </c>
    </row>
    <row r="62" spans="1:15" ht="15" customHeight="1" x14ac:dyDescent="0.25">
      <c r="A62" s="16">
        <v>69</v>
      </c>
      <c r="B62" s="17" t="s">
        <v>532</v>
      </c>
      <c r="C62" s="17" t="s">
        <v>541</v>
      </c>
      <c r="D62" s="40" t="s">
        <v>542</v>
      </c>
      <c r="E62" s="16" t="s">
        <v>542</v>
      </c>
      <c r="F62" s="16" t="s">
        <v>543</v>
      </c>
      <c r="G62" s="16" t="s">
        <v>544</v>
      </c>
      <c r="H62" s="17" t="s">
        <v>545</v>
      </c>
      <c r="I62" s="16" t="s">
        <v>447</v>
      </c>
      <c r="J62" s="43" t="s">
        <v>266</v>
      </c>
      <c r="K62" s="28"/>
      <c r="L62" s="17" t="s">
        <v>283</v>
      </c>
      <c r="M62" s="17" t="s">
        <v>261</v>
      </c>
      <c r="N62" s="15">
        <f t="shared" si="2"/>
        <v>1</v>
      </c>
      <c r="O62" s="15" t="str">
        <f t="shared" si="3"/>
        <v>OK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7" sqref="H7"/>
    </sheetView>
  </sheetViews>
  <sheetFormatPr defaultColWidth="8.7109375" defaultRowHeight="15" x14ac:dyDescent="0.25"/>
  <cols>
    <col min="1" max="1" width="9.28515625" customWidth="1"/>
    <col min="2" max="2" width="12.28515625" customWidth="1"/>
    <col min="3" max="3" width="11.7109375" customWidth="1"/>
    <col min="4" max="4" width="12.85546875" customWidth="1"/>
    <col min="5" max="5" width="18.5703125" customWidth="1"/>
    <col min="6" max="6" width="17.28515625" customWidth="1"/>
    <col min="7" max="7" width="11.5703125" customWidth="1"/>
    <col min="8" max="8" width="15.7109375" customWidth="1"/>
    <col min="9" max="9" width="7" customWidth="1"/>
    <col min="10" max="10" width="8.5703125" customWidth="1"/>
    <col min="11" max="12" width="8.85546875" customWidth="1"/>
    <col min="13" max="13" width="10" customWidth="1"/>
    <col min="14" max="14" width="12.85546875" customWidth="1"/>
    <col min="15" max="15" width="13.28515625" customWidth="1"/>
    <col min="16" max="16" width="11" customWidth="1"/>
    <col min="17" max="17" width="8.5703125" customWidth="1"/>
    <col min="18" max="18" width="14.5703125" customWidth="1"/>
    <col min="19" max="19" width="10.7109375" customWidth="1"/>
    <col min="20" max="20" width="12.140625" customWidth="1"/>
    <col min="21" max="21" width="7.5703125" customWidth="1"/>
    <col min="22" max="22" width="7" customWidth="1"/>
  </cols>
  <sheetData>
    <row r="1" spans="1:22" ht="37.5" customHeight="1" x14ac:dyDescent="0.25">
      <c r="A1" s="137" t="s">
        <v>546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</row>
    <row r="2" spans="1:22" ht="21.75" customHeight="1" x14ac:dyDescent="0.25">
      <c r="A2" s="45" t="s">
        <v>547</v>
      </c>
      <c r="B2" s="45" t="s">
        <v>548</v>
      </c>
      <c r="C2" s="45" t="s">
        <v>549</v>
      </c>
      <c r="D2" s="45" t="s">
        <v>550</v>
      </c>
      <c r="E2" s="45" t="s">
        <v>551</v>
      </c>
      <c r="F2" s="45" t="s">
        <v>552</v>
      </c>
      <c r="G2" s="45" t="s">
        <v>553</v>
      </c>
      <c r="H2" s="45" t="s">
        <v>554</v>
      </c>
      <c r="I2" s="45" t="s">
        <v>555</v>
      </c>
      <c r="J2" s="45" t="s">
        <v>556</v>
      </c>
      <c r="K2" s="45" t="s">
        <v>557</v>
      </c>
      <c r="L2" s="45" t="s">
        <v>558</v>
      </c>
      <c r="M2" s="45" t="s">
        <v>559</v>
      </c>
      <c r="N2" s="45" t="s">
        <v>560</v>
      </c>
      <c r="O2" s="45" t="s">
        <v>561</v>
      </c>
      <c r="P2" s="45" t="s">
        <v>562</v>
      </c>
      <c r="Q2" s="45" t="s">
        <v>563</v>
      </c>
      <c r="R2" s="45" t="s">
        <v>564</v>
      </c>
      <c r="S2" s="45" t="s">
        <v>565</v>
      </c>
      <c r="T2" s="45" t="s">
        <v>566</v>
      </c>
      <c r="U2" s="45" t="s">
        <v>567</v>
      </c>
      <c r="V2" s="45" t="s">
        <v>568</v>
      </c>
    </row>
    <row r="3" spans="1:22" ht="15" customHeight="1" x14ac:dyDescent="0.25">
      <c r="A3" s="46" t="s">
        <v>569</v>
      </c>
      <c r="B3" s="46" t="s">
        <v>570</v>
      </c>
      <c r="C3" s="46" t="s">
        <v>571</v>
      </c>
      <c r="D3" s="46" t="s">
        <v>572</v>
      </c>
      <c r="E3" s="47">
        <v>1796.72</v>
      </c>
      <c r="F3" s="47">
        <v>1026.49</v>
      </c>
      <c r="G3" s="46">
        <v>72</v>
      </c>
      <c r="H3" s="46" t="s">
        <v>573</v>
      </c>
      <c r="I3" s="48">
        <v>19.38</v>
      </c>
      <c r="J3" s="48">
        <v>47.94</v>
      </c>
      <c r="K3" s="47">
        <v>1006.87</v>
      </c>
      <c r="L3" s="47">
        <f t="shared" ref="L3:L34" si="0">ROUND(K3*(I3/100)*(J3/100),4)</f>
        <v>93.546000000000006</v>
      </c>
      <c r="M3" s="48">
        <v>13.52</v>
      </c>
      <c r="N3" s="46" t="s">
        <v>574</v>
      </c>
      <c r="O3" s="46" t="s">
        <v>575</v>
      </c>
      <c r="P3" s="46" t="s">
        <v>576</v>
      </c>
      <c r="Q3" s="48">
        <v>76.2</v>
      </c>
      <c r="R3" s="46" t="s">
        <v>577</v>
      </c>
      <c r="S3" s="46" t="s">
        <v>571</v>
      </c>
      <c r="T3" s="46" t="s">
        <v>578</v>
      </c>
      <c r="U3" s="46" t="s">
        <v>579</v>
      </c>
      <c r="V3" s="49" t="s">
        <v>321</v>
      </c>
    </row>
    <row r="4" spans="1:22" ht="15" customHeight="1" x14ac:dyDescent="0.25">
      <c r="A4" s="50" t="s">
        <v>580</v>
      </c>
      <c r="B4" s="50" t="s">
        <v>581</v>
      </c>
      <c r="C4" s="50" t="s">
        <v>582</v>
      </c>
      <c r="D4" s="50" t="s">
        <v>583</v>
      </c>
      <c r="E4" s="51">
        <v>1784.21</v>
      </c>
      <c r="F4" s="51">
        <v>606.69000000000005</v>
      </c>
      <c r="G4" s="50">
        <v>0</v>
      </c>
      <c r="H4" s="50" t="s">
        <v>584</v>
      </c>
      <c r="I4" s="52">
        <v>2.61</v>
      </c>
      <c r="J4" s="52">
        <v>21.77</v>
      </c>
      <c r="K4" s="51">
        <v>601.48</v>
      </c>
      <c r="L4" s="51">
        <f t="shared" si="0"/>
        <v>3.4176000000000002</v>
      </c>
      <c r="M4" s="52">
        <v>17.52</v>
      </c>
      <c r="N4" s="50" t="s">
        <v>585</v>
      </c>
      <c r="O4" s="50" t="s">
        <v>586</v>
      </c>
      <c r="P4" s="50" t="s">
        <v>587</v>
      </c>
      <c r="Q4" s="52">
        <v>52</v>
      </c>
      <c r="R4" s="50" t="s">
        <v>588</v>
      </c>
      <c r="S4" s="50" t="s">
        <v>571</v>
      </c>
      <c r="T4" s="50" t="s">
        <v>589</v>
      </c>
      <c r="U4" s="50" t="s">
        <v>590</v>
      </c>
      <c r="V4" s="53" t="s">
        <v>266</v>
      </c>
    </row>
    <row r="5" spans="1:22" ht="25.5" customHeight="1" x14ac:dyDescent="0.25">
      <c r="A5" s="50" t="s">
        <v>591</v>
      </c>
      <c r="B5" s="50" t="s">
        <v>592</v>
      </c>
      <c r="C5" s="50" t="s">
        <v>571</v>
      </c>
      <c r="D5" s="50" t="s">
        <v>593</v>
      </c>
      <c r="E5" s="51">
        <v>2028.37</v>
      </c>
      <c r="F5" s="51">
        <v>871.14</v>
      </c>
      <c r="G5" s="50">
        <v>0</v>
      </c>
      <c r="H5" s="50" t="s">
        <v>584</v>
      </c>
      <c r="I5" s="52">
        <v>1.22</v>
      </c>
      <c r="J5" s="52">
        <v>30.28</v>
      </c>
      <c r="K5" s="51">
        <v>912.73</v>
      </c>
      <c r="L5" s="51">
        <f t="shared" si="0"/>
        <v>3.3717999999999999</v>
      </c>
      <c r="M5" s="52">
        <v>11.99</v>
      </c>
      <c r="N5" s="50" t="s">
        <v>594</v>
      </c>
      <c r="O5" s="50" t="s">
        <v>575</v>
      </c>
      <c r="P5" s="50" t="s">
        <v>587</v>
      </c>
      <c r="Q5" s="52">
        <v>50.2</v>
      </c>
      <c r="R5" s="50" t="s">
        <v>595</v>
      </c>
      <c r="S5" s="50" t="s">
        <v>596</v>
      </c>
      <c r="T5" s="50" t="s">
        <v>597</v>
      </c>
      <c r="U5" s="50" t="s">
        <v>590</v>
      </c>
      <c r="V5" s="53" t="s">
        <v>266</v>
      </c>
    </row>
    <row r="6" spans="1:22" ht="25.5" customHeight="1" x14ac:dyDescent="0.25">
      <c r="A6" s="50" t="s">
        <v>598</v>
      </c>
      <c r="B6" s="50" t="s">
        <v>599</v>
      </c>
      <c r="C6" s="50" t="s">
        <v>600</v>
      </c>
      <c r="D6" s="50" t="s">
        <v>572</v>
      </c>
      <c r="E6" s="51">
        <v>519.4</v>
      </c>
      <c r="F6" s="51">
        <v>345.23</v>
      </c>
      <c r="G6" s="50">
        <v>0</v>
      </c>
      <c r="H6" s="50" t="s">
        <v>584</v>
      </c>
      <c r="I6" s="52">
        <v>1.02</v>
      </c>
      <c r="J6" s="52">
        <v>26.25</v>
      </c>
      <c r="K6" s="51">
        <v>363.56</v>
      </c>
      <c r="L6" s="51">
        <f t="shared" si="0"/>
        <v>0.97340000000000004</v>
      </c>
      <c r="M6" s="52">
        <v>15.49</v>
      </c>
      <c r="N6" s="50" t="s">
        <v>601</v>
      </c>
      <c r="O6" s="50" t="s">
        <v>602</v>
      </c>
      <c r="P6" s="50" t="s">
        <v>587</v>
      </c>
      <c r="Q6" s="52">
        <v>74.2</v>
      </c>
      <c r="R6" s="50" t="s">
        <v>603</v>
      </c>
      <c r="S6" s="50" t="s">
        <v>604</v>
      </c>
      <c r="T6" s="50" t="s">
        <v>605</v>
      </c>
      <c r="U6" s="50" t="s">
        <v>590</v>
      </c>
      <c r="V6" s="53" t="s">
        <v>266</v>
      </c>
    </row>
    <row r="7" spans="1:22" ht="15" customHeight="1" x14ac:dyDescent="0.25">
      <c r="A7" s="50" t="s">
        <v>606</v>
      </c>
      <c r="B7" s="50" t="s">
        <v>607</v>
      </c>
      <c r="C7" s="50" t="s">
        <v>582</v>
      </c>
      <c r="D7" s="50" t="s">
        <v>583</v>
      </c>
      <c r="E7" s="51">
        <v>2319.6</v>
      </c>
      <c r="F7" s="51">
        <v>2034.55</v>
      </c>
      <c r="G7" s="50">
        <v>0</v>
      </c>
      <c r="H7" s="50" t="s">
        <v>584</v>
      </c>
      <c r="I7" s="52">
        <v>1.57</v>
      </c>
      <c r="J7" s="52">
        <v>41.62</v>
      </c>
      <c r="K7" s="51">
        <v>2138.7600000000002</v>
      </c>
      <c r="L7" s="51">
        <f t="shared" si="0"/>
        <v>13.9754</v>
      </c>
      <c r="M7" s="52">
        <v>12.98</v>
      </c>
      <c r="N7" s="50" t="s">
        <v>608</v>
      </c>
      <c r="O7" s="50" t="s">
        <v>609</v>
      </c>
      <c r="P7" s="50" t="s">
        <v>587</v>
      </c>
      <c r="Q7" s="52">
        <v>59.1</v>
      </c>
      <c r="R7" s="50" t="s">
        <v>610</v>
      </c>
      <c r="S7" s="50" t="s">
        <v>611</v>
      </c>
      <c r="T7" s="50" t="s">
        <v>589</v>
      </c>
      <c r="U7" s="50" t="s">
        <v>590</v>
      </c>
      <c r="V7" s="53" t="s">
        <v>266</v>
      </c>
    </row>
    <row r="8" spans="1:22" ht="25.5" customHeight="1" x14ac:dyDescent="0.25">
      <c r="A8" s="54" t="s">
        <v>612</v>
      </c>
      <c r="B8" s="54" t="s">
        <v>613</v>
      </c>
      <c r="C8" s="54" t="s">
        <v>614</v>
      </c>
      <c r="D8" s="54" t="s">
        <v>615</v>
      </c>
      <c r="E8" s="55">
        <v>1756.65</v>
      </c>
      <c r="F8" s="55">
        <v>1399.6</v>
      </c>
      <c r="G8" s="54">
        <v>175</v>
      </c>
      <c r="H8" s="54" t="s">
        <v>616</v>
      </c>
      <c r="I8" s="56">
        <v>42.96</v>
      </c>
      <c r="J8" s="56">
        <v>43.87</v>
      </c>
      <c r="K8" s="55">
        <v>1394.99</v>
      </c>
      <c r="L8" s="55">
        <f t="shared" si="0"/>
        <v>262.90750000000003</v>
      </c>
      <c r="M8" s="56">
        <v>20.22</v>
      </c>
      <c r="N8" s="54" t="s">
        <v>617</v>
      </c>
      <c r="O8" s="54" t="s">
        <v>618</v>
      </c>
      <c r="P8" s="54" t="s">
        <v>576</v>
      </c>
      <c r="Q8" s="56">
        <v>84.6</v>
      </c>
      <c r="R8" s="54" t="s">
        <v>619</v>
      </c>
      <c r="S8" s="54" t="s">
        <v>620</v>
      </c>
      <c r="T8" s="54" t="s">
        <v>621</v>
      </c>
      <c r="U8" s="54" t="s">
        <v>622</v>
      </c>
      <c r="V8" s="57" t="s">
        <v>495</v>
      </c>
    </row>
    <row r="9" spans="1:22" ht="25.5" customHeight="1" x14ac:dyDescent="0.25">
      <c r="A9" s="54" t="s">
        <v>623</v>
      </c>
      <c r="B9" s="54" t="s">
        <v>624</v>
      </c>
      <c r="C9" s="54" t="s">
        <v>625</v>
      </c>
      <c r="D9" s="54" t="s">
        <v>626</v>
      </c>
      <c r="E9" s="55">
        <v>189.35</v>
      </c>
      <c r="F9" s="55">
        <v>122.19</v>
      </c>
      <c r="G9" s="54">
        <v>198</v>
      </c>
      <c r="H9" s="54" t="s">
        <v>627</v>
      </c>
      <c r="I9" s="56">
        <v>57.85</v>
      </c>
      <c r="J9" s="56">
        <v>61.88</v>
      </c>
      <c r="K9" s="55">
        <v>121.11</v>
      </c>
      <c r="L9" s="55">
        <f t="shared" si="0"/>
        <v>43.354399999999998</v>
      </c>
      <c r="M9" s="56">
        <v>12.58</v>
      </c>
      <c r="N9" s="54" t="s">
        <v>617</v>
      </c>
      <c r="O9" s="54" t="s">
        <v>628</v>
      </c>
      <c r="P9" s="54" t="s">
        <v>576</v>
      </c>
      <c r="Q9" s="56">
        <v>75.7</v>
      </c>
      <c r="R9" s="54" t="s">
        <v>629</v>
      </c>
      <c r="S9" s="54" t="s">
        <v>571</v>
      </c>
      <c r="T9" s="54" t="s">
        <v>630</v>
      </c>
      <c r="U9" s="54" t="s">
        <v>622</v>
      </c>
      <c r="V9" s="57" t="s">
        <v>495</v>
      </c>
    </row>
    <row r="10" spans="1:22" ht="15" customHeight="1" x14ac:dyDescent="0.25">
      <c r="A10" s="54" t="s">
        <v>631</v>
      </c>
      <c r="B10" s="54" t="s">
        <v>632</v>
      </c>
      <c r="C10" s="54" t="s">
        <v>633</v>
      </c>
      <c r="D10" s="54" t="s">
        <v>634</v>
      </c>
      <c r="E10" s="55">
        <v>2340.0300000000002</v>
      </c>
      <c r="F10" s="55">
        <v>1027.03</v>
      </c>
      <c r="G10" s="54">
        <v>121</v>
      </c>
      <c r="H10" s="54" t="s">
        <v>616</v>
      </c>
      <c r="I10" s="56">
        <v>31.64</v>
      </c>
      <c r="J10" s="56">
        <v>43.27</v>
      </c>
      <c r="K10" s="55">
        <v>1055.8800000000001</v>
      </c>
      <c r="L10" s="55">
        <f t="shared" si="0"/>
        <v>144.5566</v>
      </c>
      <c r="M10" s="56">
        <v>15.62</v>
      </c>
      <c r="N10" s="54" t="s">
        <v>601</v>
      </c>
      <c r="O10" s="54" t="s">
        <v>618</v>
      </c>
      <c r="P10" s="54" t="s">
        <v>576</v>
      </c>
      <c r="Q10" s="56">
        <v>45.5</v>
      </c>
      <c r="R10" s="54" t="s">
        <v>635</v>
      </c>
      <c r="S10" s="54" t="s">
        <v>571</v>
      </c>
      <c r="T10" s="54" t="s">
        <v>630</v>
      </c>
      <c r="U10" s="54" t="s">
        <v>622</v>
      </c>
      <c r="V10" s="57" t="s">
        <v>495</v>
      </c>
    </row>
    <row r="11" spans="1:22" ht="25.5" customHeight="1" x14ac:dyDescent="0.25">
      <c r="A11" s="50" t="s">
        <v>636</v>
      </c>
      <c r="B11" s="50" t="s">
        <v>637</v>
      </c>
      <c r="C11" s="50" t="s">
        <v>600</v>
      </c>
      <c r="D11" s="50" t="s">
        <v>572</v>
      </c>
      <c r="E11" s="51">
        <v>1289.42</v>
      </c>
      <c r="F11" s="51">
        <v>502.96</v>
      </c>
      <c r="G11" s="50">
        <v>0</v>
      </c>
      <c r="H11" s="50" t="s">
        <v>584</v>
      </c>
      <c r="I11" s="52">
        <v>2.67</v>
      </c>
      <c r="J11" s="52">
        <v>29.24</v>
      </c>
      <c r="K11" s="51">
        <v>495.01</v>
      </c>
      <c r="L11" s="51">
        <f t="shared" si="0"/>
        <v>3.8645999999999998</v>
      </c>
      <c r="M11" s="52">
        <v>19</v>
      </c>
      <c r="N11" s="50" t="s">
        <v>594</v>
      </c>
      <c r="O11" s="50" t="s">
        <v>638</v>
      </c>
      <c r="P11" s="50" t="s">
        <v>587</v>
      </c>
      <c r="Q11" s="52">
        <v>77.400000000000006</v>
      </c>
      <c r="R11" s="50" t="s">
        <v>639</v>
      </c>
      <c r="S11" s="50" t="s">
        <v>604</v>
      </c>
      <c r="T11" s="50" t="s">
        <v>605</v>
      </c>
      <c r="U11" s="50" t="s">
        <v>590</v>
      </c>
      <c r="V11" s="53" t="s">
        <v>266</v>
      </c>
    </row>
    <row r="12" spans="1:22" ht="15" customHeight="1" x14ac:dyDescent="0.25">
      <c r="A12" s="54" t="s">
        <v>640</v>
      </c>
      <c r="B12" s="54" t="s">
        <v>641</v>
      </c>
      <c r="C12" s="54" t="s">
        <v>582</v>
      </c>
      <c r="D12" s="54" t="s">
        <v>642</v>
      </c>
      <c r="E12" s="55">
        <v>2332.8000000000002</v>
      </c>
      <c r="F12" s="55">
        <v>864.16</v>
      </c>
      <c r="G12" s="54">
        <v>248</v>
      </c>
      <c r="H12" s="54" t="s">
        <v>627</v>
      </c>
      <c r="I12" s="56">
        <v>43.46</v>
      </c>
      <c r="J12" s="56">
        <v>47.68</v>
      </c>
      <c r="K12" s="55">
        <v>881.26</v>
      </c>
      <c r="L12" s="55">
        <f t="shared" si="0"/>
        <v>182.6123</v>
      </c>
      <c r="M12" s="56">
        <v>13.95</v>
      </c>
      <c r="N12" s="54" t="s">
        <v>617</v>
      </c>
      <c r="O12" s="54" t="s">
        <v>628</v>
      </c>
      <c r="P12" s="54" t="s">
        <v>576</v>
      </c>
      <c r="Q12" s="56">
        <v>83</v>
      </c>
      <c r="R12" s="54" t="s">
        <v>643</v>
      </c>
      <c r="S12" s="54" t="s">
        <v>604</v>
      </c>
      <c r="T12" s="54" t="s">
        <v>644</v>
      </c>
      <c r="U12" s="54" t="s">
        <v>622</v>
      </c>
      <c r="V12" s="57" t="s">
        <v>495</v>
      </c>
    </row>
    <row r="13" spans="1:22" ht="25.5" customHeight="1" x14ac:dyDescent="0.25">
      <c r="A13" s="50" t="s">
        <v>645</v>
      </c>
      <c r="B13" s="50" t="s">
        <v>646</v>
      </c>
      <c r="C13" s="50" t="s">
        <v>614</v>
      </c>
      <c r="D13" s="50" t="s">
        <v>593</v>
      </c>
      <c r="E13" s="51">
        <v>665.25</v>
      </c>
      <c r="F13" s="51">
        <v>610.4</v>
      </c>
      <c r="G13" s="50">
        <v>0</v>
      </c>
      <c r="H13" s="50" t="s">
        <v>584</v>
      </c>
      <c r="I13" s="52">
        <v>2.5299999999999998</v>
      </c>
      <c r="J13" s="52">
        <v>21.1</v>
      </c>
      <c r="K13" s="51">
        <v>610.41</v>
      </c>
      <c r="L13" s="51">
        <f t="shared" si="0"/>
        <v>3.2585999999999999</v>
      </c>
      <c r="M13" s="52">
        <v>12.68</v>
      </c>
      <c r="N13" s="50" t="s">
        <v>574</v>
      </c>
      <c r="O13" s="50" t="s">
        <v>647</v>
      </c>
      <c r="P13" s="50" t="s">
        <v>587</v>
      </c>
      <c r="Q13" s="52">
        <v>84.3</v>
      </c>
      <c r="R13" s="50" t="s">
        <v>648</v>
      </c>
      <c r="S13" s="50" t="s">
        <v>596</v>
      </c>
      <c r="T13" s="50" t="s">
        <v>649</v>
      </c>
      <c r="U13" s="50" t="s">
        <v>590</v>
      </c>
      <c r="V13" s="53" t="s">
        <v>266</v>
      </c>
    </row>
    <row r="14" spans="1:22" ht="25.5" customHeight="1" x14ac:dyDescent="0.25">
      <c r="A14" s="54" t="s">
        <v>650</v>
      </c>
      <c r="B14" s="54" t="s">
        <v>651</v>
      </c>
      <c r="C14" s="54" t="s">
        <v>582</v>
      </c>
      <c r="D14" s="54" t="s">
        <v>583</v>
      </c>
      <c r="E14" s="55">
        <v>234.35</v>
      </c>
      <c r="F14" s="55">
        <v>211.04</v>
      </c>
      <c r="G14" s="54">
        <v>645</v>
      </c>
      <c r="H14" s="54" t="s">
        <v>652</v>
      </c>
      <c r="I14" s="56">
        <v>60.9</v>
      </c>
      <c r="J14" s="56">
        <v>64.23</v>
      </c>
      <c r="K14" s="55">
        <v>215.2</v>
      </c>
      <c r="L14" s="55">
        <f t="shared" si="0"/>
        <v>84.177800000000005</v>
      </c>
      <c r="M14" s="56">
        <v>15.37</v>
      </c>
      <c r="N14" s="54" t="s">
        <v>608</v>
      </c>
      <c r="O14" s="54" t="s">
        <v>653</v>
      </c>
      <c r="P14" s="54" t="s">
        <v>576</v>
      </c>
      <c r="Q14" s="56">
        <v>64.3</v>
      </c>
      <c r="R14" s="54" t="s">
        <v>654</v>
      </c>
      <c r="S14" s="54" t="s">
        <v>655</v>
      </c>
      <c r="T14" s="54" t="s">
        <v>656</v>
      </c>
      <c r="U14" s="54" t="s">
        <v>622</v>
      </c>
      <c r="V14" s="57" t="s">
        <v>495</v>
      </c>
    </row>
    <row r="15" spans="1:22" ht="15" customHeight="1" x14ac:dyDescent="0.25">
      <c r="A15" s="50" t="s">
        <v>657</v>
      </c>
      <c r="B15" s="50" t="s">
        <v>658</v>
      </c>
      <c r="C15" s="50" t="s">
        <v>659</v>
      </c>
      <c r="D15" s="50" t="s">
        <v>572</v>
      </c>
      <c r="E15" s="51">
        <v>1721.06</v>
      </c>
      <c r="F15" s="51">
        <v>1296.8399999999999</v>
      </c>
      <c r="G15" s="50">
        <v>0</v>
      </c>
      <c r="H15" s="50" t="s">
        <v>584</v>
      </c>
      <c r="I15" s="52">
        <v>2.93</v>
      </c>
      <c r="J15" s="52">
        <v>38.74</v>
      </c>
      <c r="K15" s="51">
        <v>1365.99</v>
      </c>
      <c r="L15" s="51">
        <f t="shared" si="0"/>
        <v>15.505100000000001</v>
      </c>
      <c r="M15" s="52">
        <v>13.63</v>
      </c>
      <c r="N15" s="50" t="s">
        <v>585</v>
      </c>
      <c r="O15" s="50" t="s">
        <v>602</v>
      </c>
      <c r="P15" s="50" t="s">
        <v>587</v>
      </c>
      <c r="Q15" s="52">
        <v>88</v>
      </c>
      <c r="R15" s="50" t="s">
        <v>660</v>
      </c>
      <c r="S15" s="50" t="s">
        <v>620</v>
      </c>
      <c r="T15" s="50" t="s">
        <v>661</v>
      </c>
      <c r="U15" s="50" t="s">
        <v>590</v>
      </c>
      <c r="V15" s="53" t="s">
        <v>266</v>
      </c>
    </row>
    <row r="16" spans="1:22" ht="15" customHeight="1" x14ac:dyDescent="0.25">
      <c r="A16" s="54" t="s">
        <v>662</v>
      </c>
      <c r="B16" s="54" t="s">
        <v>663</v>
      </c>
      <c r="C16" s="54" t="s">
        <v>659</v>
      </c>
      <c r="D16" s="54" t="s">
        <v>615</v>
      </c>
      <c r="E16" s="55">
        <v>2015.48</v>
      </c>
      <c r="F16" s="55">
        <v>1788.87</v>
      </c>
      <c r="G16" s="54">
        <v>249</v>
      </c>
      <c r="H16" s="54" t="s">
        <v>627</v>
      </c>
      <c r="I16" s="56">
        <v>44.78</v>
      </c>
      <c r="J16" s="56">
        <v>62.53</v>
      </c>
      <c r="K16" s="55">
        <v>1796.79</v>
      </c>
      <c r="L16" s="55">
        <f t="shared" si="0"/>
        <v>503.11799999999999</v>
      </c>
      <c r="M16" s="56">
        <v>11.85</v>
      </c>
      <c r="N16" s="54" t="s">
        <v>664</v>
      </c>
      <c r="O16" s="54" t="s">
        <v>628</v>
      </c>
      <c r="P16" s="54" t="s">
        <v>576</v>
      </c>
      <c r="Q16" s="56">
        <v>55.6</v>
      </c>
      <c r="R16" s="54" t="s">
        <v>665</v>
      </c>
      <c r="S16" s="54" t="s">
        <v>666</v>
      </c>
      <c r="T16" s="54" t="s">
        <v>667</v>
      </c>
      <c r="U16" s="54" t="s">
        <v>622</v>
      </c>
      <c r="V16" s="57" t="s">
        <v>495</v>
      </c>
    </row>
    <row r="17" spans="1:22" ht="15" customHeight="1" x14ac:dyDescent="0.25">
      <c r="A17" s="50" t="s">
        <v>668</v>
      </c>
      <c r="B17" s="50" t="s">
        <v>669</v>
      </c>
      <c r="C17" s="50" t="s">
        <v>571</v>
      </c>
      <c r="D17" s="50" t="s">
        <v>572</v>
      </c>
      <c r="E17" s="51">
        <v>107.98</v>
      </c>
      <c r="F17" s="51">
        <v>46.57</v>
      </c>
      <c r="G17" s="50">
        <v>0</v>
      </c>
      <c r="H17" s="50" t="s">
        <v>584</v>
      </c>
      <c r="I17" s="52">
        <v>2.91</v>
      </c>
      <c r="J17" s="52">
        <v>26.98</v>
      </c>
      <c r="K17" s="51">
        <v>47.86</v>
      </c>
      <c r="L17" s="51">
        <f t="shared" si="0"/>
        <v>0.37580000000000002</v>
      </c>
      <c r="M17" s="52">
        <v>15.1</v>
      </c>
      <c r="N17" s="50" t="s">
        <v>601</v>
      </c>
      <c r="O17" s="50" t="s">
        <v>586</v>
      </c>
      <c r="P17" s="50" t="s">
        <v>587</v>
      </c>
      <c r="Q17" s="52">
        <v>62.6</v>
      </c>
      <c r="R17" s="50" t="s">
        <v>670</v>
      </c>
      <c r="S17" s="50" t="s">
        <v>671</v>
      </c>
      <c r="T17" s="50" t="s">
        <v>667</v>
      </c>
      <c r="U17" s="50" t="s">
        <v>590</v>
      </c>
      <c r="V17" s="53" t="s">
        <v>266</v>
      </c>
    </row>
    <row r="18" spans="1:22" ht="15" customHeight="1" x14ac:dyDescent="0.25">
      <c r="A18" s="50" t="s">
        <v>672</v>
      </c>
      <c r="B18" s="50" t="s">
        <v>673</v>
      </c>
      <c r="C18" s="50" t="s">
        <v>674</v>
      </c>
      <c r="D18" s="50" t="s">
        <v>642</v>
      </c>
      <c r="E18" s="51">
        <v>143.72999999999999</v>
      </c>
      <c r="F18" s="51">
        <v>101.43</v>
      </c>
      <c r="G18" s="50">
        <v>0</v>
      </c>
      <c r="H18" s="50" t="s">
        <v>584</v>
      </c>
      <c r="I18" s="52">
        <v>1.45</v>
      </c>
      <c r="J18" s="52">
        <v>44.61</v>
      </c>
      <c r="K18" s="51">
        <v>99.44</v>
      </c>
      <c r="L18" s="51">
        <f t="shared" si="0"/>
        <v>0.64319999999999999</v>
      </c>
      <c r="M18" s="52">
        <v>19.600000000000001</v>
      </c>
      <c r="N18" s="50" t="s">
        <v>585</v>
      </c>
      <c r="O18" s="50" t="s">
        <v>638</v>
      </c>
      <c r="P18" s="50" t="s">
        <v>587</v>
      </c>
      <c r="Q18" s="52">
        <v>47.4</v>
      </c>
      <c r="R18" s="50" t="s">
        <v>675</v>
      </c>
      <c r="S18" s="50" t="s">
        <v>620</v>
      </c>
      <c r="T18" s="50" t="s">
        <v>605</v>
      </c>
      <c r="U18" s="50" t="s">
        <v>590</v>
      </c>
      <c r="V18" s="53" t="s">
        <v>266</v>
      </c>
    </row>
    <row r="19" spans="1:22" ht="25.5" customHeight="1" x14ac:dyDescent="0.25">
      <c r="A19" s="54" t="s">
        <v>676</v>
      </c>
      <c r="B19" s="54" t="s">
        <v>677</v>
      </c>
      <c r="C19" s="54" t="s">
        <v>571</v>
      </c>
      <c r="D19" s="54" t="s">
        <v>634</v>
      </c>
      <c r="E19" s="55">
        <v>1106.68</v>
      </c>
      <c r="F19" s="55">
        <v>1046.07</v>
      </c>
      <c r="G19" s="54">
        <v>685</v>
      </c>
      <c r="H19" s="54" t="s">
        <v>652</v>
      </c>
      <c r="I19" s="56">
        <v>67.849999999999994</v>
      </c>
      <c r="J19" s="56">
        <v>76.2</v>
      </c>
      <c r="K19" s="55">
        <v>1082.45</v>
      </c>
      <c r="L19" s="55">
        <f t="shared" si="0"/>
        <v>559.64509999999996</v>
      </c>
      <c r="M19" s="56">
        <v>14.2</v>
      </c>
      <c r="N19" s="54" t="s">
        <v>574</v>
      </c>
      <c r="O19" s="54" t="s">
        <v>678</v>
      </c>
      <c r="P19" s="54" t="s">
        <v>576</v>
      </c>
      <c r="Q19" s="56">
        <v>62.3</v>
      </c>
      <c r="R19" s="54" t="s">
        <v>679</v>
      </c>
      <c r="S19" s="54" t="s">
        <v>680</v>
      </c>
      <c r="T19" s="54" t="s">
        <v>605</v>
      </c>
      <c r="U19" s="54" t="s">
        <v>622</v>
      </c>
      <c r="V19" s="57" t="s">
        <v>495</v>
      </c>
    </row>
    <row r="20" spans="1:22" ht="15" customHeight="1" x14ac:dyDescent="0.25">
      <c r="A20" s="46" t="s">
        <v>681</v>
      </c>
      <c r="B20" s="46" t="s">
        <v>682</v>
      </c>
      <c r="C20" s="46" t="s">
        <v>674</v>
      </c>
      <c r="D20" s="46" t="s">
        <v>572</v>
      </c>
      <c r="E20" s="47">
        <v>1080.0899999999999</v>
      </c>
      <c r="F20" s="47">
        <v>1014.69</v>
      </c>
      <c r="G20" s="46">
        <v>89</v>
      </c>
      <c r="H20" s="46" t="s">
        <v>573</v>
      </c>
      <c r="I20" s="48">
        <v>16.739999999999998</v>
      </c>
      <c r="J20" s="48">
        <v>49.23</v>
      </c>
      <c r="K20" s="47">
        <v>1021.33</v>
      </c>
      <c r="L20" s="47">
        <f t="shared" si="0"/>
        <v>84.168800000000005</v>
      </c>
      <c r="M20" s="48">
        <v>19</v>
      </c>
      <c r="N20" s="46" t="s">
        <v>574</v>
      </c>
      <c r="O20" s="46" t="s">
        <v>618</v>
      </c>
      <c r="P20" s="46" t="s">
        <v>576</v>
      </c>
      <c r="Q20" s="48">
        <v>56.1</v>
      </c>
      <c r="R20" s="46" t="s">
        <v>683</v>
      </c>
      <c r="S20" s="46" t="s">
        <v>571</v>
      </c>
      <c r="T20" s="46" t="s">
        <v>621</v>
      </c>
      <c r="U20" s="46" t="s">
        <v>579</v>
      </c>
      <c r="V20" s="49" t="s">
        <v>321</v>
      </c>
    </row>
    <row r="21" spans="1:22" ht="25.5" customHeight="1" x14ac:dyDescent="0.25">
      <c r="A21" s="46" t="s">
        <v>684</v>
      </c>
      <c r="B21" s="46" t="s">
        <v>685</v>
      </c>
      <c r="C21" s="46" t="s">
        <v>659</v>
      </c>
      <c r="D21" s="46" t="s">
        <v>593</v>
      </c>
      <c r="E21" s="47">
        <v>1132.3800000000001</v>
      </c>
      <c r="F21" s="47">
        <v>859.96</v>
      </c>
      <c r="G21" s="46">
        <v>26</v>
      </c>
      <c r="H21" s="46" t="s">
        <v>686</v>
      </c>
      <c r="I21" s="48">
        <v>7.51</v>
      </c>
      <c r="J21" s="48">
        <v>44.9</v>
      </c>
      <c r="K21" s="47">
        <v>847.29</v>
      </c>
      <c r="L21" s="47">
        <f t="shared" si="0"/>
        <v>28.570499999999999</v>
      </c>
      <c r="M21" s="48">
        <v>12.26</v>
      </c>
      <c r="N21" s="46" t="s">
        <v>617</v>
      </c>
      <c r="O21" s="46" t="s">
        <v>575</v>
      </c>
      <c r="P21" s="46" t="s">
        <v>576</v>
      </c>
      <c r="Q21" s="48">
        <v>78.5</v>
      </c>
      <c r="R21" s="46" t="s">
        <v>687</v>
      </c>
      <c r="S21" s="46" t="s">
        <v>671</v>
      </c>
      <c r="T21" s="46" t="s">
        <v>688</v>
      </c>
      <c r="U21" s="46" t="s">
        <v>579</v>
      </c>
      <c r="V21" s="49" t="s">
        <v>321</v>
      </c>
    </row>
    <row r="22" spans="1:22" ht="25.5" customHeight="1" x14ac:dyDescent="0.25">
      <c r="A22" s="50" t="s">
        <v>689</v>
      </c>
      <c r="B22" s="50" t="s">
        <v>690</v>
      </c>
      <c r="C22" s="50" t="s">
        <v>571</v>
      </c>
      <c r="D22" s="50" t="s">
        <v>642</v>
      </c>
      <c r="E22" s="51">
        <v>600.37</v>
      </c>
      <c r="F22" s="51">
        <v>261.41000000000003</v>
      </c>
      <c r="G22" s="50">
        <v>0</v>
      </c>
      <c r="H22" s="50" t="s">
        <v>584</v>
      </c>
      <c r="I22" s="52">
        <v>2.96</v>
      </c>
      <c r="J22" s="52">
        <v>35.28</v>
      </c>
      <c r="K22" s="51">
        <v>271.64999999999998</v>
      </c>
      <c r="L22" s="51">
        <f t="shared" si="0"/>
        <v>2.8368000000000002</v>
      </c>
      <c r="M22" s="52">
        <v>15.6</v>
      </c>
      <c r="N22" s="50" t="s">
        <v>594</v>
      </c>
      <c r="O22" s="50" t="s">
        <v>586</v>
      </c>
      <c r="P22" s="50" t="s">
        <v>587</v>
      </c>
      <c r="Q22" s="52">
        <v>55.3</v>
      </c>
      <c r="R22" s="50" t="s">
        <v>679</v>
      </c>
      <c r="S22" s="50" t="s">
        <v>691</v>
      </c>
      <c r="T22" s="50" t="s">
        <v>589</v>
      </c>
      <c r="U22" s="50" t="s">
        <v>590</v>
      </c>
      <c r="V22" s="53" t="s">
        <v>266</v>
      </c>
    </row>
    <row r="23" spans="1:22" ht="15" customHeight="1" x14ac:dyDescent="0.25">
      <c r="A23" s="54" t="s">
        <v>692</v>
      </c>
      <c r="B23" s="54" t="s">
        <v>693</v>
      </c>
      <c r="C23" s="54" t="s">
        <v>633</v>
      </c>
      <c r="D23" s="54" t="s">
        <v>572</v>
      </c>
      <c r="E23" s="55">
        <v>411.55</v>
      </c>
      <c r="F23" s="55">
        <v>315.89999999999998</v>
      </c>
      <c r="G23" s="54">
        <v>420</v>
      </c>
      <c r="H23" s="54" t="s">
        <v>652</v>
      </c>
      <c r="I23" s="56">
        <v>79.459999999999994</v>
      </c>
      <c r="J23" s="56">
        <v>60.47</v>
      </c>
      <c r="K23" s="55">
        <v>329.28</v>
      </c>
      <c r="L23" s="55">
        <f t="shared" si="0"/>
        <v>158.21729999999999</v>
      </c>
      <c r="M23" s="56">
        <v>17.760000000000002</v>
      </c>
      <c r="N23" s="54" t="s">
        <v>664</v>
      </c>
      <c r="O23" s="54" t="s">
        <v>618</v>
      </c>
      <c r="P23" s="54" t="s">
        <v>576</v>
      </c>
      <c r="Q23" s="56">
        <v>74.5</v>
      </c>
      <c r="R23" s="54" t="s">
        <v>694</v>
      </c>
      <c r="S23" s="54" t="s">
        <v>695</v>
      </c>
      <c r="T23" s="54" t="s">
        <v>661</v>
      </c>
      <c r="U23" s="54" t="s">
        <v>622</v>
      </c>
      <c r="V23" s="57" t="s">
        <v>495</v>
      </c>
    </row>
    <row r="24" spans="1:22" ht="15" customHeight="1" x14ac:dyDescent="0.25">
      <c r="A24" s="46" t="s">
        <v>696</v>
      </c>
      <c r="B24" s="46" t="s">
        <v>697</v>
      </c>
      <c r="C24" s="46" t="s">
        <v>625</v>
      </c>
      <c r="D24" s="46" t="s">
        <v>634</v>
      </c>
      <c r="E24" s="47">
        <v>2377.6</v>
      </c>
      <c r="F24" s="47">
        <v>2154.5100000000002</v>
      </c>
      <c r="G24" s="46">
        <v>54</v>
      </c>
      <c r="H24" s="46" t="s">
        <v>698</v>
      </c>
      <c r="I24" s="48">
        <v>14.24</v>
      </c>
      <c r="J24" s="48">
        <v>40.67</v>
      </c>
      <c r="K24" s="47">
        <v>2265.7199999999998</v>
      </c>
      <c r="L24" s="47">
        <f t="shared" si="0"/>
        <v>131.21709999999999</v>
      </c>
      <c r="M24" s="48">
        <v>15.51</v>
      </c>
      <c r="N24" s="46" t="s">
        <v>585</v>
      </c>
      <c r="O24" s="46" t="s">
        <v>628</v>
      </c>
      <c r="P24" s="46" t="s">
        <v>576</v>
      </c>
      <c r="Q24" s="48">
        <v>68.900000000000006</v>
      </c>
      <c r="R24" s="46" t="s">
        <v>699</v>
      </c>
      <c r="S24" s="46" t="s">
        <v>700</v>
      </c>
      <c r="T24" s="46" t="s">
        <v>644</v>
      </c>
      <c r="U24" s="46" t="s">
        <v>579</v>
      </c>
      <c r="V24" s="49" t="s">
        <v>321</v>
      </c>
    </row>
    <row r="25" spans="1:22" ht="25.5" customHeight="1" x14ac:dyDescent="0.25">
      <c r="A25" s="50" t="s">
        <v>701</v>
      </c>
      <c r="B25" s="50" t="s">
        <v>702</v>
      </c>
      <c r="C25" s="50" t="s">
        <v>614</v>
      </c>
      <c r="D25" s="50" t="s">
        <v>593</v>
      </c>
      <c r="E25" s="51">
        <v>1585.53</v>
      </c>
      <c r="F25" s="51">
        <v>771.72</v>
      </c>
      <c r="G25" s="50">
        <v>0</v>
      </c>
      <c r="H25" s="50" t="s">
        <v>584</v>
      </c>
      <c r="I25" s="52">
        <v>0.89</v>
      </c>
      <c r="J25" s="52">
        <v>28.4</v>
      </c>
      <c r="K25" s="51">
        <v>810.59</v>
      </c>
      <c r="L25" s="51">
        <f t="shared" si="0"/>
        <v>2.0488</v>
      </c>
      <c r="M25" s="52">
        <v>12.23</v>
      </c>
      <c r="N25" s="50" t="s">
        <v>585</v>
      </c>
      <c r="O25" s="50" t="s">
        <v>647</v>
      </c>
      <c r="P25" s="50" t="s">
        <v>587</v>
      </c>
      <c r="Q25" s="52">
        <v>65.3</v>
      </c>
      <c r="R25" s="50" t="s">
        <v>703</v>
      </c>
      <c r="S25" s="50" t="s">
        <v>596</v>
      </c>
      <c r="T25" s="50" t="s">
        <v>578</v>
      </c>
      <c r="U25" s="50" t="s">
        <v>590</v>
      </c>
      <c r="V25" s="53" t="s">
        <v>266</v>
      </c>
    </row>
    <row r="26" spans="1:22" ht="15" customHeight="1" x14ac:dyDescent="0.25">
      <c r="A26" s="50" t="s">
        <v>704</v>
      </c>
      <c r="B26" s="50" t="s">
        <v>705</v>
      </c>
      <c r="C26" s="50" t="s">
        <v>600</v>
      </c>
      <c r="D26" s="50" t="s">
        <v>615</v>
      </c>
      <c r="E26" s="51">
        <v>1048.6199999999999</v>
      </c>
      <c r="F26" s="51">
        <v>701.5</v>
      </c>
      <c r="G26" s="50">
        <v>0</v>
      </c>
      <c r="H26" s="50" t="s">
        <v>584</v>
      </c>
      <c r="I26" s="52">
        <v>2.54</v>
      </c>
      <c r="J26" s="52">
        <v>29.74</v>
      </c>
      <c r="K26" s="51">
        <v>729.06</v>
      </c>
      <c r="L26" s="51">
        <f t="shared" si="0"/>
        <v>5.5072999999999999</v>
      </c>
      <c r="M26" s="52">
        <v>20.010000000000002</v>
      </c>
      <c r="N26" s="50" t="s">
        <v>608</v>
      </c>
      <c r="O26" s="50" t="s">
        <v>602</v>
      </c>
      <c r="P26" s="50" t="s">
        <v>587</v>
      </c>
      <c r="Q26" s="52">
        <v>91.7</v>
      </c>
      <c r="R26" s="50" t="s">
        <v>706</v>
      </c>
      <c r="S26" s="50" t="s">
        <v>691</v>
      </c>
      <c r="T26" s="50" t="s">
        <v>589</v>
      </c>
      <c r="U26" s="50" t="s">
        <v>590</v>
      </c>
      <c r="V26" s="53" t="s">
        <v>266</v>
      </c>
    </row>
    <row r="27" spans="1:22" ht="15" customHeight="1" x14ac:dyDescent="0.25">
      <c r="A27" s="54" t="s">
        <v>707</v>
      </c>
      <c r="B27" s="54" t="s">
        <v>708</v>
      </c>
      <c r="C27" s="54" t="s">
        <v>582</v>
      </c>
      <c r="D27" s="54" t="s">
        <v>634</v>
      </c>
      <c r="E27" s="55">
        <v>781.6</v>
      </c>
      <c r="F27" s="55">
        <v>441.75</v>
      </c>
      <c r="G27" s="54">
        <v>580</v>
      </c>
      <c r="H27" s="54" t="s">
        <v>652</v>
      </c>
      <c r="I27" s="56">
        <v>73.459999999999994</v>
      </c>
      <c r="J27" s="56">
        <v>73.37</v>
      </c>
      <c r="K27" s="55">
        <v>460.3</v>
      </c>
      <c r="L27" s="55">
        <f t="shared" si="0"/>
        <v>248.0907</v>
      </c>
      <c r="M27" s="56">
        <v>19.579999999999998</v>
      </c>
      <c r="N27" s="54" t="s">
        <v>664</v>
      </c>
      <c r="O27" s="54" t="s">
        <v>628</v>
      </c>
      <c r="P27" s="54" t="s">
        <v>576</v>
      </c>
      <c r="Q27" s="56">
        <v>59.5</v>
      </c>
      <c r="R27" s="54" t="s">
        <v>709</v>
      </c>
      <c r="S27" s="54" t="s">
        <v>620</v>
      </c>
      <c r="T27" s="54" t="s">
        <v>649</v>
      </c>
      <c r="U27" s="54" t="s">
        <v>622</v>
      </c>
      <c r="V27" s="57" t="s">
        <v>495</v>
      </c>
    </row>
    <row r="28" spans="1:22" ht="25.5" customHeight="1" x14ac:dyDescent="0.25">
      <c r="A28" s="54" t="s">
        <v>710</v>
      </c>
      <c r="B28" s="54" t="s">
        <v>711</v>
      </c>
      <c r="C28" s="54" t="s">
        <v>659</v>
      </c>
      <c r="D28" s="54" t="s">
        <v>615</v>
      </c>
      <c r="E28" s="55">
        <v>1824.24</v>
      </c>
      <c r="F28" s="55">
        <v>1589.91</v>
      </c>
      <c r="G28" s="54">
        <v>684</v>
      </c>
      <c r="H28" s="54" t="s">
        <v>652</v>
      </c>
      <c r="I28" s="56">
        <v>73.349999999999994</v>
      </c>
      <c r="J28" s="56">
        <v>77.67</v>
      </c>
      <c r="K28" s="55">
        <v>1626.91</v>
      </c>
      <c r="L28" s="55">
        <f t="shared" si="0"/>
        <v>926.86599999999999</v>
      </c>
      <c r="M28" s="56">
        <v>17.47</v>
      </c>
      <c r="N28" s="54" t="s">
        <v>608</v>
      </c>
      <c r="O28" s="54" t="s">
        <v>678</v>
      </c>
      <c r="P28" s="54" t="s">
        <v>576</v>
      </c>
      <c r="Q28" s="56">
        <v>52.2</v>
      </c>
      <c r="R28" s="54" t="s">
        <v>712</v>
      </c>
      <c r="S28" s="54" t="s">
        <v>713</v>
      </c>
      <c r="T28" s="54" t="s">
        <v>656</v>
      </c>
      <c r="U28" s="54" t="s">
        <v>622</v>
      </c>
      <c r="V28" s="57" t="s">
        <v>495</v>
      </c>
    </row>
    <row r="29" spans="1:22" ht="15" customHeight="1" x14ac:dyDescent="0.25">
      <c r="A29" s="50" t="s">
        <v>714</v>
      </c>
      <c r="B29" s="50" t="s">
        <v>715</v>
      </c>
      <c r="C29" s="50" t="s">
        <v>614</v>
      </c>
      <c r="D29" s="50" t="s">
        <v>615</v>
      </c>
      <c r="E29" s="51">
        <v>852.01</v>
      </c>
      <c r="F29" s="51">
        <v>519.04</v>
      </c>
      <c r="G29" s="50">
        <v>0</v>
      </c>
      <c r="H29" s="50" t="s">
        <v>584</v>
      </c>
      <c r="I29" s="52">
        <v>1.02</v>
      </c>
      <c r="J29" s="52">
        <v>43.78</v>
      </c>
      <c r="K29" s="51">
        <v>523.16</v>
      </c>
      <c r="L29" s="51">
        <f t="shared" si="0"/>
        <v>2.3361999999999998</v>
      </c>
      <c r="M29" s="52">
        <v>19.010000000000002</v>
      </c>
      <c r="N29" s="50" t="s">
        <v>664</v>
      </c>
      <c r="O29" s="50" t="s">
        <v>716</v>
      </c>
      <c r="P29" s="50" t="s">
        <v>587</v>
      </c>
      <c r="Q29" s="52">
        <v>84.7</v>
      </c>
      <c r="R29" s="50" t="s">
        <v>717</v>
      </c>
      <c r="S29" s="50" t="s">
        <v>666</v>
      </c>
      <c r="T29" s="50" t="s">
        <v>578</v>
      </c>
      <c r="U29" s="50" t="s">
        <v>590</v>
      </c>
      <c r="V29" s="53" t="s">
        <v>266</v>
      </c>
    </row>
    <row r="30" spans="1:22" ht="15" customHeight="1" x14ac:dyDescent="0.25">
      <c r="A30" s="50" t="s">
        <v>718</v>
      </c>
      <c r="B30" s="50" t="s">
        <v>719</v>
      </c>
      <c r="C30" s="50" t="s">
        <v>600</v>
      </c>
      <c r="D30" s="50" t="s">
        <v>720</v>
      </c>
      <c r="E30" s="51">
        <v>1897.87</v>
      </c>
      <c r="F30" s="51">
        <v>1794.88</v>
      </c>
      <c r="G30" s="50">
        <v>0</v>
      </c>
      <c r="H30" s="50" t="s">
        <v>584</v>
      </c>
      <c r="I30" s="52">
        <v>1.96</v>
      </c>
      <c r="J30" s="52">
        <v>25.96</v>
      </c>
      <c r="K30" s="51">
        <v>1817.53</v>
      </c>
      <c r="L30" s="51">
        <f t="shared" si="0"/>
        <v>9.2478999999999996</v>
      </c>
      <c r="M30" s="52">
        <v>12.53</v>
      </c>
      <c r="N30" s="50" t="s">
        <v>585</v>
      </c>
      <c r="O30" s="50" t="s">
        <v>609</v>
      </c>
      <c r="P30" s="50" t="s">
        <v>587</v>
      </c>
      <c r="Q30" s="52">
        <v>82.1</v>
      </c>
      <c r="R30" s="50" t="s">
        <v>721</v>
      </c>
      <c r="S30" s="50" t="s">
        <v>666</v>
      </c>
      <c r="T30" s="50" t="s">
        <v>661</v>
      </c>
      <c r="U30" s="50" t="s">
        <v>590</v>
      </c>
      <c r="V30" s="53" t="s">
        <v>266</v>
      </c>
    </row>
    <row r="31" spans="1:22" ht="25.5" customHeight="1" x14ac:dyDescent="0.25">
      <c r="A31" s="50" t="s">
        <v>722</v>
      </c>
      <c r="B31" s="50" t="s">
        <v>723</v>
      </c>
      <c r="C31" s="50" t="s">
        <v>600</v>
      </c>
      <c r="D31" s="50" t="s">
        <v>626</v>
      </c>
      <c r="E31" s="51">
        <v>2413.5700000000002</v>
      </c>
      <c r="F31" s="51">
        <v>901.49</v>
      </c>
      <c r="G31" s="50">
        <v>0</v>
      </c>
      <c r="H31" s="50" t="s">
        <v>584</v>
      </c>
      <c r="I31" s="52">
        <v>1.83</v>
      </c>
      <c r="J31" s="52">
        <v>42.7</v>
      </c>
      <c r="K31" s="51">
        <v>904.9</v>
      </c>
      <c r="L31" s="51">
        <f t="shared" si="0"/>
        <v>7.0709999999999997</v>
      </c>
      <c r="M31" s="52">
        <v>19.97</v>
      </c>
      <c r="N31" s="50" t="s">
        <v>585</v>
      </c>
      <c r="O31" s="50" t="s">
        <v>716</v>
      </c>
      <c r="P31" s="50" t="s">
        <v>587</v>
      </c>
      <c r="Q31" s="52">
        <v>76.400000000000006</v>
      </c>
      <c r="R31" s="50" t="s">
        <v>724</v>
      </c>
      <c r="S31" s="50" t="s">
        <v>700</v>
      </c>
      <c r="T31" s="50" t="s">
        <v>630</v>
      </c>
      <c r="U31" s="50" t="s">
        <v>590</v>
      </c>
      <c r="V31" s="53" t="s">
        <v>266</v>
      </c>
    </row>
    <row r="32" spans="1:22" ht="15" customHeight="1" x14ac:dyDescent="0.25">
      <c r="A32" s="50" t="s">
        <v>725</v>
      </c>
      <c r="B32" s="50" t="s">
        <v>726</v>
      </c>
      <c r="C32" s="50" t="s">
        <v>614</v>
      </c>
      <c r="D32" s="50" t="s">
        <v>583</v>
      </c>
      <c r="E32" s="51">
        <v>2000.76</v>
      </c>
      <c r="F32" s="51">
        <v>1370.19</v>
      </c>
      <c r="G32" s="50">
        <v>0</v>
      </c>
      <c r="H32" s="50" t="s">
        <v>584</v>
      </c>
      <c r="I32" s="52">
        <v>2.0699999999999998</v>
      </c>
      <c r="J32" s="52">
        <v>21.72</v>
      </c>
      <c r="K32" s="51">
        <v>1408.94</v>
      </c>
      <c r="L32" s="51">
        <f t="shared" si="0"/>
        <v>6.3346999999999998</v>
      </c>
      <c r="M32" s="52">
        <v>11.61</v>
      </c>
      <c r="N32" s="50" t="s">
        <v>664</v>
      </c>
      <c r="O32" s="50" t="s">
        <v>602</v>
      </c>
      <c r="P32" s="50" t="s">
        <v>587</v>
      </c>
      <c r="Q32" s="52">
        <v>71</v>
      </c>
      <c r="R32" s="50" t="s">
        <v>727</v>
      </c>
      <c r="S32" s="50" t="s">
        <v>666</v>
      </c>
      <c r="T32" s="50" t="s">
        <v>644</v>
      </c>
      <c r="U32" s="50" t="s">
        <v>590</v>
      </c>
      <c r="V32" s="53" t="s">
        <v>266</v>
      </c>
    </row>
    <row r="33" spans="1:22" ht="25.5" customHeight="1" x14ac:dyDescent="0.25">
      <c r="A33" s="54" t="s">
        <v>728</v>
      </c>
      <c r="B33" s="54" t="s">
        <v>729</v>
      </c>
      <c r="C33" s="54" t="s">
        <v>625</v>
      </c>
      <c r="D33" s="54" t="s">
        <v>626</v>
      </c>
      <c r="E33" s="55">
        <v>1116.94</v>
      </c>
      <c r="F33" s="55">
        <v>892.41</v>
      </c>
      <c r="G33" s="54">
        <v>869</v>
      </c>
      <c r="H33" s="54" t="s">
        <v>730</v>
      </c>
      <c r="I33" s="56">
        <v>91.7</v>
      </c>
      <c r="J33" s="56">
        <v>92.59</v>
      </c>
      <c r="K33" s="55">
        <v>927.85</v>
      </c>
      <c r="L33" s="55">
        <f t="shared" si="0"/>
        <v>787.79129999999998</v>
      </c>
      <c r="M33" s="56">
        <v>15.68</v>
      </c>
      <c r="N33" s="54" t="s">
        <v>601</v>
      </c>
      <c r="O33" s="54" t="s">
        <v>653</v>
      </c>
      <c r="P33" s="54" t="s">
        <v>576</v>
      </c>
      <c r="Q33" s="56">
        <v>62.1</v>
      </c>
      <c r="R33" s="54" t="s">
        <v>731</v>
      </c>
      <c r="S33" s="54" t="s">
        <v>655</v>
      </c>
      <c r="T33" s="54" t="s">
        <v>630</v>
      </c>
      <c r="U33" s="54" t="s">
        <v>622</v>
      </c>
      <c r="V33" s="57" t="s">
        <v>495</v>
      </c>
    </row>
    <row r="34" spans="1:22" ht="15" customHeight="1" x14ac:dyDescent="0.25">
      <c r="A34" s="46" t="s">
        <v>732</v>
      </c>
      <c r="B34" s="46" t="s">
        <v>733</v>
      </c>
      <c r="C34" s="46" t="s">
        <v>614</v>
      </c>
      <c r="D34" s="46" t="s">
        <v>593</v>
      </c>
      <c r="E34" s="47">
        <v>647.47</v>
      </c>
      <c r="F34" s="47">
        <v>398.84</v>
      </c>
      <c r="G34" s="46">
        <v>43</v>
      </c>
      <c r="H34" s="46" t="s">
        <v>698</v>
      </c>
      <c r="I34" s="48">
        <v>10.35</v>
      </c>
      <c r="J34" s="48">
        <v>42.36</v>
      </c>
      <c r="K34" s="47">
        <v>398.54</v>
      </c>
      <c r="L34" s="47">
        <f t="shared" si="0"/>
        <v>17.472999999999999</v>
      </c>
      <c r="M34" s="48">
        <v>15.89</v>
      </c>
      <c r="N34" s="46" t="s">
        <v>574</v>
      </c>
      <c r="O34" s="46" t="s">
        <v>618</v>
      </c>
      <c r="P34" s="46" t="s">
        <v>576</v>
      </c>
      <c r="Q34" s="48">
        <v>63</v>
      </c>
      <c r="R34" s="46" t="s">
        <v>734</v>
      </c>
      <c r="S34" s="46" t="s">
        <v>596</v>
      </c>
      <c r="T34" s="46" t="s">
        <v>667</v>
      </c>
      <c r="U34" s="46" t="s">
        <v>579</v>
      </c>
      <c r="V34" s="49" t="s">
        <v>321</v>
      </c>
    </row>
    <row r="35" spans="1:22" ht="15" customHeight="1" x14ac:dyDescent="0.25">
      <c r="A35" s="46" t="s">
        <v>735</v>
      </c>
      <c r="B35" s="46" t="s">
        <v>736</v>
      </c>
      <c r="C35" s="46" t="s">
        <v>582</v>
      </c>
      <c r="D35" s="46" t="s">
        <v>572</v>
      </c>
      <c r="E35" s="47">
        <v>259.75</v>
      </c>
      <c r="F35" s="47">
        <v>205.11</v>
      </c>
      <c r="G35" s="46">
        <v>25</v>
      </c>
      <c r="H35" s="46" t="s">
        <v>686</v>
      </c>
      <c r="I35" s="48">
        <v>4.2</v>
      </c>
      <c r="J35" s="48">
        <v>36.9</v>
      </c>
      <c r="K35" s="47">
        <v>212.1</v>
      </c>
      <c r="L35" s="47">
        <f t="shared" ref="L35:L66" si="1">ROUND(K35*(I35/100)*(J35/100),4)</f>
        <v>3.2871000000000001</v>
      </c>
      <c r="M35" s="48">
        <v>15.53</v>
      </c>
      <c r="N35" s="46" t="s">
        <v>608</v>
      </c>
      <c r="O35" s="46" t="s">
        <v>716</v>
      </c>
      <c r="P35" s="46" t="s">
        <v>576</v>
      </c>
      <c r="Q35" s="48">
        <v>60.6</v>
      </c>
      <c r="R35" s="46" t="s">
        <v>737</v>
      </c>
      <c r="S35" s="46" t="s">
        <v>596</v>
      </c>
      <c r="T35" s="46" t="s">
        <v>578</v>
      </c>
      <c r="U35" s="46" t="s">
        <v>579</v>
      </c>
      <c r="V35" s="49" t="s">
        <v>321</v>
      </c>
    </row>
    <row r="36" spans="1:22" ht="25.5" customHeight="1" x14ac:dyDescent="0.25">
      <c r="A36" s="50" t="s">
        <v>738</v>
      </c>
      <c r="B36" s="50" t="s">
        <v>739</v>
      </c>
      <c r="C36" s="50" t="s">
        <v>614</v>
      </c>
      <c r="D36" s="50" t="s">
        <v>634</v>
      </c>
      <c r="E36" s="51">
        <v>1209.49</v>
      </c>
      <c r="F36" s="51">
        <v>799.51</v>
      </c>
      <c r="G36" s="50">
        <v>0</v>
      </c>
      <c r="H36" s="50" t="s">
        <v>584</v>
      </c>
      <c r="I36" s="52">
        <v>1.22</v>
      </c>
      <c r="J36" s="52">
        <v>31.34</v>
      </c>
      <c r="K36" s="51">
        <v>797.59</v>
      </c>
      <c r="L36" s="51">
        <f t="shared" si="1"/>
        <v>3.0495999999999999</v>
      </c>
      <c r="M36" s="52">
        <v>13.57</v>
      </c>
      <c r="N36" s="50" t="s">
        <v>594</v>
      </c>
      <c r="O36" s="50" t="s">
        <v>647</v>
      </c>
      <c r="P36" s="50" t="s">
        <v>587</v>
      </c>
      <c r="Q36" s="52">
        <v>61.7</v>
      </c>
      <c r="R36" s="50" t="s">
        <v>740</v>
      </c>
      <c r="S36" s="50" t="s">
        <v>614</v>
      </c>
      <c r="T36" s="50" t="s">
        <v>688</v>
      </c>
      <c r="U36" s="50" t="s">
        <v>590</v>
      </c>
      <c r="V36" s="53" t="s">
        <v>266</v>
      </c>
    </row>
    <row r="37" spans="1:22" ht="15" customHeight="1" x14ac:dyDescent="0.25">
      <c r="A37" s="54" t="s">
        <v>741</v>
      </c>
      <c r="B37" s="54" t="s">
        <v>742</v>
      </c>
      <c r="C37" s="54" t="s">
        <v>674</v>
      </c>
      <c r="D37" s="54" t="s">
        <v>572</v>
      </c>
      <c r="E37" s="55">
        <v>580.14</v>
      </c>
      <c r="F37" s="55">
        <v>365.06</v>
      </c>
      <c r="G37" s="54">
        <v>158</v>
      </c>
      <c r="H37" s="54" t="s">
        <v>616</v>
      </c>
      <c r="I37" s="56">
        <v>39.92</v>
      </c>
      <c r="J37" s="56">
        <v>64.510000000000005</v>
      </c>
      <c r="K37" s="55">
        <v>381.46</v>
      </c>
      <c r="L37" s="55">
        <f t="shared" si="1"/>
        <v>98.235100000000003</v>
      </c>
      <c r="M37" s="56">
        <v>14.17</v>
      </c>
      <c r="N37" s="54" t="s">
        <v>574</v>
      </c>
      <c r="O37" s="54" t="s">
        <v>628</v>
      </c>
      <c r="P37" s="54" t="s">
        <v>576</v>
      </c>
      <c r="Q37" s="56">
        <v>61</v>
      </c>
      <c r="R37" s="54" t="s">
        <v>743</v>
      </c>
      <c r="S37" s="54" t="s">
        <v>614</v>
      </c>
      <c r="T37" s="54" t="s">
        <v>661</v>
      </c>
      <c r="U37" s="54" t="s">
        <v>622</v>
      </c>
      <c r="V37" s="57" t="s">
        <v>495</v>
      </c>
    </row>
    <row r="38" spans="1:22" ht="25.5" customHeight="1" x14ac:dyDescent="0.25">
      <c r="A38" s="46" t="s">
        <v>744</v>
      </c>
      <c r="B38" s="46" t="s">
        <v>745</v>
      </c>
      <c r="C38" s="46" t="s">
        <v>614</v>
      </c>
      <c r="D38" s="46" t="s">
        <v>720</v>
      </c>
      <c r="E38" s="47">
        <v>2437.02</v>
      </c>
      <c r="F38" s="47">
        <v>1648.12</v>
      </c>
      <c r="G38" s="46">
        <v>65</v>
      </c>
      <c r="H38" s="46" t="s">
        <v>573</v>
      </c>
      <c r="I38" s="48">
        <v>21.38</v>
      </c>
      <c r="J38" s="48">
        <v>53.82</v>
      </c>
      <c r="K38" s="47">
        <v>1613.89</v>
      </c>
      <c r="L38" s="47">
        <f t="shared" si="1"/>
        <v>185.70570000000001</v>
      </c>
      <c r="M38" s="48">
        <v>11.61</v>
      </c>
      <c r="N38" s="46" t="s">
        <v>574</v>
      </c>
      <c r="O38" s="46" t="s">
        <v>628</v>
      </c>
      <c r="P38" s="46" t="s">
        <v>576</v>
      </c>
      <c r="Q38" s="48">
        <v>70.400000000000006</v>
      </c>
      <c r="R38" s="46" t="s">
        <v>746</v>
      </c>
      <c r="S38" s="46" t="s">
        <v>713</v>
      </c>
      <c r="T38" s="46" t="s">
        <v>656</v>
      </c>
      <c r="U38" s="46" t="s">
        <v>579</v>
      </c>
      <c r="V38" s="49" t="s">
        <v>321</v>
      </c>
    </row>
    <row r="39" spans="1:22" ht="25.5" customHeight="1" x14ac:dyDescent="0.25">
      <c r="A39" s="46" t="s">
        <v>747</v>
      </c>
      <c r="B39" s="46" t="s">
        <v>748</v>
      </c>
      <c r="C39" s="46" t="s">
        <v>614</v>
      </c>
      <c r="D39" s="46" t="s">
        <v>593</v>
      </c>
      <c r="E39" s="47">
        <v>329.51</v>
      </c>
      <c r="F39" s="47">
        <v>113.49</v>
      </c>
      <c r="G39" s="46">
        <v>19</v>
      </c>
      <c r="H39" s="46" t="s">
        <v>686</v>
      </c>
      <c r="I39" s="48">
        <v>6.15</v>
      </c>
      <c r="J39" s="48">
        <v>26.34</v>
      </c>
      <c r="K39" s="47">
        <v>111.61</v>
      </c>
      <c r="L39" s="47">
        <f t="shared" si="1"/>
        <v>1.8080000000000001</v>
      </c>
      <c r="M39" s="48">
        <v>16.57</v>
      </c>
      <c r="N39" s="46" t="s">
        <v>574</v>
      </c>
      <c r="O39" s="46" t="s">
        <v>716</v>
      </c>
      <c r="P39" s="46" t="s">
        <v>576</v>
      </c>
      <c r="Q39" s="48">
        <v>97.7</v>
      </c>
      <c r="R39" s="46" t="s">
        <v>749</v>
      </c>
      <c r="S39" s="46" t="s">
        <v>614</v>
      </c>
      <c r="T39" s="46" t="s">
        <v>688</v>
      </c>
      <c r="U39" s="46" t="s">
        <v>579</v>
      </c>
      <c r="V39" s="49" t="s">
        <v>321</v>
      </c>
    </row>
    <row r="40" spans="1:22" ht="15" customHeight="1" x14ac:dyDescent="0.25">
      <c r="A40" s="54" t="s">
        <v>750</v>
      </c>
      <c r="B40" s="54" t="s">
        <v>751</v>
      </c>
      <c r="C40" s="54" t="s">
        <v>633</v>
      </c>
      <c r="D40" s="54" t="s">
        <v>572</v>
      </c>
      <c r="E40" s="55">
        <v>1950.45</v>
      </c>
      <c r="F40" s="55">
        <v>1089.6300000000001</v>
      </c>
      <c r="G40" s="54">
        <v>518</v>
      </c>
      <c r="H40" s="54" t="s">
        <v>652</v>
      </c>
      <c r="I40" s="56">
        <v>81.5</v>
      </c>
      <c r="J40" s="56">
        <v>79.75</v>
      </c>
      <c r="K40" s="55">
        <v>1086.8900000000001</v>
      </c>
      <c r="L40" s="55">
        <f t="shared" si="1"/>
        <v>706.43769999999995</v>
      </c>
      <c r="M40" s="56">
        <v>17.09</v>
      </c>
      <c r="N40" s="54" t="s">
        <v>617</v>
      </c>
      <c r="O40" s="54" t="s">
        <v>618</v>
      </c>
      <c r="P40" s="54" t="s">
        <v>576</v>
      </c>
      <c r="Q40" s="56">
        <v>95.2</v>
      </c>
      <c r="R40" s="54" t="s">
        <v>752</v>
      </c>
      <c r="S40" s="54" t="s">
        <v>604</v>
      </c>
      <c r="T40" s="54" t="s">
        <v>578</v>
      </c>
      <c r="U40" s="54" t="s">
        <v>622</v>
      </c>
      <c r="V40" s="57" t="s">
        <v>495</v>
      </c>
    </row>
    <row r="41" spans="1:22" ht="15" customHeight="1" x14ac:dyDescent="0.25">
      <c r="A41" s="50" t="s">
        <v>753</v>
      </c>
      <c r="B41" s="50" t="s">
        <v>754</v>
      </c>
      <c r="C41" s="50" t="s">
        <v>614</v>
      </c>
      <c r="D41" s="50" t="s">
        <v>583</v>
      </c>
      <c r="E41" s="51">
        <v>434.79</v>
      </c>
      <c r="F41" s="51">
        <v>181.83</v>
      </c>
      <c r="G41" s="50">
        <v>0</v>
      </c>
      <c r="H41" s="50" t="s">
        <v>584</v>
      </c>
      <c r="I41" s="52">
        <v>1.37</v>
      </c>
      <c r="J41" s="52">
        <v>37.229999999999997</v>
      </c>
      <c r="K41" s="51">
        <v>184.07</v>
      </c>
      <c r="L41" s="51">
        <f t="shared" si="1"/>
        <v>0.93889999999999996</v>
      </c>
      <c r="M41" s="52">
        <v>11.79</v>
      </c>
      <c r="N41" s="50" t="s">
        <v>574</v>
      </c>
      <c r="O41" s="50" t="s">
        <v>575</v>
      </c>
      <c r="P41" s="50" t="s">
        <v>587</v>
      </c>
      <c r="Q41" s="52">
        <v>60</v>
      </c>
      <c r="R41" s="50" t="s">
        <v>755</v>
      </c>
      <c r="S41" s="50" t="s">
        <v>671</v>
      </c>
      <c r="T41" s="50" t="s">
        <v>644</v>
      </c>
      <c r="U41" s="50" t="s">
        <v>590</v>
      </c>
      <c r="V41" s="53" t="s">
        <v>266</v>
      </c>
    </row>
    <row r="42" spans="1:22" ht="25.5" customHeight="1" x14ac:dyDescent="0.25">
      <c r="A42" s="46" t="s">
        <v>756</v>
      </c>
      <c r="B42" s="46" t="s">
        <v>757</v>
      </c>
      <c r="C42" s="46" t="s">
        <v>571</v>
      </c>
      <c r="D42" s="46" t="s">
        <v>642</v>
      </c>
      <c r="E42" s="47">
        <v>1980.18</v>
      </c>
      <c r="F42" s="47">
        <v>1435.71</v>
      </c>
      <c r="G42" s="46">
        <v>90</v>
      </c>
      <c r="H42" s="46" t="s">
        <v>573</v>
      </c>
      <c r="I42" s="48">
        <v>16.98</v>
      </c>
      <c r="J42" s="48">
        <v>37.869999999999997</v>
      </c>
      <c r="K42" s="47">
        <v>1421.69</v>
      </c>
      <c r="L42" s="47">
        <f t="shared" si="1"/>
        <v>91.419300000000007</v>
      </c>
      <c r="M42" s="48">
        <v>12.84</v>
      </c>
      <c r="N42" s="46" t="s">
        <v>574</v>
      </c>
      <c r="O42" s="46" t="s">
        <v>602</v>
      </c>
      <c r="P42" s="46" t="s">
        <v>576</v>
      </c>
      <c r="Q42" s="48">
        <v>48.8</v>
      </c>
      <c r="R42" s="46" t="s">
        <v>758</v>
      </c>
      <c r="S42" s="46" t="s">
        <v>611</v>
      </c>
      <c r="T42" s="46" t="s">
        <v>667</v>
      </c>
      <c r="U42" s="46" t="s">
        <v>579</v>
      </c>
      <c r="V42" s="49" t="s">
        <v>321</v>
      </c>
    </row>
    <row r="43" spans="1:22" ht="15" customHeight="1" x14ac:dyDescent="0.25">
      <c r="A43" s="46" t="s">
        <v>759</v>
      </c>
      <c r="B43" s="46" t="s">
        <v>760</v>
      </c>
      <c r="C43" s="46" t="s">
        <v>614</v>
      </c>
      <c r="D43" s="46" t="s">
        <v>593</v>
      </c>
      <c r="E43" s="47">
        <v>354.67</v>
      </c>
      <c r="F43" s="47">
        <v>272.49</v>
      </c>
      <c r="G43" s="46">
        <v>69</v>
      </c>
      <c r="H43" s="46" t="s">
        <v>573</v>
      </c>
      <c r="I43" s="48">
        <v>20</v>
      </c>
      <c r="J43" s="48">
        <v>47.34</v>
      </c>
      <c r="K43" s="47">
        <v>266.29000000000002</v>
      </c>
      <c r="L43" s="47">
        <f t="shared" si="1"/>
        <v>25.212299999999999</v>
      </c>
      <c r="M43" s="48">
        <v>11.86</v>
      </c>
      <c r="N43" s="46" t="s">
        <v>664</v>
      </c>
      <c r="O43" s="46" t="s">
        <v>618</v>
      </c>
      <c r="P43" s="46" t="s">
        <v>576</v>
      </c>
      <c r="Q43" s="48">
        <v>77</v>
      </c>
      <c r="R43" s="46" t="s">
        <v>761</v>
      </c>
      <c r="S43" s="46" t="s">
        <v>671</v>
      </c>
      <c r="T43" s="46" t="s">
        <v>578</v>
      </c>
      <c r="U43" s="46" t="s">
        <v>579</v>
      </c>
      <c r="V43" s="49" t="s">
        <v>321</v>
      </c>
    </row>
    <row r="44" spans="1:22" ht="25.5" customHeight="1" x14ac:dyDescent="0.25">
      <c r="A44" s="50" t="s">
        <v>762</v>
      </c>
      <c r="B44" s="50" t="s">
        <v>763</v>
      </c>
      <c r="C44" s="50" t="s">
        <v>582</v>
      </c>
      <c r="D44" s="50" t="s">
        <v>642</v>
      </c>
      <c r="E44" s="51">
        <v>1461.81</v>
      </c>
      <c r="F44" s="51">
        <v>1197.0999999999999</v>
      </c>
      <c r="G44" s="50">
        <v>0</v>
      </c>
      <c r="H44" s="50" t="s">
        <v>584</v>
      </c>
      <c r="I44" s="52">
        <v>2.77</v>
      </c>
      <c r="J44" s="52">
        <v>24.54</v>
      </c>
      <c r="K44" s="51">
        <v>1224.25</v>
      </c>
      <c r="L44" s="51">
        <f t="shared" si="1"/>
        <v>8.3218999999999994</v>
      </c>
      <c r="M44" s="52">
        <v>17.21</v>
      </c>
      <c r="N44" s="50" t="s">
        <v>664</v>
      </c>
      <c r="O44" s="50" t="s">
        <v>716</v>
      </c>
      <c r="P44" s="50" t="s">
        <v>587</v>
      </c>
      <c r="Q44" s="52">
        <v>69.900000000000006</v>
      </c>
      <c r="R44" s="50" t="s">
        <v>764</v>
      </c>
      <c r="S44" s="50" t="s">
        <v>666</v>
      </c>
      <c r="T44" s="50" t="s">
        <v>597</v>
      </c>
      <c r="U44" s="50" t="s">
        <v>590</v>
      </c>
      <c r="V44" s="53" t="s">
        <v>266</v>
      </c>
    </row>
    <row r="45" spans="1:22" ht="25.5" customHeight="1" x14ac:dyDescent="0.25">
      <c r="A45" s="50" t="s">
        <v>765</v>
      </c>
      <c r="B45" s="50" t="s">
        <v>766</v>
      </c>
      <c r="C45" s="50" t="s">
        <v>600</v>
      </c>
      <c r="D45" s="50" t="s">
        <v>626</v>
      </c>
      <c r="E45" s="51">
        <v>858.02</v>
      </c>
      <c r="F45" s="51">
        <v>662.13</v>
      </c>
      <c r="G45" s="50">
        <v>0</v>
      </c>
      <c r="H45" s="50" t="s">
        <v>584</v>
      </c>
      <c r="I45" s="52">
        <v>2.4900000000000002</v>
      </c>
      <c r="J45" s="52">
        <v>33.75</v>
      </c>
      <c r="K45" s="51">
        <v>669.37</v>
      </c>
      <c r="L45" s="51">
        <f t="shared" si="1"/>
        <v>5.6252000000000004</v>
      </c>
      <c r="M45" s="52">
        <v>14.33</v>
      </c>
      <c r="N45" s="50" t="s">
        <v>574</v>
      </c>
      <c r="O45" s="50" t="s">
        <v>716</v>
      </c>
      <c r="P45" s="50" t="s">
        <v>587</v>
      </c>
      <c r="Q45" s="52">
        <v>96.4</v>
      </c>
      <c r="R45" s="50" t="s">
        <v>767</v>
      </c>
      <c r="S45" s="50" t="s">
        <v>655</v>
      </c>
      <c r="T45" s="50" t="s">
        <v>605</v>
      </c>
      <c r="U45" s="50" t="s">
        <v>590</v>
      </c>
      <c r="V45" s="53" t="s">
        <v>266</v>
      </c>
    </row>
    <row r="46" spans="1:22" ht="25.5" customHeight="1" x14ac:dyDescent="0.25">
      <c r="A46" s="50" t="s">
        <v>768</v>
      </c>
      <c r="B46" s="50" t="s">
        <v>769</v>
      </c>
      <c r="C46" s="50" t="s">
        <v>582</v>
      </c>
      <c r="D46" s="50" t="s">
        <v>593</v>
      </c>
      <c r="E46" s="51">
        <v>1062.46</v>
      </c>
      <c r="F46" s="51">
        <v>454.26</v>
      </c>
      <c r="G46" s="50">
        <v>0</v>
      </c>
      <c r="H46" s="50" t="s">
        <v>584</v>
      </c>
      <c r="I46" s="52">
        <v>1.97</v>
      </c>
      <c r="J46" s="52">
        <v>39</v>
      </c>
      <c r="K46" s="51">
        <v>448.95</v>
      </c>
      <c r="L46" s="51">
        <f t="shared" si="1"/>
        <v>3.4493</v>
      </c>
      <c r="M46" s="52">
        <v>16.440000000000001</v>
      </c>
      <c r="N46" s="50" t="s">
        <v>574</v>
      </c>
      <c r="O46" s="50" t="s">
        <v>609</v>
      </c>
      <c r="P46" s="50" t="s">
        <v>587</v>
      </c>
      <c r="Q46" s="52">
        <v>91.7</v>
      </c>
      <c r="R46" s="50" t="s">
        <v>770</v>
      </c>
      <c r="S46" s="50" t="s">
        <v>671</v>
      </c>
      <c r="T46" s="50" t="s">
        <v>656</v>
      </c>
      <c r="U46" s="50" t="s">
        <v>590</v>
      </c>
      <c r="V46" s="53" t="s">
        <v>266</v>
      </c>
    </row>
    <row r="47" spans="1:22" ht="15" customHeight="1" x14ac:dyDescent="0.25">
      <c r="A47" s="50" t="s">
        <v>771</v>
      </c>
      <c r="B47" s="50" t="s">
        <v>772</v>
      </c>
      <c r="C47" s="50" t="s">
        <v>571</v>
      </c>
      <c r="D47" s="50" t="s">
        <v>626</v>
      </c>
      <c r="E47" s="51">
        <v>811.34</v>
      </c>
      <c r="F47" s="51">
        <v>250.95</v>
      </c>
      <c r="G47" s="50">
        <v>0</v>
      </c>
      <c r="H47" s="50" t="s">
        <v>584</v>
      </c>
      <c r="I47" s="52">
        <v>2.98</v>
      </c>
      <c r="J47" s="52">
        <v>42.82</v>
      </c>
      <c r="K47" s="51">
        <v>253.84</v>
      </c>
      <c r="L47" s="51">
        <f t="shared" si="1"/>
        <v>3.2391000000000001</v>
      </c>
      <c r="M47" s="52">
        <v>12.56</v>
      </c>
      <c r="N47" s="50" t="s">
        <v>601</v>
      </c>
      <c r="O47" s="50" t="s">
        <v>647</v>
      </c>
      <c r="P47" s="50" t="s">
        <v>587</v>
      </c>
      <c r="Q47" s="52">
        <v>71.400000000000006</v>
      </c>
      <c r="R47" s="50" t="s">
        <v>773</v>
      </c>
      <c r="S47" s="50" t="s">
        <v>680</v>
      </c>
      <c r="T47" s="50" t="s">
        <v>605</v>
      </c>
      <c r="U47" s="50" t="s">
        <v>590</v>
      </c>
      <c r="V47" s="53" t="s">
        <v>266</v>
      </c>
    </row>
    <row r="48" spans="1:22" ht="25.5" customHeight="1" x14ac:dyDescent="0.25">
      <c r="A48" s="50" t="s">
        <v>774</v>
      </c>
      <c r="B48" s="50" t="s">
        <v>775</v>
      </c>
      <c r="C48" s="50" t="s">
        <v>614</v>
      </c>
      <c r="D48" s="50" t="s">
        <v>615</v>
      </c>
      <c r="E48" s="51">
        <v>2095.0700000000002</v>
      </c>
      <c r="F48" s="51">
        <v>2025.02</v>
      </c>
      <c r="G48" s="50">
        <v>0</v>
      </c>
      <c r="H48" s="50" t="s">
        <v>584</v>
      </c>
      <c r="I48" s="52">
        <v>1.3</v>
      </c>
      <c r="J48" s="52">
        <v>43.05</v>
      </c>
      <c r="K48" s="51">
        <v>2056.9</v>
      </c>
      <c r="L48" s="51">
        <f t="shared" si="1"/>
        <v>11.5114</v>
      </c>
      <c r="M48" s="52">
        <v>19.41</v>
      </c>
      <c r="N48" s="50" t="s">
        <v>601</v>
      </c>
      <c r="O48" s="50" t="s">
        <v>716</v>
      </c>
      <c r="P48" s="50" t="s">
        <v>587</v>
      </c>
      <c r="Q48" s="52">
        <v>59.6</v>
      </c>
      <c r="R48" s="50" t="s">
        <v>776</v>
      </c>
      <c r="S48" s="50" t="s">
        <v>655</v>
      </c>
      <c r="T48" s="50" t="s">
        <v>649</v>
      </c>
      <c r="U48" s="50" t="s">
        <v>590</v>
      </c>
      <c r="V48" s="53" t="s">
        <v>266</v>
      </c>
    </row>
    <row r="49" spans="1:22" ht="15" customHeight="1" x14ac:dyDescent="0.25">
      <c r="A49" s="50" t="s">
        <v>777</v>
      </c>
      <c r="B49" s="50" t="s">
        <v>778</v>
      </c>
      <c r="C49" s="50" t="s">
        <v>659</v>
      </c>
      <c r="D49" s="50" t="s">
        <v>642</v>
      </c>
      <c r="E49" s="51">
        <v>2060.35</v>
      </c>
      <c r="F49" s="51">
        <v>1014.37</v>
      </c>
      <c r="G49" s="50">
        <v>0</v>
      </c>
      <c r="H49" s="50" t="s">
        <v>584</v>
      </c>
      <c r="I49" s="52">
        <v>2.63</v>
      </c>
      <c r="J49" s="52">
        <v>31.16</v>
      </c>
      <c r="K49" s="51">
        <v>1028.1600000000001</v>
      </c>
      <c r="L49" s="51">
        <f t="shared" si="1"/>
        <v>8.4259000000000004</v>
      </c>
      <c r="M49" s="52">
        <v>14.49</v>
      </c>
      <c r="N49" s="50" t="s">
        <v>601</v>
      </c>
      <c r="O49" s="50" t="s">
        <v>586</v>
      </c>
      <c r="P49" s="50" t="s">
        <v>587</v>
      </c>
      <c r="Q49" s="52">
        <v>65</v>
      </c>
      <c r="R49" s="50" t="s">
        <v>779</v>
      </c>
      <c r="S49" s="50" t="s">
        <v>655</v>
      </c>
      <c r="T49" s="50" t="s">
        <v>578</v>
      </c>
      <c r="U49" s="50" t="s">
        <v>590</v>
      </c>
      <c r="V49" s="53" t="s">
        <v>266</v>
      </c>
    </row>
    <row r="50" spans="1:22" ht="25.5" customHeight="1" x14ac:dyDescent="0.25">
      <c r="A50" s="50" t="s">
        <v>780</v>
      </c>
      <c r="B50" s="50" t="s">
        <v>781</v>
      </c>
      <c r="C50" s="50" t="s">
        <v>571</v>
      </c>
      <c r="D50" s="50" t="s">
        <v>615</v>
      </c>
      <c r="E50" s="51">
        <v>622.23</v>
      </c>
      <c r="F50" s="51">
        <v>514.80999999999995</v>
      </c>
      <c r="G50" s="50">
        <v>0</v>
      </c>
      <c r="H50" s="50" t="s">
        <v>584</v>
      </c>
      <c r="I50" s="52">
        <v>2.19</v>
      </c>
      <c r="J50" s="52">
        <v>40.29</v>
      </c>
      <c r="K50" s="51">
        <v>517.25</v>
      </c>
      <c r="L50" s="51">
        <f t="shared" si="1"/>
        <v>4.5640000000000001</v>
      </c>
      <c r="M50" s="52">
        <v>17.47</v>
      </c>
      <c r="N50" s="50" t="s">
        <v>601</v>
      </c>
      <c r="O50" s="50" t="s">
        <v>575</v>
      </c>
      <c r="P50" s="50" t="s">
        <v>587</v>
      </c>
      <c r="Q50" s="52">
        <v>97</v>
      </c>
      <c r="R50" s="50" t="s">
        <v>782</v>
      </c>
      <c r="S50" s="50" t="s">
        <v>620</v>
      </c>
      <c r="T50" s="50" t="s">
        <v>661</v>
      </c>
      <c r="U50" s="50" t="s">
        <v>590</v>
      </c>
      <c r="V50" s="53" t="s">
        <v>266</v>
      </c>
    </row>
    <row r="51" spans="1:22" ht="15" customHeight="1" x14ac:dyDescent="0.25">
      <c r="A51" s="46" t="s">
        <v>783</v>
      </c>
      <c r="B51" s="46" t="s">
        <v>784</v>
      </c>
      <c r="C51" s="46" t="s">
        <v>659</v>
      </c>
      <c r="D51" s="46" t="s">
        <v>583</v>
      </c>
      <c r="E51" s="47">
        <v>2191.77</v>
      </c>
      <c r="F51" s="47">
        <v>1313.76</v>
      </c>
      <c r="G51" s="46">
        <v>15</v>
      </c>
      <c r="H51" s="46" t="s">
        <v>686</v>
      </c>
      <c r="I51" s="48">
        <v>3.08</v>
      </c>
      <c r="J51" s="48">
        <v>28.6</v>
      </c>
      <c r="K51" s="47">
        <v>1377.32</v>
      </c>
      <c r="L51" s="47">
        <f t="shared" si="1"/>
        <v>12.1325</v>
      </c>
      <c r="M51" s="48">
        <v>20.23</v>
      </c>
      <c r="N51" s="46" t="s">
        <v>608</v>
      </c>
      <c r="O51" s="46" t="s">
        <v>609</v>
      </c>
      <c r="P51" s="46" t="s">
        <v>576</v>
      </c>
      <c r="Q51" s="48">
        <v>86.4</v>
      </c>
      <c r="R51" s="46" t="s">
        <v>785</v>
      </c>
      <c r="S51" s="46" t="s">
        <v>666</v>
      </c>
      <c r="T51" s="46" t="s">
        <v>621</v>
      </c>
      <c r="U51" s="46" t="s">
        <v>579</v>
      </c>
      <c r="V51" s="49" t="s">
        <v>321</v>
      </c>
    </row>
    <row r="52" spans="1:22" ht="15" customHeight="1" x14ac:dyDescent="0.25">
      <c r="A52" s="54" t="s">
        <v>786</v>
      </c>
      <c r="B52" s="54" t="s">
        <v>787</v>
      </c>
      <c r="C52" s="54" t="s">
        <v>633</v>
      </c>
      <c r="D52" s="54" t="s">
        <v>583</v>
      </c>
      <c r="E52" s="55">
        <v>2136.8200000000002</v>
      </c>
      <c r="F52" s="55">
        <v>1879.53</v>
      </c>
      <c r="G52" s="54">
        <v>278</v>
      </c>
      <c r="H52" s="54" t="s">
        <v>627</v>
      </c>
      <c r="I52" s="56">
        <v>68.62</v>
      </c>
      <c r="J52" s="56">
        <v>60.67</v>
      </c>
      <c r="K52" s="55">
        <v>1973.26</v>
      </c>
      <c r="L52" s="55">
        <f t="shared" si="1"/>
        <v>821.5027</v>
      </c>
      <c r="M52" s="56">
        <v>15.89</v>
      </c>
      <c r="N52" s="54" t="s">
        <v>617</v>
      </c>
      <c r="O52" s="54" t="s">
        <v>618</v>
      </c>
      <c r="P52" s="54" t="s">
        <v>576</v>
      </c>
      <c r="Q52" s="56">
        <v>77.7</v>
      </c>
      <c r="R52" s="54" t="s">
        <v>788</v>
      </c>
      <c r="S52" s="54" t="s">
        <v>604</v>
      </c>
      <c r="T52" s="54" t="s">
        <v>644</v>
      </c>
      <c r="U52" s="54" t="s">
        <v>622</v>
      </c>
      <c r="V52" s="57" t="s">
        <v>495</v>
      </c>
    </row>
    <row r="53" spans="1:22" ht="25.5" customHeight="1" x14ac:dyDescent="0.25">
      <c r="A53" s="50" t="s">
        <v>789</v>
      </c>
      <c r="B53" s="50" t="s">
        <v>790</v>
      </c>
      <c r="C53" s="50" t="s">
        <v>614</v>
      </c>
      <c r="D53" s="50" t="s">
        <v>572</v>
      </c>
      <c r="E53" s="51">
        <v>1879.58</v>
      </c>
      <c r="F53" s="51">
        <v>1118.54</v>
      </c>
      <c r="G53" s="50">
        <v>0</v>
      </c>
      <c r="H53" s="50" t="s">
        <v>584</v>
      </c>
      <c r="I53" s="52">
        <v>1.47</v>
      </c>
      <c r="J53" s="52">
        <v>37.35</v>
      </c>
      <c r="K53" s="51">
        <v>1175.93</v>
      </c>
      <c r="L53" s="51">
        <f t="shared" si="1"/>
        <v>6.4564000000000004</v>
      </c>
      <c r="M53" s="52">
        <v>11.91</v>
      </c>
      <c r="N53" s="50" t="s">
        <v>601</v>
      </c>
      <c r="O53" s="50" t="s">
        <v>716</v>
      </c>
      <c r="P53" s="50" t="s">
        <v>587</v>
      </c>
      <c r="Q53" s="52">
        <v>60.5</v>
      </c>
      <c r="R53" s="50" t="s">
        <v>791</v>
      </c>
      <c r="S53" s="50" t="s">
        <v>691</v>
      </c>
      <c r="T53" s="50" t="s">
        <v>661</v>
      </c>
      <c r="U53" s="50" t="s">
        <v>590</v>
      </c>
      <c r="V53" s="53" t="s">
        <v>266</v>
      </c>
    </row>
    <row r="54" spans="1:22" ht="25.5" customHeight="1" x14ac:dyDescent="0.25">
      <c r="A54" s="50" t="s">
        <v>792</v>
      </c>
      <c r="B54" s="50" t="s">
        <v>793</v>
      </c>
      <c r="C54" s="50" t="s">
        <v>571</v>
      </c>
      <c r="D54" s="50" t="s">
        <v>615</v>
      </c>
      <c r="E54" s="51">
        <v>1436.52</v>
      </c>
      <c r="F54" s="51">
        <v>1205.1199999999999</v>
      </c>
      <c r="G54" s="50">
        <v>0</v>
      </c>
      <c r="H54" s="50" t="s">
        <v>584</v>
      </c>
      <c r="I54" s="52">
        <v>1.93</v>
      </c>
      <c r="J54" s="52">
        <v>29.56</v>
      </c>
      <c r="K54" s="51">
        <v>1243.06</v>
      </c>
      <c r="L54" s="51">
        <f t="shared" si="1"/>
        <v>7.0918000000000001</v>
      </c>
      <c r="M54" s="52">
        <v>15.98</v>
      </c>
      <c r="N54" s="50" t="s">
        <v>617</v>
      </c>
      <c r="O54" s="50" t="s">
        <v>647</v>
      </c>
      <c r="P54" s="50" t="s">
        <v>587</v>
      </c>
      <c r="Q54" s="52">
        <v>57.3</v>
      </c>
      <c r="R54" s="50" t="s">
        <v>794</v>
      </c>
      <c r="S54" s="50" t="s">
        <v>680</v>
      </c>
      <c r="T54" s="50" t="s">
        <v>589</v>
      </c>
      <c r="U54" s="50" t="s">
        <v>590</v>
      </c>
      <c r="V54" s="53" t="s">
        <v>266</v>
      </c>
    </row>
    <row r="55" spans="1:22" ht="25.5" customHeight="1" x14ac:dyDescent="0.25">
      <c r="A55" s="50" t="s">
        <v>795</v>
      </c>
      <c r="B55" s="50" t="s">
        <v>796</v>
      </c>
      <c r="C55" s="50" t="s">
        <v>614</v>
      </c>
      <c r="D55" s="50" t="s">
        <v>720</v>
      </c>
      <c r="E55" s="51">
        <v>2252.33</v>
      </c>
      <c r="F55" s="51">
        <v>1388.27</v>
      </c>
      <c r="G55" s="50">
        <v>0</v>
      </c>
      <c r="H55" s="50" t="s">
        <v>584</v>
      </c>
      <c r="I55" s="52">
        <v>0.45</v>
      </c>
      <c r="J55" s="52">
        <v>43.63</v>
      </c>
      <c r="K55" s="51">
        <v>1470.02</v>
      </c>
      <c r="L55" s="51">
        <f t="shared" si="1"/>
        <v>2.8862000000000001</v>
      </c>
      <c r="M55" s="52">
        <v>14.19</v>
      </c>
      <c r="N55" s="50" t="s">
        <v>664</v>
      </c>
      <c r="O55" s="50" t="s">
        <v>575</v>
      </c>
      <c r="P55" s="50" t="s">
        <v>587</v>
      </c>
      <c r="Q55" s="52">
        <v>58.3</v>
      </c>
      <c r="R55" s="50" t="s">
        <v>797</v>
      </c>
      <c r="S55" s="50" t="s">
        <v>700</v>
      </c>
      <c r="T55" s="50" t="s">
        <v>649</v>
      </c>
      <c r="U55" s="50" t="s">
        <v>590</v>
      </c>
      <c r="V55" s="53" t="s">
        <v>266</v>
      </c>
    </row>
    <row r="56" spans="1:22" ht="25.5" customHeight="1" x14ac:dyDescent="0.25">
      <c r="A56" s="46" t="s">
        <v>798</v>
      </c>
      <c r="B56" s="46" t="s">
        <v>799</v>
      </c>
      <c r="C56" s="46" t="s">
        <v>625</v>
      </c>
      <c r="D56" s="46" t="s">
        <v>583</v>
      </c>
      <c r="E56" s="47">
        <v>631.15</v>
      </c>
      <c r="F56" s="47">
        <v>434.8</v>
      </c>
      <c r="G56" s="46">
        <v>53</v>
      </c>
      <c r="H56" s="46" t="s">
        <v>698</v>
      </c>
      <c r="I56" s="48">
        <v>10.07</v>
      </c>
      <c r="J56" s="48">
        <v>54.45</v>
      </c>
      <c r="K56" s="47">
        <v>447.51</v>
      </c>
      <c r="L56" s="47">
        <f t="shared" si="1"/>
        <v>24.537500000000001</v>
      </c>
      <c r="M56" s="48">
        <v>13.97</v>
      </c>
      <c r="N56" s="46" t="s">
        <v>617</v>
      </c>
      <c r="O56" s="46" t="s">
        <v>575</v>
      </c>
      <c r="P56" s="46" t="s">
        <v>576</v>
      </c>
      <c r="Q56" s="48">
        <v>93.3</v>
      </c>
      <c r="R56" s="46" t="s">
        <v>800</v>
      </c>
      <c r="S56" s="46" t="s">
        <v>695</v>
      </c>
      <c r="T56" s="46" t="s">
        <v>667</v>
      </c>
      <c r="U56" s="46" t="s">
        <v>579</v>
      </c>
      <c r="V56" s="49" t="s">
        <v>321</v>
      </c>
    </row>
    <row r="57" spans="1:22" ht="15" customHeight="1" x14ac:dyDescent="0.25">
      <c r="A57" s="50" t="s">
        <v>801</v>
      </c>
      <c r="B57" s="50" t="s">
        <v>802</v>
      </c>
      <c r="C57" s="50" t="s">
        <v>571</v>
      </c>
      <c r="D57" s="50" t="s">
        <v>634</v>
      </c>
      <c r="E57" s="51">
        <v>586.55999999999995</v>
      </c>
      <c r="F57" s="51">
        <v>251.8</v>
      </c>
      <c r="G57" s="50">
        <v>0</v>
      </c>
      <c r="H57" s="50" t="s">
        <v>584</v>
      </c>
      <c r="I57" s="52">
        <v>1.98</v>
      </c>
      <c r="J57" s="52">
        <v>42.59</v>
      </c>
      <c r="K57" s="51">
        <v>258.89</v>
      </c>
      <c r="L57" s="51">
        <f t="shared" si="1"/>
        <v>2.1831999999999998</v>
      </c>
      <c r="M57" s="52">
        <v>14.28</v>
      </c>
      <c r="N57" s="50" t="s">
        <v>664</v>
      </c>
      <c r="O57" s="50" t="s">
        <v>716</v>
      </c>
      <c r="P57" s="50" t="s">
        <v>587</v>
      </c>
      <c r="Q57" s="52">
        <v>75.7</v>
      </c>
      <c r="R57" s="50" t="s">
        <v>803</v>
      </c>
      <c r="S57" s="50" t="s">
        <v>713</v>
      </c>
      <c r="T57" s="50" t="s">
        <v>630</v>
      </c>
      <c r="U57" s="50" t="s">
        <v>590</v>
      </c>
      <c r="V57" s="53" t="s">
        <v>266</v>
      </c>
    </row>
    <row r="58" spans="1:22" ht="25.5" customHeight="1" x14ac:dyDescent="0.25">
      <c r="A58" s="50" t="s">
        <v>804</v>
      </c>
      <c r="B58" s="50" t="s">
        <v>805</v>
      </c>
      <c r="C58" s="50" t="s">
        <v>614</v>
      </c>
      <c r="D58" s="50" t="s">
        <v>634</v>
      </c>
      <c r="E58" s="51">
        <v>1881.33</v>
      </c>
      <c r="F58" s="51">
        <v>789.1</v>
      </c>
      <c r="G58" s="50">
        <v>0</v>
      </c>
      <c r="H58" s="50" t="s">
        <v>584</v>
      </c>
      <c r="I58" s="52">
        <v>1.71</v>
      </c>
      <c r="J58" s="52">
        <v>42.84</v>
      </c>
      <c r="K58" s="51">
        <v>824.41</v>
      </c>
      <c r="L58" s="51">
        <f t="shared" si="1"/>
        <v>6.0392999999999999</v>
      </c>
      <c r="M58" s="52">
        <v>13.81</v>
      </c>
      <c r="N58" s="50" t="s">
        <v>601</v>
      </c>
      <c r="O58" s="50" t="s">
        <v>609</v>
      </c>
      <c r="P58" s="50" t="s">
        <v>587</v>
      </c>
      <c r="Q58" s="52">
        <v>96.3</v>
      </c>
      <c r="R58" s="50" t="s">
        <v>806</v>
      </c>
      <c r="S58" s="50" t="s">
        <v>596</v>
      </c>
      <c r="T58" s="50" t="s">
        <v>597</v>
      </c>
      <c r="U58" s="50" t="s">
        <v>590</v>
      </c>
      <c r="V58" s="53" t="s">
        <v>266</v>
      </c>
    </row>
    <row r="59" spans="1:22" ht="25.5" customHeight="1" x14ac:dyDescent="0.25">
      <c r="A59" s="54" t="s">
        <v>807</v>
      </c>
      <c r="B59" s="54" t="s">
        <v>808</v>
      </c>
      <c r="C59" s="54" t="s">
        <v>600</v>
      </c>
      <c r="D59" s="54" t="s">
        <v>593</v>
      </c>
      <c r="E59" s="55">
        <v>2409.09</v>
      </c>
      <c r="F59" s="55">
        <v>953.31</v>
      </c>
      <c r="G59" s="54">
        <v>1077</v>
      </c>
      <c r="H59" s="54" t="s">
        <v>730</v>
      </c>
      <c r="I59" s="56">
        <v>93.76</v>
      </c>
      <c r="J59" s="56">
        <v>94.4</v>
      </c>
      <c r="K59" s="55">
        <v>1007.7</v>
      </c>
      <c r="L59" s="55">
        <f t="shared" si="1"/>
        <v>891.90959999999995</v>
      </c>
      <c r="M59" s="56">
        <v>18.739999999999998</v>
      </c>
      <c r="N59" s="54" t="s">
        <v>574</v>
      </c>
      <c r="O59" s="54" t="s">
        <v>618</v>
      </c>
      <c r="P59" s="54" t="s">
        <v>576</v>
      </c>
      <c r="Q59" s="56">
        <v>86.9</v>
      </c>
      <c r="R59" s="54" t="s">
        <v>809</v>
      </c>
      <c r="S59" s="54" t="s">
        <v>680</v>
      </c>
      <c r="T59" s="54" t="s">
        <v>605</v>
      </c>
      <c r="U59" s="54" t="s">
        <v>622</v>
      </c>
      <c r="V59" s="57" t="s">
        <v>495</v>
      </c>
    </row>
    <row r="60" spans="1:22" ht="25.5" customHeight="1" x14ac:dyDescent="0.25">
      <c r="A60" s="50" t="s">
        <v>810</v>
      </c>
      <c r="B60" s="50" t="s">
        <v>811</v>
      </c>
      <c r="C60" s="50" t="s">
        <v>600</v>
      </c>
      <c r="D60" s="50" t="s">
        <v>593</v>
      </c>
      <c r="E60" s="51">
        <v>953.03</v>
      </c>
      <c r="F60" s="51">
        <v>771.31</v>
      </c>
      <c r="G60" s="50">
        <v>0</v>
      </c>
      <c r="H60" s="50" t="s">
        <v>584</v>
      </c>
      <c r="I60" s="52">
        <v>2.5099999999999998</v>
      </c>
      <c r="J60" s="52">
        <v>43.51</v>
      </c>
      <c r="K60" s="51">
        <v>755.69</v>
      </c>
      <c r="L60" s="51">
        <f t="shared" si="1"/>
        <v>8.2529000000000003</v>
      </c>
      <c r="M60" s="52">
        <v>13.6</v>
      </c>
      <c r="N60" s="50" t="s">
        <v>608</v>
      </c>
      <c r="O60" s="50" t="s">
        <v>586</v>
      </c>
      <c r="P60" s="50" t="s">
        <v>587</v>
      </c>
      <c r="Q60" s="52">
        <v>91.9</v>
      </c>
      <c r="R60" s="50" t="s">
        <v>812</v>
      </c>
      <c r="S60" s="50" t="s">
        <v>666</v>
      </c>
      <c r="T60" s="50" t="s">
        <v>621</v>
      </c>
      <c r="U60" s="50" t="s">
        <v>590</v>
      </c>
      <c r="V60" s="53" t="s">
        <v>266</v>
      </c>
    </row>
    <row r="61" spans="1:22" ht="15" customHeight="1" x14ac:dyDescent="0.25">
      <c r="A61" s="54" t="s">
        <v>813</v>
      </c>
      <c r="B61" s="54" t="s">
        <v>814</v>
      </c>
      <c r="C61" s="54" t="s">
        <v>571</v>
      </c>
      <c r="D61" s="54" t="s">
        <v>583</v>
      </c>
      <c r="E61" s="55">
        <v>1606.74</v>
      </c>
      <c r="F61" s="55">
        <v>989.27</v>
      </c>
      <c r="G61" s="54">
        <v>174</v>
      </c>
      <c r="H61" s="54" t="s">
        <v>616</v>
      </c>
      <c r="I61" s="56">
        <v>35.21</v>
      </c>
      <c r="J61" s="56">
        <v>43.49</v>
      </c>
      <c r="K61" s="55">
        <v>1043.8399999999999</v>
      </c>
      <c r="L61" s="55">
        <f t="shared" si="1"/>
        <v>159.84139999999999</v>
      </c>
      <c r="M61" s="56">
        <v>14.24</v>
      </c>
      <c r="N61" s="54" t="s">
        <v>664</v>
      </c>
      <c r="O61" s="54" t="s">
        <v>618</v>
      </c>
      <c r="P61" s="54" t="s">
        <v>576</v>
      </c>
      <c r="Q61" s="56">
        <v>50.2</v>
      </c>
      <c r="R61" s="54" t="s">
        <v>815</v>
      </c>
      <c r="S61" s="54" t="s">
        <v>713</v>
      </c>
      <c r="T61" s="54" t="s">
        <v>649</v>
      </c>
      <c r="U61" s="54" t="s">
        <v>622</v>
      </c>
      <c r="V61" s="57" t="s">
        <v>495</v>
      </c>
    </row>
    <row r="62" spans="1:22" ht="15" customHeight="1" x14ac:dyDescent="0.25">
      <c r="A62" s="54" t="s">
        <v>816</v>
      </c>
      <c r="B62" s="54" t="s">
        <v>817</v>
      </c>
      <c r="C62" s="54" t="s">
        <v>625</v>
      </c>
      <c r="D62" s="54" t="s">
        <v>634</v>
      </c>
      <c r="E62" s="55">
        <v>1692.69</v>
      </c>
      <c r="F62" s="55">
        <v>1363.18</v>
      </c>
      <c r="G62" s="54">
        <v>580</v>
      </c>
      <c r="H62" s="54" t="s">
        <v>652</v>
      </c>
      <c r="I62" s="56">
        <v>74.680000000000007</v>
      </c>
      <c r="J62" s="56">
        <v>73.16</v>
      </c>
      <c r="K62" s="55">
        <v>1430.91</v>
      </c>
      <c r="L62" s="55">
        <f t="shared" si="1"/>
        <v>781.79039999999998</v>
      </c>
      <c r="M62" s="56">
        <v>17.39</v>
      </c>
      <c r="N62" s="54" t="s">
        <v>601</v>
      </c>
      <c r="O62" s="54" t="s">
        <v>678</v>
      </c>
      <c r="P62" s="54" t="s">
        <v>576</v>
      </c>
      <c r="Q62" s="56">
        <v>77.599999999999994</v>
      </c>
      <c r="R62" s="54" t="s">
        <v>818</v>
      </c>
      <c r="S62" s="54" t="s">
        <v>620</v>
      </c>
      <c r="T62" s="54" t="s">
        <v>819</v>
      </c>
      <c r="U62" s="54" t="s">
        <v>622</v>
      </c>
      <c r="V62" s="57" t="s">
        <v>495</v>
      </c>
    </row>
    <row r="63" spans="1:22" ht="15" customHeight="1" x14ac:dyDescent="0.25">
      <c r="A63" s="54" t="s">
        <v>820</v>
      </c>
      <c r="B63" s="54" t="s">
        <v>821</v>
      </c>
      <c r="C63" s="54" t="s">
        <v>659</v>
      </c>
      <c r="D63" s="54" t="s">
        <v>572</v>
      </c>
      <c r="E63" s="55">
        <v>1136.29</v>
      </c>
      <c r="F63" s="55">
        <v>1075.3599999999999</v>
      </c>
      <c r="G63" s="54">
        <v>206</v>
      </c>
      <c r="H63" s="54" t="s">
        <v>627</v>
      </c>
      <c r="I63" s="56">
        <v>69.430000000000007</v>
      </c>
      <c r="J63" s="56">
        <v>54.18</v>
      </c>
      <c r="K63" s="55">
        <v>1130.3699999999999</v>
      </c>
      <c r="L63" s="55">
        <f t="shared" si="1"/>
        <v>425.21319999999997</v>
      </c>
      <c r="M63" s="56">
        <v>17.3</v>
      </c>
      <c r="N63" s="54" t="s">
        <v>608</v>
      </c>
      <c r="O63" s="54" t="s">
        <v>678</v>
      </c>
      <c r="P63" s="54" t="s">
        <v>576</v>
      </c>
      <c r="Q63" s="56">
        <v>59.6</v>
      </c>
      <c r="R63" s="54" t="s">
        <v>822</v>
      </c>
      <c r="S63" s="54" t="s">
        <v>655</v>
      </c>
      <c r="T63" s="54" t="s">
        <v>589</v>
      </c>
      <c r="U63" s="54" t="s">
        <v>622</v>
      </c>
      <c r="V63" s="57" t="s">
        <v>495</v>
      </c>
    </row>
    <row r="64" spans="1:22" ht="15" customHeight="1" x14ac:dyDescent="0.25">
      <c r="A64" s="50" t="s">
        <v>823</v>
      </c>
      <c r="B64" s="50" t="s">
        <v>824</v>
      </c>
      <c r="C64" s="50" t="s">
        <v>600</v>
      </c>
      <c r="D64" s="50" t="s">
        <v>572</v>
      </c>
      <c r="E64" s="51">
        <v>1622.18</v>
      </c>
      <c r="F64" s="51">
        <v>1145.3599999999999</v>
      </c>
      <c r="G64" s="50">
        <v>0</v>
      </c>
      <c r="H64" s="50" t="s">
        <v>584</v>
      </c>
      <c r="I64" s="52">
        <v>0.92</v>
      </c>
      <c r="J64" s="52">
        <v>23.15</v>
      </c>
      <c r="K64" s="51">
        <v>1169.2</v>
      </c>
      <c r="L64" s="51">
        <f t="shared" si="1"/>
        <v>2.4902000000000002</v>
      </c>
      <c r="M64" s="52">
        <v>12.12</v>
      </c>
      <c r="N64" s="50" t="s">
        <v>601</v>
      </c>
      <c r="O64" s="50" t="s">
        <v>586</v>
      </c>
      <c r="P64" s="50" t="s">
        <v>587</v>
      </c>
      <c r="Q64" s="52">
        <v>56</v>
      </c>
      <c r="R64" s="50" t="s">
        <v>825</v>
      </c>
      <c r="S64" s="50" t="s">
        <v>655</v>
      </c>
      <c r="T64" s="50" t="s">
        <v>578</v>
      </c>
      <c r="U64" s="50" t="s">
        <v>590</v>
      </c>
      <c r="V64" s="53" t="s">
        <v>266</v>
      </c>
    </row>
    <row r="65" spans="1:22" ht="15" customHeight="1" x14ac:dyDescent="0.25">
      <c r="A65" s="50" t="s">
        <v>826</v>
      </c>
      <c r="B65" s="50" t="s">
        <v>827</v>
      </c>
      <c r="C65" s="50" t="s">
        <v>659</v>
      </c>
      <c r="D65" s="50" t="s">
        <v>626</v>
      </c>
      <c r="E65" s="51">
        <v>1982.18</v>
      </c>
      <c r="F65" s="51">
        <v>1397.97</v>
      </c>
      <c r="G65" s="50">
        <v>0</v>
      </c>
      <c r="H65" s="50" t="s">
        <v>584</v>
      </c>
      <c r="I65" s="52">
        <v>2.97</v>
      </c>
      <c r="J65" s="52">
        <v>33.51</v>
      </c>
      <c r="K65" s="51">
        <v>1456.5</v>
      </c>
      <c r="L65" s="51">
        <f t="shared" si="1"/>
        <v>14.495799999999999</v>
      </c>
      <c r="M65" s="52">
        <v>12.49</v>
      </c>
      <c r="N65" s="50" t="s">
        <v>601</v>
      </c>
      <c r="O65" s="50" t="s">
        <v>716</v>
      </c>
      <c r="P65" s="50" t="s">
        <v>587</v>
      </c>
      <c r="Q65" s="52">
        <v>52</v>
      </c>
      <c r="R65" s="50" t="s">
        <v>828</v>
      </c>
      <c r="S65" s="50" t="s">
        <v>611</v>
      </c>
      <c r="T65" s="50" t="s">
        <v>688</v>
      </c>
      <c r="U65" s="50" t="s">
        <v>590</v>
      </c>
      <c r="V65" s="53" t="s">
        <v>266</v>
      </c>
    </row>
    <row r="66" spans="1:22" ht="15" customHeight="1" x14ac:dyDescent="0.25">
      <c r="A66" s="50" t="s">
        <v>829</v>
      </c>
      <c r="B66" s="50" t="s">
        <v>830</v>
      </c>
      <c r="C66" s="50" t="s">
        <v>571</v>
      </c>
      <c r="D66" s="50" t="s">
        <v>634</v>
      </c>
      <c r="E66" s="51">
        <v>88.66</v>
      </c>
      <c r="F66" s="51">
        <v>42.6</v>
      </c>
      <c r="G66" s="50">
        <v>0</v>
      </c>
      <c r="H66" s="50" t="s">
        <v>584</v>
      </c>
      <c r="I66" s="52">
        <v>1.7</v>
      </c>
      <c r="J66" s="52">
        <v>38.64</v>
      </c>
      <c r="K66" s="51">
        <v>43.15</v>
      </c>
      <c r="L66" s="51">
        <f t="shared" si="1"/>
        <v>0.28339999999999999</v>
      </c>
      <c r="M66" s="52">
        <v>18.5</v>
      </c>
      <c r="N66" s="50" t="s">
        <v>617</v>
      </c>
      <c r="O66" s="50" t="s">
        <v>586</v>
      </c>
      <c r="P66" s="50" t="s">
        <v>587</v>
      </c>
      <c r="Q66" s="52">
        <v>50.8</v>
      </c>
      <c r="R66" s="50" t="s">
        <v>831</v>
      </c>
      <c r="S66" s="50" t="s">
        <v>700</v>
      </c>
      <c r="T66" s="50" t="s">
        <v>621</v>
      </c>
      <c r="U66" s="50" t="s">
        <v>590</v>
      </c>
      <c r="V66" s="53" t="s">
        <v>266</v>
      </c>
    </row>
    <row r="67" spans="1:22" ht="25.5" customHeight="1" x14ac:dyDescent="0.25">
      <c r="A67" s="50" t="s">
        <v>832</v>
      </c>
      <c r="B67" s="50" t="s">
        <v>833</v>
      </c>
      <c r="C67" s="50" t="s">
        <v>582</v>
      </c>
      <c r="D67" s="50" t="s">
        <v>642</v>
      </c>
      <c r="E67" s="51">
        <v>1172.2</v>
      </c>
      <c r="F67" s="51">
        <v>1120.08</v>
      </c>
      <c r="G67" s="50">
        <v>0</v>
      </c>
      <c r="H67" s="50" t="s">
        <v>584</v>
      </c>
      <c r="I67" s="52">
        <v>2.58</v>
      </c>
      <c r="J67" s="52">
        <v>30.66</v>
      </c>
      <c r="K67" s="51">
        <v>1097.3599999999999</v>
      </c>
      <c r="L67" s="51">
        <f t="shared" ref="L67:L98" si="2">ROUND(K67*(I67/100)*(J67/100),4)</f>
        <v>8.6804000000000006</v>
      </c>
      <c r="M67" s="52">
        <v>17.91</v>
      </c>
      <c r="N67" s="50" t="s">
        <v>664</v>
      </c>
      <c r="O67" s="50" t="s">
        <v>716</v>
      </c>
      <c r="P67" s="50" t="s">
        <v>587</v>
      </c>
      <c r="Q67" s="52">
        <v>92.7</v>
      </c>
      <c r="R67" s="50" t="s">
        <v>779</v>
      </c>
      <c r="S67" s="50" t="s">
        <v>571</v>
      </c>
      <c r="T67" s="50" t="s">
        <v>661</v>
      </c>
      <c r="U67" s="50" t="s">
        <v>590</v>
      </c>
      <c r="V67" s="53" t="s">
        <v>266</v>
      </c>
    </row>
    <row r="68" spans="1:22" ht="25.5" customHeight="1" x14ac:dyDescent="0.25">
      <c r="A68" s="46" t="s">
        <v>834</v>
      </c>
      <c r="B68" s="46" t="s">
        <v>835</v>
      </c>
      <c r="C68" s="46" t="s">
        <v>600</v>
      </c>
      <c r="D68" s="46" t="s">
        <v>626</v>
      </c>
      <c r="E68" s="47">
        <v>723.79</v>
      </c>
      <c r="F68" s="47">
        <v>528.72</v>
      </c>
      <c r="G68" s="46">
        <v>11</v>
      </c>
      <c r="H68" s="46" t="s">
        <v>686</v>
      </c>
      <c r="I68" s="48">
        <v>4.9000000000000004</v>
      </c>
      <c r="J68" s="48">
        <v>39.93</v>
      </c>
      <c r="K68" s="47">
        <v>526.89</v>
      </c>
      <c r="L68" s="47">
        <f t="shared" si="2"/>
        <v>10.308999999999999</v>
      </c>
      <c r="M68" s="48">
        <v>16.05</v>
      </c>
      <c r="N68" s="46" t="s">
        <v>664</v>
      </c>
      <c r="O68" s="46" t="s">
        <v>716</v>
      </c>
      <c r="P68" s="46" t="s">
        <v>576</v>
      </c>
      <c r="Q68" s="48">
        <v>87</v>
      </c>
      <c r="R68" s="46" t="s">
        <v>836</v>
      </c>
      <c r="S68" s="46" t="s">
        <v>655</v>
      </c>
      <c r="T68" s="46" t="s">
        <v>644</v>
      </c>
      <c r="U68" s="46" t="s">
        <v>579</v>
      </c>
      <c r="V68" s="49" t="s">
        <v>321</v>
      </c>
    </row>
    <row r="69" spans="1:22" ht="15" customHeight="1" x14ac:dyDescent="0.25">
      <c r="A69" s="50" t="s">
        <v>837</v>
      </c>
      <c r="B69" s="50" t="s">
        <v>838</v>
      </c>
      <c r="C69" s="50" t="s">
        <v>571</v>
      </c>
      <c r="D69" s="50" t="s">
        <v>615</v>
      </c>
      <c r="E69" s="51">
        <v>1156.31</v>
      </c>
      <c r="F69" s="51">
        <v>526.55999999999995</v>
      </c>
      <c r="G69" s="50">
        <v>0</v>
      </c>
      <c r="H69" s="50" t="s">
        <v>584</v>
      </c>
      <c r="I69" s="52">
        <v>1.35</v>
      </c>
      <c r="J69" s="52">
        <v>38.24</v>
      </c>
      <c r="K69" s="51">
        <v>525.57000000000005</v>
      </c>
      <c r="L69" s="51">
        <f t="shared" si="2"/>
        <v>2.7132000000000001</v>
      </c>
      <c r="M69" s="52">
        <v>14.31</v>
      </c>
      <c r="N69" s="50" t="s">
        <v>574</v>
      </c>
      <c r="O69" s="50" t="s">
        <v>638</v>
      </c>
      <c r="P69" s="50" t="s">
        <v>587</v>
      </c>
      <c r="Q69" s="52">
        <v>95.5</v>
      </c>
      <c r="R69" s="50" t="s">
        <v>839</v>
      </c>
      <c r="S69" s="50" t="s">
        <v>840</v>
      </c>
      <c r="T69" s="50" t="s">
        <v>589</v>
      </c>
      <c r="U69" s="50" t="s">
        <v>590</v>
      </c>
      <c r="V69" s="53" t="s">
        <v>266</v>
      </c>
    </row>
    <row r="70" spans="1:22" ht="15" customHeight="1" x14ac:dyDescent="0.25">
      <c r="A70" s="50" t="s">
        <v>841</v>
      </c>
      <c r="B70" s="50" t="s">
        <v>842</v>
      </c>
      <c r="C70" s="50" t="s">
        <v>600</v>
      </c>
      <c r="D70" s="50" t="s">
        <v>583</v>
      </c>
      <c r="E70" s="51">
        <v>2087.84</v>
      </c>
      <c r="F70" s="51">
        <v>758.71</v>
      </c>
      <c r="G70" s="50">
        <v>0</v>
      </c>
      <c r="H70" s="50" t="s">
        <v>584</v>
      </c>
      <c r="I70" s="52">
        <v>2.48</v>
      </c>
      <c r="J70" s="52">
        <v>33.909999999999997</v>
      </c>
      <c r="K70" s="51">
        <v>775.99</v>
      </c>
      <c r="L70" s="51">
        <f t="shared" si="2"/>
        <v>6.5258000000000003</v>
      </c>
      <c r="M70" s="52">
        <v>16.55</v>
      </c>
      <c r="N70" s="50" t="s">
        <v>574</v>
      </c>
      <c r="O70" s="50" t="s">
        <v>575</v>
      </c>
      <c r="P70" s="50" t="s">
        <v>587</v>
      </c>
      <c r="Q70" s="52">
        <v>51.5</v>
      </c>
      <c r="R70" s="50" t="s">
        <v>843</v>
      </c>
      <c r="S70" s="50" t="s">
        <v>655</v>
      </c>
      <c r="T70" s="50" t="s">
        <v>644</v>
      </c>
      <c r="U70" s="50" t="s">
        <v>590</v>
      </c>
      <c r="V70" s="53" t="s">
        <v>266</v>
      </c>
    </row>
    <row r="71" spans="1:22" ht="25.5" customHeight="1" x14ac:dyDescent="0.25">
      <c r="A71" s="50" t="s">
        <v>844</v>
      </c>
      <c r="B71" s="50" t="s">
        <v>845</v>
      </c>
      <c r="C71" s="50" t="s">
        <v>633</v>
      </c>
      <c r="D71" s="50" t="s">
        <v>720</v>
      </c>
      <c r="E71" s="51">
        <v>2422.58</v>
      </c>
      <c r="F71" s="51">
        <v>1715.86</v>
      </c>
      <c r="G71" s="50">
        <v>0</v>
      </c>
      <c r="H71" s="50" t="s">
        <v>584</v>
      </c>
      <c r="I71" s="52">
        <v>0.68</v>
      </c>
      <c r="J71" s="52">
        <v>32.049999999999997</v>
      </c>
      <c r="K71" s="51">
        <v>1795.23</v>
      </c>
      <c r="L71" s="51">
        <f t="shared" si="2"/>
        <v>3.9125000000000001</v>
      </c>
      <c r="M71" s="52">
        <v>14.65</v>
      </c>
      <c r="N71" s="50" t="s">
        <v>617</v>
      </c>
      <c r="O71" s="50" t="s">
        <v>638</v>
      </c>
      <c r="P71" s="50" t="s">
        <v>587</v>
      </c>
      <c r="Q71" s="52">
        <v>51.1</v>
      </c>
      <c r="R71" s="50" t="s">
        <v>846</v>
      </c>
      <c r="S71" s="50" t="s">
        <v>571</v>
      </c>
      <c r="T71" s="50" t="s">
        <v>578</v>
      </c>
      <c r="U71" s="50" t="s">
        <v>590</v>
      </c>
      <c r="V71" s="53" t="s">
        <v>266</v>
      </c>
    </row>
    <row r="72" spans="1:22" ht="25.5" customHeight="1" x14ac:dyDescent="0.25">
      <c r="A72" s="46" t="s">
        <v>847</v>
      </c>
      <c r="B72" s="46" t="s">
        <v>848</v>
      </c>
      <c r="C72" s="46" t="s">
        <v>633</v>
      </c>
      <c r="D72" s="46" t="s">
        <v>720</v>
      </c>
      <c r="E72" s="47">
        <v>1542.04</v>
      </c>
      <c r="F72" s="47">
        <v>1152.4100000000001</v>
      </c>
      <c r="G72" s="46">
        <v>61</v>
      </c>
      <c r="H72" s="46" t="s">
        <v>573</v>
      </c>
      <c r="I72" s="48">
        <v>16.8</v>
      </c>
      <c r="J72" s="48">
        <v>52.57</v>
      </c>
      <c r="K72" s="47">
        <v>1149.8800000000001</v>
      </c>
      <c r="L72" s="47">
        <f t="shared" si="2"/>
        <v>101.55459999999999</v>
      </c>
      <c r="M72" s="48">
        <v>14.56</v>
      </c>
      <c r="N72" s="46" t="s">
        <v>608</v>
      </c>
      <c r="O72" s="46" t="s">
        <v>602</v>
      </c>
      <c r="P72" s="46" t="s">
        <v>576</v>
      </c>
      <c r="Q72" s="48">
        <v>91.1</v>
      </c>
      <c r="R72" s="46" t="s">
        <v>849</v>
      </c>
      <c r="S72" s="46" t="s">
        <v>604</v>
      </c>
      <c r="T72" s="46" t="s">
        <v>649</v>
      </c>
      <c r="U72" s="46" t="s">
        <v>579</v>
      </c>
      <c r="V72" s="49" t="s">
        <v>321</v>
      </c>
    </row>
    <row r="73" spans="1:22" ht="25.5" customHeight="1" x14ac:dyDescent="0.25">
      <c r="A73" s="50" t="s">
        <v>850</v>
      </c>
      <c r="B73" s="50" t="s">
        <v>851</v>
      </c>
      <c r="C73" s="50" t="s">
        <v>600</v>
      </c>
      <c r="D73" s="50" t="s">
        <v>626</v>
      </c>
      <c r="E73" s="51">
        <v>1865.37</v>
      </c>
      <c r="F73" s="51">
        <v>1792.31</v>
      </c>
      <c r="G73" s="50">
        <v>0</v>
      </c>
      <c r="H73" s="50" t="s">
        <v>584</v>
      </c>
      <c r="I73" s="52">
        <v>1.28</v>
      </c>
      <c r="J73" s="52">
        <v>31.34</v>
      </c>
      <c r="K73" s="51">
        <v>1763.93</v>
      </c>
      <c r="L73" s="51">
        <f t="shared" si="2"/>
        <v>7.0759999999999996</v>
      </c>
      <c r="M73" s="52">
        <v>14.3</v>
      </c>
      <c r="N73" s="50" t="s">
        <v>574</v>
      </c>
      <c r="O73" s="50" t="s">
        <v>602</v>
      </c>
      <c r="P73" s="50" t="s">
        <v>587</v>
      </c>
      <c r="Q73" s="52">
        <v>94.9</v>
      </c>
      <c r="R73" s="50" t="s">
        <v>734</v>
      </c>
      <c r="S73" s="50" t="s">
        <v>671</v>
      </c>
      <c r="T73" s="50" t="s">
        <v>656</v>
      </c>
      <c r="U73" s="50" t="s">
        <v>590</v>
      </c>
      <c r="V73" s="53" t="s">
        <v>266</v>
      </c>
    </row>
    <row r="74" spans="1:22" ht="25.5" customHeight="1" x14ac:dyDescent="0.25">
      <c r="A74" s="50" t="s">
        <v>852</v>
      </c>
      <c r="B74" s="50" t="s">
        <v>853</v>
      </c>
      <c r="C74" s="50" t="s">
        <v>674</v>
      </c>
      <c r="D74" s="50" t="s">
        <v>626</v>
      </c>
      <c r="E74" s="51">
        <v>1898.37</v>
      </c>
      <c r="F74" s="51">
        <v>633.75</v>
      </c>
      <c r="G74" s="50">
        <v>0</v>
      </c>
      <c r="H74" s="50" t="s">
        <v>584</v>
      </c>
      <c r="I74" s="52">
        <v>2.0699999999999998</v>
      </c>
      <c r="J74" s="52">
        <v>32.14</v>
      </c>
      <c r="K74" s="51">
        <v>639.95000000000005</v>
      </c>
      <c r="L74" s="51">
        <f t="shared" si="2"/>
        <v>4.2576000000000001</v>
      </c>
      <c r="M74" s="52">
        <v>13.96</v>
      </c>
      <c r="N74" s="50" t="s">
        <v>601</v>
      </c>
      <c r="O74" s="50" t="s">
        <v>586</v>
      </c>
      <c r="P74" s="50" t="s">
        <v>587</v>
      </c>
      <c r="Q74" s="52">
        <v>51</v>
      </c>
      <c r="R74" s="50" t="s">
        <v>854</v>
      </c>
      <c r="S74" s="50" t="s">
        <v>671</v>
      </c>
      <c r="T74" s="50" t="s">
        <v>667</v>
      </c>
      <c r="U74" s="50" t="s">
        <v>590</v>
      </c>
      <c r="V74" s="53" t="s">
        <v>266</v>
      </c>
    </row>
    <row r="75" spans="1:22" ht="15" customHeight="1" x14ac:dyDescent="0.25">
      <c r="A75" s="46" t="s">
        <v>855</v>
      </c>
      <c r="B75" s="46" t="s">
        <v>856</v>
      </c>
      <c r="C75" s="46" t="s">
        <v>625</v>
      </c>
      <c r="D75" s="46" t="s">
        <v>642</v>
      </c>
      <c r="E75" s="47">
        <v>161.27000000000001</v>
      </c>
      <c r="F75" s="47">
        <v>91.73</v>
      </c>
      <c r="G75" s="46">
        <v>31</v>
      </c>
      <c r="H75" s="46" t="s">
        <v>698</v>
      </c>
      <c r="I75" s="48">
        <v>9.43</v>
      </c>
      <c r="J75" s="48">
        <v>53.63</v>
      </c>
      <c r="K75" s="47">
        <v>95.31</v>
      </c>
      <c r="L75" s="47">
        <f t="shared" si="2"/>
        <v>4.8201000000000001</v>
      </c>
      <c r="M75" s="48">
        <v>18.38</v>
      </c>
      <c r="N75" s="46" t="s">
        <v>574</v>
      </c>
      <c r="O75" s="46" t="s">
        <v>618</v>
      </c>
      <c r="P75" s="46" t="s">
        <v>576</v>
      </c>
      <c r="Q75" s="48">
        <v>51.4</v>
      </c>
      <c r="R75" s="46" t="s">
        <v>857</v>
      </c>
      <c r="S75" s="46" t="s">
        <v>596</v>
      </c>
      <c r="T75" s="46" t="s">
        <v>649</v>
      </c>
      <c r="U75" s="46" t="s">
        <v>579</v>
      </c>
      <c r="V75" s="49" t="s">
        <v>321</v>
      </c>
    </row>
    <row r="76" spans="1:22" ht="25.5" customHeight="1" x14ac:dyDescent="0.25">
      <c r="A76" s="46" t="s">
        <v>858</v>
      </c>
      <c r="B76" s="46" t="s">
        <v>859</v>
      </c>
      <c r="C76" s="46" t="s">
        <v>674</v>
      </c>
      <c r="D76" s="46" t="s">
        <v>626</v>
      </c>
      <c r="E76" s="47">
        <v>981.51</v>
      </c>
      <c r="F76" s="47">
        <v>764.1</v>
      </c>
      <c r="G76" s="46">
        <v>27</v>
      </c>
      <c r="H76" s="46" t="s">
        <v>686</v>
      </c>
      <c r="I76" s="48">
        <v>6.34</v>
      </c>
      <c r="J76" s="48">
        <v>33.85</v>
      </c>
      <c r="K76" s="47">
        <v>768.48</v>
      </c>
      <c r="L76" s="47">
        <f t="shared" si="2"/>
        <v>16.4923</v>
      </c>
      <c r="M76" s="48">
        <v>18.18</v>
      </c>
      <c r="N76" s="46" t="s">
        <v>664</v>
      </c>
      <c r="O76" s="46" t="s">
        <v>716</v>
      </c>
      <c r="P76" s="46" t="s">
        <v>576</v>
      </c>
      <c r="Q76" s="48">
        <v>69.400000000000006</v>
      </c>
      <c r="R76" s="46" t="s">
        <v>860</v>
      </c>
      <c r="S76" s="46" t="s">
        <v>655</v>
      </c>
      <c r="T76" s="46" t="s">
        <v>597</v>
      </c>
      <c r="U76" s="46" t="s">
        <v>579</v>
      </c>
      <c r="V76" s="49" t="s">
        <v>321</v>
      </c>
    </row>
    <row r="77" spans="1:22" ht="25.5" customHeight="1" x14ac:dyDescent="0.25">
      <c r="A77" s="50" t="s">
        <v>861</v>
      </c>
      <c r="B77" s="50" t="s">
        <v>862</v>
      </c>
      <c r="C77" s="50" t="s">
        <v>633</v>
      </c>
      <c r="D77" s="50" t="s">
        <v>615</v>
      </c>
      <c r="E77" s="51">
        <v>1788.27</v>
      </c>
      <c r="F77" s="51">
        <v>1044.4100000000001</v>
      </c>
      <c r="G77" s="50">
        <v>0</v>
      </c>
      <c r="H77" s="50" t="s">
        <v>584</v>
      </c>
      <c r="I77" s="52">
        <v>2.91</v>
      </c>
      <c r="J77" s="52">
        <v>24.3</v>
      </c>
      <c r="K77" s="51">
        <v>1102.1500000000001</v>
      </c>
      <c r="L77" s="51">
        <f t="shared" si="2"/>
        <v>7.7935999999999996</v>
      </c>
      <c r="M77" s="52">
        <v>15.64</v>
      </c>
      <c r="N77" s="50" t="s">
        <v>594</v>
      </c>
      <c r="O77" s="50" t="s">
        <v>638</v>
      </c>
      <c r="P77" s="50" t="s">
        <v>587</v>
      </c>
      <c r="Q77" s="52">
        <v>49.7</v>
      </c>
      <c r="R77" s="50" t="s">
        <v>863</v>
      </c>
      <c r="S77" s="50" t="s">
        <v>700</v>
      </c>
      <c r="T77" s="50" t="s">
        <v>649</v>
      </c>
      <c r="U77" s="50" t="s">
        <v>590</v>
      </c>
      <c r="V77" s="53" t="s">
        <v>266</v>
      </c>
    </row>
    <row r="78" spans="1:22" ht="15" customHeight="1" x14ac:dyDescent="0.25">
      <c r="A78" s="50" t="s">
        <v>864</v>
      </c>
      <c r="B78" s="50" t="s">
        <v>865</v>
      </c>
      <c r="C78" s="50" t="s">
        <v>633</v>
      </c>
      <c r="D78" s="50" t="s">
        <v>583</v>
      </c>
      <c r="E78" s="51">
        <v>1019.63</v>
      </c>
      <c r="F78" s="51">
        <v>521.02</v>
      </c>
      <c r="G78" s="50">
        <v>0</v>
      </c>
      <c r="H78" s="50" t="s">
        <v>584</v>
      </c>
      <c r="I78" s="52">
        <v>2.39</v>
      </c>
      <c r="J78" s="52">
        <v>21.91</v>
      </c>
      <c r="K78" s="51">
        <v>535.08000000000004</v>
      </c>
      <c r="L78" s="51">
        <f t="shared" si="2"/>
        <v>2.8018999999999998</v>
      </c>
      <c r="M78" s="52">
        <v>16.28</v>
      </c>
      <c r="N78" s="50" t="s">
        <v>585</v>
      </c>
      <c r="O78" s="50" t="s">
        <v>602</v>
      </c>
      <c r="P78" s="50" t="s">
        <v>587</v>
      </c>
      <c r="Q78" s="52">
        <v>63.5</v>
      </c>
      <c r="R78" s="50" t="s">
        <v>866</v>
      </c>
      <c r="S78" s="50" t="s">
        <v>655</v>
      </c>
      <c r="T78" s="50" t="s">
        <v>644</v>
      </c>
      <c r="U78" s="50" t="s">
        <v>590</v>
      </c>
      <c r="V78" s="53" t="s">
        <v>266</v>
      </c>
    </row>
    <row r="79" spans="1:22" ht="15" customHeight="1" x14ac:dyDescent="0.25">
      <c r="A79" s="50" t="s">
        <v>867</v>
      </c>
      <c r="B79" s="50" t="s">
        <v>868</v>
      </c>
      <c r="C79" s="50" t="s">
        <v>674</v>
      </c>
      <c r="D79" s="50" t="s">
        <v>572</v>
      </c>
      <c r="E79" s="51">
        <v>301.87</v>
      </c>
      <c r="F79" s="51">
        <v>143.1</v>
      </c>
      <c r="G79" s="50">
        <v>0</v>
      </c>
      <c r="H79" s="50" t="s">
        <v>584</v>
      </c>
      <c r="I79" s="52">
        <v>2.34</v>
      </c>
      <c r="J79" s="52">
        <v>36.39</v>
      </c>
      <c r="K79" s="51">
        <v>141.09</v>
      </c>
      <c r="L79" s="51">
        <f t="shared" si="2"/>
        <v>1.2014</v>
      </c>
      <c r="M79" s="52">
        <v>18.46</v>
      </c>
      <c r="N79" s="50" t="s">
        <v>664</v>
      </c>
      <c r="O79" s="50" t="s">
        <v>609</v>
      </c>
      <c r="P79" s="50" t="s">
        <v>587</v>
      </c>
      <c r="Q79" s="52">
        <v>85</v>
      </c>
      <c r="R79" s="50" t="s">
        <v>869</v>
      </c>
      <c r="S79" s="50" t="s">
        <v>571</v>
      </c>
      <c r="T79" s="50" t="s">
        <v>589</v>
      </c>
      <c r="U79" s="50" t="s">
        <v>590</v>
      </c>
      <c r="V79" s="53" t="s">
        <v>266</v>
      </c>
    </row>
    <row r="80" spans="1:22" ht="15" customHeight="1" x14ac:dyDescent="0.25">
      <c r="A80" s="50" t="s">
        <v>870</v>
      </c>
      <c r="B80" s="50" t="s">
        <v>871</v>
      </c>
      <c r="C80" s="50" t="s">
        <v>659</v>
      </c>
      <c r="D80" s="50" t="s">
        <v>634</v>
      </c>
      <c r="E80" s="51">
        <v>419.85</v>
      </c>
      <c r="F80" s="51">
        <v>145.44999999999999</v>
      </c>
      <c r="G80" s="50">
        <v>0</v>
      </c>
      <c r="H80" s="50" t="s">
        <v>584</v>
      </c>
      <c r="I80" s="52">
        <v>2.44</v>
      </c>
      <c r="J80" s="52">
        <v>34.79</v>
      </c>
      <c r="K80" s="51">
        <v>145.69</v>
      </c>
      <c r="L80" s="51">
        <f t="shared" si="2"/>
        <v>1.2366999999999999</v>
      </c>
      <c r="M80" s="52">
        <v>12.17</v>
      </c>
      <c r="N80" s="50" t="s">
        <v>664</v>
      </c>
      <c r="O80" s="50" t="s">
        <v>609</v>
      </c>
      <c r="P80" s="50" t="s">
        <v>587</v>
      </c>
      <c r="Q80" s="52">
        <v>47</v>
      </c>
      <c r="R80" s="50" t="s">
        <v>872</v>
      </c>
      <c r="S80" s="50" t="s">
        <v>655</v>
      </c>
      <c r="T80" s="50" t="s">
        <v>667</v>
      </c>
      <c r="U80" s="50" t="s">
        <v>590</v>
      </c>
      <c r="V80" s="53" t="s">
        <v>266</v>
      </c>
    </row>
    <row r="81" spans="1:22" ht="25.5" customHeight="1" x14ac:dyDescent="0.25">
      <c r="A81" s="46" t="s">
        <v>873</v>
      </c>
      <c r="B81" s="46" t="s">
        <v>874</v>
      </c>
      <c r="C81" s="46" t="s">
        <v>600</v>
      </c>
      <c r="D81" s="46" t="s">
        <v>583</v>
      </c>
      <c r="E81" s="47">
        <v>1556.77</v>
      </c>
      <c r="F81" s="47">
        <v>1003.81</v>
      </c>
      <c r="G81" s="46">
        <v>18</v>
      </c>
      <c r="H81" s="46" t="s">
        <v>686</v>
      </c>
      <c r="I81" s="48">
        <v>7.77</v>
      </c>
      <c r="J81" s="48">
        <v>43.47</v>
      </c>
      <c r="K81" s="47">
        <v>977.4</v>
      </c>
      <c r="L81" s="47">
        <f t="shared" si="2"/>
        <v>33.012799999999999</v>
      </c>
      <c r="M81" s="48">
        <v>19.68</v>
      </c>
      <c r="N81" s="46" t="s">
        <v>617</v>
      </c>
      <c r="O81" s="46" t="s">
        <v>575</v>
      </c>
      <c r="P81" s="46" t="s">
        <v>576</v>
      </c>
      <c r="Q81" s="48">
        <v>55</v>
      </c>
      <c r="R81" s="46" t="s">
        <v>875</v>
      </c>
      <c r="S81" s="46" t="s">
        <v>695</v>
      </c>
      <c r="T81" s="46" t="s">
        <v>605</v>
      </c>
      <c r="U81" s="46" t="s">
        <v>579</v>
      </c>
      <c r="V81" s="49" t="s">
        <v>321</v>
      </c>
    </row>
    <row r="82" spans="1:22" ht="15" customHeight="1" x14ac:dyDescent="0.25">
      <c r="A82" s="54" t="s">
        <v>876</v>
      </c>
      <c r="B82" s="54" t="s">
        <v>877</v>
      </c>
      <c r="C82" s="54" t="s">
        <v>674</v>
      </c>
      <c r="D82" s="54" t="s">
        <v>720</v>
      </c>
      <c r="E82" s="55">
        <v>1153.78</v>
      </c>
      <c r="F82" s="55">
        <v>982.39</v>
      </c>
      <c r="G82" s="54">
        <v>363</v>
      </c>
      <c r="H82" s="54" t="s">
        <v>627</v>
      </c>
      <c r="I82" s="56">
        <v>42.53</v>
      </c>
      <c r="J82" s="56">
        <v>61.15</v>
      </c>
      <c r="K82" s="55">
        <v>956.38</v>
      </c>
      <c r="L82" s="55">
        <f t="shared" si="2"/>
        <v>248.72669999999999</v>
      </c>
      <c r="M82" s="56">
        <v>17.87</v>
      </c>
      <c r="N82" s="54" t="s">
        <v>664</v>
      </c>
      <c r="O82" s="54" t="s">
        <v>628</v>
      </c>
      <c r="P82" s="54" t="s">
        <v>576</v>
      </c>
      <c r="Q82" s="56">
        <v>64.3</v>
      </c>
      <c r="R82" s="54" t="s">
        <v>878</v>
      </c>
      <c r="S82" s="54" t="s">
        <v>691</v>
      </c>
      <c r="T82" s="54" t="s">
        <v>649</v>
      </c>
      <c r="U82" s="54" t="s">
        <v>622</v>
      </c>
      <c r="V82" s="57" t="s">
        <v>495</v>
      </c>
    </row>
    <row r="83" spans="1:22" ht="15" customHeight="1" x14ac:dyDescent="0.25">
      <c r="A83" s="50" t="s">
        <v>879</v>
      </c>
      <c r="B83" s="50" t="s">
        <v>880</v>
      </c>
      <c r="C83" s="50" t="s">
        <v>659</v>
      </c>
      <c r="D83" s="50" t="s">
        <v>720</v>
      </c>
      <c r="E83" s="51">
        <v>1983.61</v>
      </c>
      <c r="F83" s="51">
        <v>1468.2</v>
      </c>
      <c r="G83" s="50">
        <v>0</v>
      </c>
      <c r="H83" s="50" t="s">
        <v>584</v>
      </c>
      <c r="I83" s="52">
        <v>1.78</v>
      </c>
      <c r="J83" s="52">
        <v>29.66</v>
      </c>
      <c r="K83" s="51">
        <v>1457.45</v>
      </c>
      <c r="L83" s="51">
        <f t="shared" si="2"/>
        <v>7.6946000000000003</v>
      </c>
      <c r="M83" s="52">
        <v>19.16</v>
      </c>
      <c r="N83" s="50" t="s">
        <v>617</v>
      </c>
      <c r="O83" s="50" t="s">
        <v>602</v>
      </c>
      <c r="P83" s="50" t="s">
        <v>587</v>
      </c>
      <c r="Q83" s="52">
        <v>53</v>
      </c>
      <c r="R83" s="50" t="s">
        <v>881</v>
      </c>
      <c r="S83" s="50" t="s">
        <v>571</v>
      </c>
      <c r="T83" s="50" t="s">
        <v>644</v>
      </c>
      <c r="U83" s="50" t="s">
        <v>590</v>
      </c>
      <c r="V83" s="53" t="s">
        <v>266</v>
      </c>
    </row>
    <row r="84" spans="1:22" ht="15" customHeight="1" x14ac:dyDescent="0.25">
      <c r="A84" s="46" t="s">
        <v>882</v>
      </c>
      <c r="B84" s="46" t="s">
        <v>883</v>
      </c>
      <c r="C84" s="46" t="s">
        <v>674</v>
      </c>
      <c r="D84" s="46" t="s">
        <v>634</v>
      </c>
      <c r="E84" s="47">
        <v>810.07</v>
      </c>
      <c r="F84" s="47">
        <v>604.41</v>
      </c>
      <c r="G84" s="46">
        <v>65</v>
      </c>
      <c r="H84" s="46" t="s">
        <v>573</v>
      </c>
      <c r="I84" s="48">
        <v>20.95</v>
      </c>
      <c r="J84" s="48">
        <v>58.45</v>
      </c>
      <c r="K84" s="47">
        <v>603.12</v>
      </c>
      <c r="L84" s="47">
        <f t="shared" si="2"/>
        <v>73.853700000000003</v>
      </c>
      <c r="M84" s="48">
        <v>14.89</v>
      </c>
      <c r="N84" s="46" t="s">
        <v>601</v>
      </c>
      <c r="O84" s="46" t="s">
        <v>618</v>
      </c>
      <c r="P84" s="46" t="s">
        <v>576</v>
      </c>
      <c r="Q84" s="48">
        <v>88.1</v>
      </c>
      <c r="R84" s="46" t="s">
        <v>884</v>
      </c>
      <c r="S84" s="46" t="s">
        <v>596</v>
      </c>
      <c r="T84" s="46" t="s">
        <v>819</v>
      </c>
      <c r="U84" s="46" t="s">
        <v>579</v>
      </c>
      <c r="V84" s="49" t="s">
        <v>321</v>
      </c>
    </row>
    <row r="85" spans="1:22" ht="15" customHeight="1" x14ac:dyDescent="0.25">
      <c r="A85" s="50" t="s">
        <v>885</v>
      </c>
      <c r="B85" s="50" t="s">
        <v>886</v>
      </c>
      <c r="C85" s="50" t="s">
        <v>600</v>
      </c>
      <c r="D85" s="50" t="s">
        <v>615</v>
      </c>
      <c r="E85" s="51">
        <v>1295.8</v>
      </c>
      <c r="F85" s="51">
        <v>404.8</v>
      </c>
      <c r="G85" s="50">
        <v>0</v>
      </c>
      <c r="H85" s="50" t="s">
        <v>584</v>
      </c>
      <c r="I85" s="52">
        <v>1.19</v>
      </c>
      <c r="J85" s="52">
        <v>39.15</v>
      </c>
      <c r="K85" s="51">
        <v>399.65</v>
      </c>
      <c r="L85" s="51">
        <f t="shared" si="2"/>
        <v>1.8619000000000001</v>
      </c>
      <c r="M85" s="52">
        <v>20.5</v>
      </c>
      <c r="N85" s="50" t="s">
        <v>585</v>
      </c>
      <c r="O85" s="50" t="s">
        <v>716</v>
      </c>
      <c r="P85" s="50" t="s">
        <v>587</v>
      </c>
      <c r="Q85" s="52">
        <v>60.7</v>
      </c>
      <c r="R85" s="50" t="s">
        <v>887</v>
      </c>
      <c r="S85" s="50" t="s">
        <v>671</v>
      </c>
      <c r="T85" s="50" t="s">
        <v>605</v>
      </c>
      <c r="U85" s="50" t="s">
        <v>590</v>
      </c>
      <c r="V85" s="53" t="s">
        <v>266</v>
      </c>
    </row>
    <row r="86" spans="1:22" ht="15" customHeight="1" x14ac:dyDescent="0.25">
      <c r="A86" s="46" t="s">
        <v>888</v>
      </c>
      <c r="B86" s="46" t="s">
        <v>889</v>
      </c>
      <c r="C86" s="46" t="s">
        <v>582</v>
      </c>
      <c r="D86" s="46" t="s">
        <v>634</v>
      </c>
      <c r="E86" s="47">
        <v>2197.16</v>
      </c>
      <c r="F86" s="47">
        <v>1582.53</v>
      </c>
      <c r="G86" s="46">
        <v>35</v>
      </c>
      <c r="H86" s="46" t="s">
        <v>698</v>
      </c>
      <c r="I86" s="48">
        <v>9.14</v>
      </c>
      <c r="J86" s="48">
        <v>50.78</v>
      </c>
      <c r="K86" s="47">
        <v>1644.88</v>
      </c>
      <c r="L86" s="47">
        <f t="shared" si="2"/>
        <v>76.343699999999998</v>
      </c>
      <c r="M86" s="48">
        <v>18.78</v>
      </c>
      <c r="N86" s="46" t="s">
        <v>585</v>
      </c>
      <c r="O86" s="46" t="s">
        <v>628</v>
      </c>
      <c r="P86" s="46" t="s">
        <v>576</v>
      </c>
      <c r="Q86" s="48">
        <v>47.3</v>
      </c>
      <c r="R86" s="46" t="s">
        <v>890</v>
      </c>
      <c r="S86" s="46" t="s">
        <v>604</v>
      </c>
      <c r="T86" s="46" t="s">
        <v>819</v>
      </c>
      <c r="U86" s="46" t="s">
        <v>579</v>
      </c>
      <c r="V86" s="49" t="s">
        <v>321</v>
      </c>
    </row>
    <row r="87" spans="1:22" ht="15" customHeight="1" x14ac:dyDescent="0.25">
      <c r="A87" s="54" t="s">
        <v>891</v>
      </c>
      <c r="B87" s="54" t="s">
        <v>892</v>
      </c>
      <c r="C87" s="54" t="s">
        <v>571</v>
      </c>
      <c r="D87" s="54" t="s">
        <v>593</v>
      </c>
      <c r="E87" s="55">
        <v>1545.96</v>
      </c>
      <c r="F87" s="55">
        <v>1254.74</v>
      </c>
      <c r="G87" s="54">
        <v>120</v>
      </c>
      <c r="H87" s="54" t="s">
        <v>616</v>
      </c>
      <c r="I87" s="56">
        <v>38.35</v>
      </c>
      <c r="J87" s="56">
        <v>47.74</v>
      </c>
      <c r="K87" s="55">
        <v>1308.4100000000001</v>
      </c>
      <c r="L87" s="55">
        <f t="shared" si="2"/>
        <v>239.54750000000001</v>
      </c>
      <c r="M87" s="56">
        <v>15.72</v>
      </c>
      <c r="N87" s="54" t="s">
        <v>601</v>
      </c>
      <c r="O87" s="54" t="s">
        <v>628</v>
      </c>
      <c r="P87" s="54" t="s">
        <v>576</v>
      </c>
      <c r="Q87" s="56">
        <v>64.5</v>
      </c>
      <c r="R87" s="54" t="s">
        <v>588</v>
      </c>
      <c r="S87" s="54" t="s">
        <v>695</v>
      </c>
      <c r="T87" s="54" t="s">
        <v>589</v>
      </c>
      <c r="U87" s="54" t="s">
        <v>622</v>
      </c>
      <c r="V87" s="57" t="s">
        <v>495</v>
      </c>
    </row>
    <row r="88" spans="1:22" ht="15" customHeight="1" x14ac:dyDescent="0.25">
      <c r="A88" s="50" t="s">
        <v>893</v>
      </c>
      <c r="B88" s="50" t="s">
        <v>894</v>
      </c>
      <c r="C88" s="50" t="s">
        <v>614</v>
      </c>
      <c r="D88" s="50" t="s">
        <v>615</v>
      </c>
      <c r="E88" s="51">
        <v>1282.1199999999999</v>
      </c>
      <c r="F88" s="51">
        <v>749.64</v>
      </c>
      <c r="G88" s="50">
        <v>0</v>
      </c>
      <c r="H88" s="50" t="s">
        <v>584</v>
      </c>
      <c r="I88" s="52">
        <v>2.4500000000000002</v>
      </c>
      <c r="J88" s="52">
        <v>23.46</v>
      </c>
      <c r="K88" s="51">
        <v>744.02</v>
      </c>
      <c r="L88" s="51">
        <f t="shared" si="2"/>
        <v>4.2763999999999998</v>
      </c>
      <c r="M88" s="52">
        <v>17.27</v>
      </c>
      <c r="N88" s="50" t="s">
        <v>601</v>
      </c>
      <c r="O88" s="50" t="s">
        <v>638</v>
      </c>
      <c r="P88" s="50" t="s">
        <v>587</v>
      </c>
      <c r="Q88" s="52">
        <v>74.400000000000006</v>
      </c>
      <c r="R88" s="50" t="s">
        <v>895</v>
      </c>
      <c r="S88" s="50" t="s">
        <v>596</v>
      </c>
      <c r="T88" s="50" t="s">
        <v>605</v>
      </c>
      <c r="U88" s="50" t="s">
        <v>590</v>
      </c>
      <c r="V88" s="53" t="s">
        <v>266</v>
      </c>
    </row>
    <row r="89" spans="1:22" ht="25.5" customHeight="1" x14ac:dyDescent="0.25">
      <c r="A89" s="50" t="s">
        <v>896</v>
      </c>
      <c r="B89" s="50" t="s">
        <v>897</v>
      </c>
      <c r="C89" s="50" t="s">
        <v>600</v>
      </c>
      <c r="D89" s="50" t="s">
        <v>642</v>
      </c>
      <c r="E89" s="51">
        <v>255.49</v>
      </c>
      <c r="F89" s="51">
        <v>104.5</v>
      </c>
      <c r="G89" s="50">
        <v>0</v>
      </c>
      <c r="H89" s="50" t="s">
        <v>584</v>
      </c>
      <c r="I89" s="52">
        <v>2.54</v>
      </c>
      <c r="J89" s="52">
        <v>22.29</v>
      </c>
      <c r="K89" s="51">
        <v>109.93</v>
      </c>
      <c r="L89" s="51">
        <f t="shared" si="2"/>
        <v>0.62239999999999995</v>
      </c>
      <c r="M89" s="52">
        <v>18.850000000000001</v>
      </c>
      <c r="N89" s="50" t="s">
        <v>574</v>
      </c>
      <c r="O89" s="50" t="s">
        <v>716</v>
      </c>
      <c r="P89" s="50" t="s">
        <v>587</v>
      </c>
      <c r="Q89" s="52">
        <v>67</v>
      </c>
      <c r="R89" s="50" t="s">
        <v>898</v>
      </c>
      <c r="S89" s="50" t="s">
        <v>614</v>
      </c>
      <c r="T89" s="50" t="s">
        <v>597</v>
      </c>
      <c r="U89" s="50" t="s">
        <v>590</v>
      </c>
      <c r="V89" s="53" t="s">
        <v>266</v>
      </c>
    </row>
    <row r="90" spans="1:22" ht="25.5" customHeight="1" x14ac:dyDescent="0.25">
      <c r="A90" s="50" t="s">
        <v>899</v>
      </c>
      <c r="B90" s="50" t="s">
        <v>900</v>
      </c>
      <c r="C90" s="50" t="s">
        <v>571</v>
      </c>
      <c r="D90" s="50" t="s">
        <v>615</v>
      </c>
      <c r="E90" s="51">
        <v>2486.59</v>
      </c>
      <c r="F90" s="51">
        <v>1379.91</v>
      </c>
      <c r="G90" s="50">
        <v>0</v>
      </c>
      <c r="H90" s="50" t="s">
        <v>584</v>
      </c>
      <c r="I90" s="52">
        <v>2.56</v>
      </c>
      <c r="J90" s="52">
        <v>36.25</v>
      </c>
      <c r="K90" s="51">
        <v>1436.8</v>
      </c>
      <c r="L90" s="51">
        <f t="shared" si="2"/>
        <v>13.333500000000001</v>
      </c>
      <c r="M90" s="52">
        <v>12.74</v>
      </c>
      <c r="N90" s="50" t="s">
        <v>574</v>
      </c>
      <c r="O90" s="50" t="s">
        <v>602</v>
      </c>
      <c r="P90" s="50" t="s">
        <v>587</v>
      </c>
      <c r="Q90" s="52">
        <v>70</v>
      </c>
      <c r="R90" s="50" t="s">
        <v>901</v>
      </c>
      <c r="S90" s="50" t="s">
        <v>611</v>
      </c>
      <c r="T90" s="50" t="s">
        <v>819</v>
      </c>
      <c r="U90" s="50" t="s">
        <v>590</v>
      </c>
      <c r="V90" s="53" t="s">
        <v>266</v>
      </c>
    </row>
    <row r="91" spans="1:22" ht="25.5" customHeight="1" x14ac:dyDescent="0.25">
      <c r="A91" s="50" t="s">
        <v>902</v>
      </c>
      <c r="B91" s="50" t="s">
        <v>903</v>
      </c>
      <c r="C91" s="50" t="s">
        <v>625</v>
      </c>
      <c r="D91" s="50" t="s">
        <v>593</v>
      </c>
      <c r="E91" s="51">
        <v>1557.6</v>
      </c>
      <c r="F91" s="51">
        <v>1426.74</v>
      </c>
      <c r="G91" s="50">
        <v>0</v>
      </c>
      <c r="H91" s="50" t="s">
        <v>584</v>
      </c>
      <c r="I91" s="52">
        <v>2.5499999999999998</v>
      </c>
      <c r="J91" s="52">
        <v>33.72</v>
      </c>
      <c r="K91" s="51">
        <v>1477.32</v>
      </c>
      <c r="L91" s="51">
        <f t="shared" si="2"/>
        <v>12.7029</v>
      </c>
      <c r="M91" s="52">
        <v>16.25</v>
      </c>
      <c r="N91" s="50" t="s">
        <v>608</v>
      </c>
      <c r="O91" s="50" t="s">
        <v>602</v>
      </c>
      <c r="P91" s="50" t="s">
        <v>587</v>
      </c>
      <c r="Q91" s="52">
        <v>60.3</v>
      </c>
      <c r="R91" s="50" t="s">
        <v>904</v>
      </c>
      <c r="S91" s="50" t="s">
        <v>671</v>
      </c>
      <c r="T91" s="50" t="s">
        <v>656</v>
      </c>
      <c r="U91" s="50" t="s">
        <v>590</v>
      </c>
      <c r="V91" s="53" t="s">
        <v>266</v>
      </c>
    </row>
    <row r="92" spans="1:22" ht="25.5" customHeight="1" x14ac:dyDescent="0.25">
      <c r="A92" s="50" t="s">
        <v>905</v>
      </c>
      <c r="B92" s="50" t="s">
        <v>906</v>
      </c>
      <c r="C92" s="50" t="s">
        <v>571</v>
      </c>
      <c r="D92" s="50" t="s">
        <v>615</v>
      </c>
      <c r="E92" s="51">
        <v>1615.43</v>
      </c>
      <c r="F92" s="51">
        <v>1168.78</v>
      </c>
      <c r="G92" s="50">
        <v>0</v>
      </c>
      <c r="H92" s="50" t="s">
        <v>584</v>
      </c>
      <c r="I92" s="52">
        <v>1.89</v>
      </c>
      <c r="J92" s="52">
        <v>20.41</v>
      </c>
      <c r="K92" s="51">
        <v>1187.93</v>
      </c>
      <c r="L92" s="51">
        <f t="shared" si="2"/>
        <v>4.5823999999999998</v>
      </c>
      <c r="M92" s="52">
        <v>13.68</v>
      </c>
      <c r="N92" s="50" t="s">
        <v>585</v>
      </c>
      <c r="O92" s="50" t="s">
        <v>638</v>
      </c>
      <c r="P92" s="50" t="s">
        <v>587</v>
      </c>
      <c r="Q92" s="52">
        <v>67.7</v>
      </c>
      <c r="R92" s="50" t="s">
        <v>907</v>
      </c>
      <c r="S92" s="50" t="s">
        <v>666</v>
      </c>
      <c r="T92" s="50" t="s">
        <v>578</v>
      </c>
      <c r="U92" s="50" t="s">
        <v>590</v>
      </c>
      <c r="V92" s="53" t="s">
        <v>266</v>
      </c>
    </row>
    <row r="93" spans="1:22" ht="15" customHeight="1" x14ac:dyDescent="0.25">
      <c r="A93" s="54" t="s">
        <v>908</v>
      </c>
      <c r="B93" s="54" t="s">
        <v>909</v>
      </c>
      <c r="C93" s="54" t="s">
        <v>633</v>
      </c>
      <c r="D93" s="54" t="s">
        <v>626</v>
      </c>
      <c r="E93" s="55">
        <v>1677.71</v>
      </c>
      <c r="F93" s="55">
        <v>600.99</v>
      </c>
      <c r="G93" s="54">
        <v>765</v>
      </c>
      <c r="H93" s="54" t="s">
        <v>730</v>
      </c>
      <c r="I93" s="56">
        <v>98.11</v>
      </c>
      <c r="J93" s="56">
        <v>81.319999999999993</v>
      </c>
      <c r="K93" s="55">
        <v>625.5</v>
      </c>
      <c r="L93" s="55">
        <f t="shared" si="2"/>
        <v>499.04300000000001</v>
      </c>
      <c r="M93" s="56">
        <v>16.07</v>
      </c>
      <c r="N93" s="54" t="s">
        <v>608</v>
      </c>
      <c r="O93" s="54" t="s">
        <v>678</v>
      </c>
      <c r="P93" s="54" t="s">
        <v>576</v>
      </c>
      <c r="Q93" s="56">
        <v>91.3</v>
      </c>
      <c r="R93" s="54" t="s">
        <v>910</v>
      </c>
      <c r="S93" s="54" t="s">
        <v>604</v>
      </c>
      <c r="T93" s="54" t="s">
        <v>649</v>
      </c>
      <c r="U93" s="54" t="s">
        <v>622</v>
      </c>
      <c r="V93" s="57" t="s">
        <v>495</v>
      </c>
    </row>
    <row r="94" spans="1:22" ht="25.5" customHeight="1" x14ac:dyDescent="0.25">
      <c r="A94" s="50" t="s">
        <v>911</v>
      </c>
      <c r="B94" s="50" t="s">
        <v>912</v>
      </c>
      <c r="C94" s="50" t="s">
        <v>659</v>
      </c>
      <c r="D94" s="50" t="s">
        <v>642</v>
      </c>
      <c r="E94" s="51">
        <v>1880.93</v>
      </c>
      <c r="F94" s="51">
        <v>1021.01</v>
      </c>
      <c r="G94" s="50">
        <v>0</v>
      </c>
      <c r="H94" s="50" t="s">
        <v>584</v>
      </c>
      <c r="I94" s="52">
        <v>2.27</v>
      </c>
      <c r="J94" s="52">
        <v>35.71</v>
      </c>
      <c r="K94" s="51">
        <v>1061.27</v>
      </c>
      <c r="L94" s="51">
        <f t="shared" si="2"/>
        <v>8.6028000000000002</v>
      </c>
      <c r="M94" s="52">
        <v>18.12</v>
      </c>
      <c r="N94" s="50" t="s">
        <v>574</v>
      </c>
      <c r="O94" s="50" t="s">
        <v>647</v>
      </c>
      <c r="P94" s="50" t="s">
        <v>587</v>
      </c>
      <c r="Q94" s="52">
        <v>47.3</v>
      </c>
      <c r="R94" s="50" t="s">
        <v>913</v>
      </c>
      <c r="S94" s="50" t="s">
        <v>666</v>
      </c>
      <c r="T94" s="50" t="s">
        <v>644</v>
      </c>
      <c r="U94" s="50" t="s">
        <v>590</v>
      </c>
      <c r="V94" s="53" t="s">
        <v>266</v>
      </c>
    </row>
    <row r="95" spans="1:22" ht="25.5" customHeight="1" x14ac:dyDescent="0.25">
      <c r="A95" s="50" t="s">
        <v>914</v>
      </c>
      <c r="B95" s="50" t="s">
        <v>915</v>
      </c>
      <c r="C95" s="50" t="s">
        <v>674</v>
      </c>
      <c r="D95" s="50" t="s">
        <v>593</v>
      </c>
      <c r="E95" s="51">
        <v>2453.0100000000002</v>
      </c>
      <c r="F95" s="51">
        <v>1534.12</v>
      </c>
      <c r="G95" s="50">
        <v>0</v>
      </c>
      <c r="H95" s="50" t="s">
        <v>584</v>
      </c>
      <c r="I95" s="52">
        <v>0.42</v>
      </c>
      <c r="J95" s="52">
        <v>39.4</v>
      </c>
      <c r="K95" s="51">
        <v>1551.29</v>
      </c>
      <c r="L95" s="51">
        <f t="shared" si="2"/>
        <v>2.5670999999999999</v>
      </c>
      <c r="M95" s="52">
        <v>14.14</v>
      </c>
      <c r="N95" s="50" t="s">
        <v>608</v>
      </c>
      <c r="O95" s="50" t="s">
        <v>602</v>
      </c>
      <c r="P95" s="50" t="s">
        <v>587</v>
      </c>
      <c r="Q95" s="52">
        <v>55.6</v>
      </c>
      <c r="R95" s="50" t="s">
        <v>916</v>
      </c>
      <c r="S95" s="50" t="s">
        <v>666</v>
      </c>
      <c r="T95" s="50" t="s">
        <v>667</v>
      </c>
      <c r="U95" s="50" t="s">
        <v>590</v>
      </c>
      <c r="V95" s="53" t="s">
        <v>266</v>
      </c>
    </row>
    <row r="96" spans="1:22" ht="25.5" customHeight="1" x14ac:dyDescent="0.25">
      <c r="A96" s="50" t="s">
        <v>917</v>
      </c>
      <c r="B96" s="50" t="s">
        <v>918</v>
      </c>
      <c r="C96" s="50" t="s">
        <v>633</v>
      </c>
      <c r="D96" s="50" t="s">
        <v>593</v>
      </c>
      <c r="E96" s="51">
        <v>670.62</v>
      </c>
      <c r="F96" s="51">
        <v>544.70000000000005</v>
      </c>
      <c r="G96" s="50">
        <v>0</v>
      </c>
      <c r="H96" s="50" t="s">
        <v>584</v>
      </c>
      <c r="I96" s="52">
        <v>2.62</v>
      </c>
      <c r="J96" s="52">
        <v>21.2</v>
      </c>
      <c r="K96" s="51">
        <v>560.5</v>
      </c>
      <c r="L96" s="51">
        <f t="shared" si="2"/>
        <v>3.1132</v>
      </c>
      <c r="M96" s="52">
        <v>13.96</v>
      </c>
      <c r="N96" s="50" t="s">
        <v>601</v>
      </c>
      <c r="O96" s="50" t="s">
        <v>638</v>
      </c>
      <c r="P96" s="50" t="s">
        <v>587</v>
      </c>
      <c r="Q96" s="52">
        <v>68.2</v>
      </c>
      <c r="R96" s="50" t="s">
        <v>919</v>
      </c>
      <c r="S96" s="50" t="s">
        <v>596</v>
      </c>
      <c r="T96" s="50" t="s">
        <v>589</v>
      </c>
      <c r="U96" s="50" t="s">
        <v>590</v>
      </c>
      <c r="V96" s="53" t="s">
        <v>266</v>
      </c>
    </row>
    <row r="97" spans="1:22" ht="15" customHeight="1" x14ac:dyDescent="0.25">
      <c r="A97" s="46" t="s">
        <v>920</v>
      </c>
      <c r="B97" s="46" t="s">
        <v>921</v>
      </c>
      <c r="C97" s="46" t="s">
        <v>633</v>
      </c>
      <c r="D97" s="46" t="s">
        <v>634</v>
      </c>
      <c r="E97" s="47">
        <v>2435.62</v>
      </c>
      <c r="F97" s="47">
        <v>1552.51</v>
      </c>
      <c r="G97" s="46">
        <v>30</v>
      </c>
      <c r="H97" s="46" t="s">
        <v>686</v>
      </c>
      <c r="I97" s="48">
        <v>6.99</v>
      </c>
      <c r="J97" s="48">
        <v>31.67</v>
      </c>
      <c r="K97" s="47">
        <v>1517.48</v>
      </c>
      <c r="L97" s="47">
        <f t="shared" si="2"/>
        <v>33.593000000000004</v>
      </c>
      <c r="M97" s="48">
        <v>15.32</v>
      </c>
      <c r="N97" s="46" t="s">
        <v>664</v>
      </c>
      <c r="O97" s="46" t="s">
        <v>586</v>
      </c>
      <c r="P97" s="46" t="s">
        <v>576</v>
      </c>
      <c r="Q97" s="48">
        <v>97.7</v>
      </c>
      <c r="R97" s="46" t="s">
        <v>922</v>
      </c>
      <c r="S97" s="46" t="s">
        <v>614</v>
      </c>
      <c r="T97" s="46" t="s">
        <v>667</v>
      </c>
      <c r="U97" s="46" t="s">
        <v>579</v>
      </c>
      <c r="V97" s="49" t="s">
        <v>321</v>
      </c>
    </row>
    <row r="98" spans="1:22" ht="25.5" customHeight="1" x14ac:dyDescent="0.25">
      <c r="A98" s="50" t="s">
        <v>923</v>
      </c>
      <c r="B98" s="50" t="s">
        <v>924</v>
      </c>
      <c r="C98" s="50" t="s">
        <v>659</v>
      </c>
      <c r="D98" s="50" t="s">
        <v>583</v>
      </c>
      <c r="E98" s="51">
        <v>246.17</v>
      </c>
      <c r="F98" s="51">
        <v>184.49</v>
      </c>
      <c r="G98" s="50">
        <v>0</v>
      </c>
      <c r="H98" s="50" t="s">
        <v>584</v>
      </c>
      <c r="I98" s="52">
        <v>0.71</v>
      </c>
      <c r="J98" s="52">
        <v>31.1</v>
      </c>
      <c r="K98" s="51">
        <v>186.38</v>
      </c>
      <c r="L98" s="51">
        <f t="shared" si="2"/>
        <v>0.41149999999999998</v>
      </c>
      <c r="M98" s="52">
        <v>18.04</v>
      </c>
      <c r="N98" s="50" t="s">
        <v>574</v>
      </c>
      <c r="O98" s="50" t="s">
        <v>586</v>
      </c>
      <c r="P98" s="50" t="s">
        <v>587</v>
      </c>
      <c r="Q98" s="52">
        <v>97.9</v>
      </c>
      <c r="R98" s="50" t="s">
        <v>925</v>
      </c>
      <c r="S98" s="50" t="s">
        <v>604</v>
      </c>
      <c r="T98" s="50" t="s">
        <v>688</v>
      </c>
      <c r="U98" s="50" t="s">
        <v>590</v>
      </c>
      <c r="V98" s="53" t="s">
        <v>266</v>
      </c>
    </row>
    <row r="99" spans="1:22" ht="15" customHeight="1" x14ac:dyDescent="0.25">
      <c r="A99" s="46" t="s">
        <v>926</v>
      </c>
      <c r="B99" s="46" t="s">
        <v>927</v>
      </c>
      <c r="C99" s="46" t="s">
        <v>582</v>
      </c>
      <c r="D99" s="46" t="s">
        <v>583</v>
      </c>
      <c r="E99" s="47">
        <v>1694.4</v>
      </c>
      <c r="F99" s="47">
        <v>976.35</v>
      </c>
      <c r="G99" s="46">
        <v>24</v>
      </c>
      <c r="H99" s="46" t="s">
        <v>686</v>
      </c>
      <c r="I99" s="48">
        <v>6.4</v>
      </c>
      <c r="J99" s="48">
        <v>48.82</v>
      </c>
      <c r="K99" s="47">
        <v>959.61</v>
      </c>
      <c r="L99" s="47">
        <f t="shared" ref="L99:L130" si="3">ROUND(K99*(I99/100)*(J99/100),4)</f>
        <v>29.982800000000001</v>
      </c>
      <c r="M99" s="48">
        <v>16.97</v>
      </c>
      <c r="N99" s="46" t="s">
        <v>601</v>
      </c>
      <c r="O99" s="46" t="s">
        <v>609</v>
      </c>
      <c r="P99" s="46" t="s">
        <v>576</v>
      </c>
      <c r="Q99" s="48">
        <v>46.8</v>
      </c>
      <c r="R99" s="46" t="s">
        <v>928</v>
      </c>
      <c r="S99" s="46" t="s">
        <v>700</v>
      </c>
      <c r="T99" s="46" t="s">
        <v>688</v>
      </c>
      <c r="U99" s="46" t="s">
        <v>579</v>
      </c>
      <c r="V99" s="49" t="s">
        <v>321</v>
      </c>
    </row>
    <row r="100" spans="1:22" ht="15" customHeight="1" x14ac:dyDescent="0.25">
      <c r="A100" s="46" t="s">
        <v>929</v>
      </c>
      <c r="B100" s="46" t="s">
        <v>930</v>
      </c>
      <c r="C100" s="46" t="s">
        <v>659</v>
      </c>
      <c r="D100" s="46" t="s">
        <v>634</v>
      </c>
      <c r="E100" s="47">
        <v>987.99</v>
      </c>
      <c r="F100" s="47">
        <v>677.49</v>
      </c>
      <c r="G100" s="46">
        <v>52</v>
      </c>
      <c r="H100" s="46" t="s">
        <v>698</v>
      </c>
      <c r="I100" s="48">
        <v>11.15</v>
      </c>
      <c r="J100" s="48">
        <v>39.270000000000003</v>
      </c>
      <c r="K100" s="47">
        <v>684.23</v>
      </c>
      <c r="L100" s="47">
        <f t="shared" si="3"/>
        <v>29.959700000000002</v>
      </c>
      <c r="M100" s="48">
        <v>12.19</v>
      </c>
      <c r="N100" s="46" t="s">
        <v>585</v>
      </c>
      <c r="O100" s="46" t="s">
        <v>653</v>
      </c>
      <c r="P100" s="46" t="s">
        <v>576</v>
      </c>
      <c r="Q100" s="48">
        <v>64.400000000000006</v>
      </c>
      <c r="R100" s="46" t="s">
        <v>931</v>
      </c>
      <c r="S100" s="46" t="s">
        <v>604</v>
      </c>
      <c r="T100" s="46" t="s">
        <v>667</v>
      </c>
      <c r="U100" s="46" t="s">
        <v>579</v>
      </c>
      <c r="V100" s="49" t="s">
        <v>321</v>
      </c>
    </row>
    <row r="101" spans="1:22" ht="15" customHeight="1" x14ac:dyDescent="0.25">
      <c r="A101" s="46" t="s">
        <v>932</v>
      </c>
      <c r="B101" s="46" t="s">
        <v>933</v>
      </c>
      <c r="C101" s="46" t="s">
        <v>571</v>
      </c>
      <c r="D101" s="46" t="s">
        <v>583</v>
      </c>
      <c r="E101" s="47">
        <v>113.49</v>
      </c>
      <c r="F101" s="47">
        <v>48.4</v>
      </c>
      <c r="G101" s="46">
        <v>30</v>
      </c>
      <c r="H101" s="46" t="s">
        <v>686</v>
      </c>
      <c r="I101" s="48">
        <v>5.81</v>
      </c>
      <c r="J101" s="48">
        <v>31.54</v>
      </c>
      <c r="K101" s="47">
        <v>48.08</v>
      </c>
      <c r="L101" s="47">
        <f t="shared" si="3"/>
        <v>0.88109999999999999</v>
      </c>
      <c r="M101" s="48">
        <v>15.52</v>
      </c>
      <c r="N101" s="46" t="s">
        <v>617</v>
      </c>
      <c r="O101" s="46" t="s">
        <v>638</v>
      </c>
      <c r="P101" s="46" t="s">
        <v>576</v>
      </c>
      <c r="Q101" s="48">
        <v>81.8</v>
      </c>
      <c r="R101" s="46" t="s">
        <v>934</v>
      </c>
      <c r="S101" s="46" t="s">
        <v>700</v>
      </c>
      <c r="T101" s="46" t="s">
        <v>630</v>
      </c>
      <c r="U101" s="46" t="s">
        <v>579</v>
      </c>
      <c r="V101" s="49" t="s">
        <v>321</v>
      </c>
    </row>
    <row r="102" spans="1:22" ht="15" customHeight="1" x14ac:dyDescent="0.25">
      <c r="A102" s="50" t="s">
        <v>935</v>
      </c>
      <c r="B102" s="50" t="s">
        <v>936</v>
      </c>
      <c r="C102" s="50" t="s">
        <v>674</v>
      </c>
      <c r="D102" s="50" t="s">
        <v>583</v>
      </c>
      <c r="E102" s="51">
        <v>1157.5</v>
      </c>
      <c r="F102" s="51">
        <v>1054.5999999999999</v>
      </c>
      <c r="G102" s="50">
        <v>0</v>
      </c>
      <c r="H102" s="50" t="s">
        <v>584</v>
      </c>
      <c r="I102" s="52">
        <v>2.48</v>
      </c>
      <c r="J102" s="52">
        <v>44.19</v>
      </c>
      <c r="K102" s="51">
        <v>1116.5999999999999</v>
      </c>
      <c r="L102" s="51">
        <f t="shared" si="3"/>
        <v>12.237</v>
      </c>
      <c r="M102" s="52">
        <v>17.510000000000002</v>
      </c>
      <c r="N102" s="50" t="s">
        <v>594</v>
      </c>
      <c r="O102" s="50" t="s">
        <v>716</v>
      </c>
      <c r="P102" s="50" t="s">
        <v>587</v>
      </c>
      <c r="Q102" s="52">
        <v>74.099999999999994</v>
      </c>
      <c r="R102" s="50" t="s">
        <v>937</v>
      </c>
      <c r="S102" s="50" t="s">
        <v>840</v>
      </c>
      <c r="T102" s="50" t="s">
        <v>667</v>
      </c>
      <c r="U102" s="50" t="s">
        <v>590</v>
      </c>
      <c r="V102" s="53" t="s">
        <v>266</v>
      </c>
    </row>
    <row r="103" spans="1:22" ht="15" customHeight="1" x14ac:dyDescent="0.25">
      <c r="A103" s="50" t="s">
        <v>938</v>
      </c>
      <c r="B103" s="50" t="s">
        <v>939</v>
      </c>
      <c r="C103" s="50" t="s">
        <v>674</v>
      </c>
      <c r="D103" s="50" t="s">
        <v>626</v>
      </c>
      <c r="E103" s="51">
        <v>1994.56</v>
      </c>
      <c r="F103" s="51">
        <v>1288.3900000000001</v>
      </c>
      <c r="G103" s="50">
        <v>0</v>
      </c>
      <c r="H103" s="50" t="s">
        <v>584</v>
      </c>
      <c r="I103" s="52">
        <v>2.4300000000000002</v>
      </c>
      <c r="J103" s="52">
        <v>25.92</v>
      </c>
      <c r="K103" s="51">
        <v>1307.02</v>
      </c>
      <c r="L103" s="51">
        <f t="shared" si="3"/>
        <v>8.2323000000000004</v>
      </c>
      <c r="M103" s="52">
        <v>14.75</v>
      </c>
      <c r="N103" s="50" t="s">
        <v>617</v>
      </c>
      <c r="O103" s="50" t="s">
        <v>638</v>
      </c>
      <c r="P103" s="50" t="s">
        <v>587</v>
      </c>
      <c r="Q103" s="52">
        <v>69.8</v>
      </c>
      <c r="R103" s="50" t="s">
        <v>648</v>
      </c>
      <c r="S103" s="50" t="s">
        <v>713</v>
      </c>
      <c r="T103" s="50" t="s">
        <v>621</v>
      </c>
      <c r="U103" s="50" t="s">
        <v>590</v>
      </c>
      <c r="V103" s="53" t="s">
        <v>266</v>
      </c>
    </row>
    <row r="104" spans="1:22" ht="25.5" customHeight="1" x14ac:dyDescent="0.25">
      <c r="A104" s="54" t="s">
        <v>940</v>
      </c>
      <c r="B104" s="54" t="s">
        <v>941</v>
      </c>
      <c r="C104" s="54" t="s">
        <v>600</v>
      </c>
      <c r="D104" s="54" t="s">
        <v>583</v>
      </c>
      <c r="E104" s="55">
        <v>807.76</v>
      </c>
      <c r="F104" s="55">
        <v>791.38</v>
      </c>
      <c r="G104" s="54">
        <v>158</v>
      </c>
      <c r="H104" s="54" t="s">
        <v>616</v>
      </c>
      <c r="I104" s="56">
        <v>35.270000000000003</v>
      </c>
      <c r="J104" s="56">
        <v>50.24</v>
      </c>
      <c r="K104" s="55">
        <v>808.59</v>
      </c>
      <c r="L104" s="55">
        <f t="shared" si="3"/>
        <v>143.27930000000001</v>
      </c>
      <c r="M104" s="56">
        <v>12.63</v>
      </c>
      <c r="N104" s="54" t="s">
        <v>574</v>
      </c>
      <c r="O104" s="54" t="s">
        <v>618</v>
      </c>
      <c r="P104" s="54" t="s">
        <v>576</v>
      </c>
      <c r="Q104" s="56">
        <v>68.8</v>
      </c>
      <c r="R104" s="54" t="s">
        <v>942</v>
      </c>
      <c r="S104" s="54" t="s">
        <v>614</v>
      </c>
      <c r="T104" s="54" t="s">
        <v>597</v>
      </c>
      <c r="U104" s="54" t="s">
        <v>622</v>
      </c>
      <c r="V104" s="57" t="s">
        <v>495</v>
      </c>
    </row>
    <row r="105" spans="1:22" ht="25.5" customHeight="1" x14ac:dyDescent="0.25">
      <c r="A105" s="46" t="s">
        <v>943</v>
      </c>
      <c r="B105" s="46" t="s">
        <v>944</v>
      </c>
      <c r="C105" s="46" t="s">
        <v>674</v>
      </c>
      <c r="D105" s="46" t="s">
        <v>626</v>
      </c>
      <c r="E105" s="47">
        <v>1931.07</v>
      </c>
      <c r="F105" s="47">
        <v>748.76</v>
      </c>
      <c r="G105" s="46">
        <v>28</v>
      </c>
      <c r="H105" s="46" t="s">
        <v>686</v>
      </c>
      <c r="I105" s="48">
        <v>3.28</v>
      </c>
      <c r="J105" s="48">
        <v>28.1</v>
      </c>
      <c r="K105" s="47">
        <v>736.61</v>
      </c>
      <c r="L105" s="47">
        <f t="shared" si="3"/>
        <v>6.7892000000000001</v>
      </c>
      <c r="M105" s="48">
        <v>12.98</v>
      </c>
      <c r="N105" s="46" t="s">
        <v>574</v>
      </c>
      <c r="O105" s="46" t="s">
        <v>575</v>
      </c>
      <c r="P105" s="46" t="s">
        <v>576</v>
      </c>
      <c r="Q105" s="48">
        <v>56.9</v>
      </c>
      <c r="R105" s="46" t="s">
        <v>945</v>
      </c>
      <c r="S105" s="46" t="s">
        <v>840</v>
      </c>
      <c r="T105" s="46" t="s">
        <v>667</v>
      </c>
      <c r="U105" s="46" t="s">
        <v>579</v>
      </c>
      <c r="V105" s="49" t="s">
        <v>321</v>
      </c>
    </row>
    <row r="106" spans="1:22" ht="25.5" customHeight="1" x14ac:dyDescent="0.25">
      <c r="A106" s="50" t="s">
        <v>946</v>
      </c>
      <c r="B106" s="50" t="s">
        <v>947</v>
      </c>
      <c r="C106" s="50" t="s">
        <v>600</v>
      </c>
      <c r="D106" s="50" t="s">
        <v>642</v>
      </c>
      <c r="E106" s="51">
        <v>530.94000000000005</v>
      </c>
      <c r="F106" s="51">
        <v>504.56</v>
      </c>
      <c r="G106" s="50">
        <v>0</v>
      </c>
      <c r="H106" s="50" t="s">
        <v>584</v>
      </c>
      <c r="I106" s="52">
        <v>1.94</v>
      </c>
      <c r="J106" s="52">
        <v>22.34</v>
      </c>
      <c r="K106" s="51">
        <v>518.53</v>
      </c>
      <c r="L106" s="51">
        <f t="shared" si="3"/>
        <v>2.2473000000000001</v>
      </c>
      <c r="M106" s="52">
        <v>16.829999999999998</v>
      </c>
      <c r="N106" s="50" t="s">
        <v>617</v>
      </c>
      <c r="O106" s="50" t="s">
        <v>647</v>
      </c>
      <c r="P106" s="50" t="s">
        <v>587</v>
      </c>
      <c r="Q106" s="52">
        <v>54.1</v>
      </c>
      <c r="R106" s="50" t="s">
        <v>948</v>
      </c>
      <c r="S106" s="50" t="s">
        <v>596</v>
      </c>
      <c r="T106" s="50" t="s">
        <v>621</v>
      </c>
      <c r="U106" s="50" t="s">
        <v>590</v>
      </c>
      <c r="V106" s="53" t="s">
        <v>266</v>
      </c>
    </row>
    <row r="107" spans="1:22" ht="25.5" customHeight="1" x14ac:dyDescent="0.25">
      <c r="A107" s="50" t="s">
        <v>949</v>
      </c>
      <c r="B107" s="50" t="s">
        <v>950</v>
      </c>
      <c r="C107" s="50" t="s">
        <v>659</v>
      </c>
      <c r="D107" s="50" t="s">
        <v>720</v>
      </c>
      <c r="E107" s="51">
        <v>2071.83</v>
      </c>
      <c r="F107" s="51">
        <v>661.52</v>
      </c>
      <c r="G107" s="50">
        <v>0</v>
      </c>
      <c r="H107" s="50" t="s">
        <v>584</v>
      </c>
      <c r="I107" s="52">
        <v>2.04</v>
      </c>
      <c r="J107" s="52">
        <v>39.17</v>
      </c>
      <c r="K107" s="51">
        <v>666.48</v>
      </c>
      <c r="L107" s="51">
        <f t="shared" si="3"/>
        <v>5.3255999999999997</v>
      </c>
      <c r="M107" s="52">
        <v>17.25</v>
      </c>
      <c r="N107" s="50" t="s">
        <v>664</v>
      </c>
      <c r="O107" s="50" t="s">
        <v>575</v>
      </c>
      <c r="P107" s="50" t="s">
        <v>587</v>
      </c>
      <c r="Q107" s="52">
        <v>73.900000000000006</v>
      </c>
      <c r="R107" s="50" t="s">
        <v>951</v>
      </c>
      <c r="S107" s="50" t="s">
        <v>680</v>
      </c>
      <c r="T107" s="50" t="s">
        <v>589</v>
      </c>
      <c r="U107" s="50" t="s">
        <v>590</v>
      </c>
      <c r="V107" s="53" t="s">
        <v>266</v>
      </c>
    </row>
    <row r="108" spans="1:22" ht="15" customHeight="1" x14ac:dyDescent="0.25">
      <c r="A108" s="50" t="s">
        <v>952</v>
      </c>
      <c r="B108" s="50" t="s">
        <v>953</v>
      </c>
      <c r="C108" s="50" t="s">
        <v>571</v>
      </c>
      <c r="D108" s="50" t="s">
        <v>615</v>
      </c>
      <c r="E108" s="51">
        <v>778.71</v>
      </c>
      <c r="F108" s="51">
        <v>272.25</v>
      </c>
      <c r="G108" s="50">
        <v>0</v>
      </c>
      <c r="H108" s="50" t="s">
        <v>584</v>
      </c>
      <c r="I108" s="52">
        <v>1.39</v>
      </c>
      <c r="J108" s="52">
        <v>31.61</v>
      </c>
      <c r="K108" s="51">
        <v>272.42</v>
      </c>
      <c r="L108" s="51">
        <f t="shared" si="3"/>
        <v>1.1970000000000001</v>
      </c>
      <c r="M108" s="52">
        <v>12.79</v>
      </c>
      <c r="N108" s="50" t="s">
        <v>601</v>
      </c>
      <c r="O108" s="50" t="s">
        <v>575</v>
      </c>
      <c r="P108" s="50" t="s">
        <v>587</v>
      </c>
      <c r="Q108" s="52">
        <v>61.9</v>
      </c>
      <c r="R108" s="50" t="s">
        <v>954</v>
      </c>
      <c r="S108" s="50" t="s">
        <v>691</v>
      </c>
      <c r="T108" s="50" t="s">
        <v>661</v>
      </c>
      <c r="U108" s="50" t="s">
        <v>590</v>
      </c>
      <c r="V108" s="53" t="s">
        <v>266</v>
      </c>
    </row>
    <row r="109" spans="1:22" ht="25.5" customHeight="1" x14ac:dyDescent="0.25">
      <c r="A109" s="50" t="s">
        <v>955</v>
      </c>
      <c r="B109" s="50" t="s">
        <v>956</v>
      </c>
      <c r="C109" s="50" t="s">
        <v>659</v>
      </c>
      <c r="D109" s="50" t="s">
        <v>583</v>
      </c>
      <c r="E109" s="51">
        <v>831.83</v>
      </c>
      <c r="F109" s="51">
        <v>513.41</v>
      </c>
      <c r="G109" s="50">
        <v>0</v>
      </c>
      <c r="H109" s="50" t="s">
        <v>584</v>
      </c>
      <c r="I109" s="52">
        <v>0.64</v>
      </c>
      <c r="J109" s="52">
        <v>21.27</v>
      </c>
      <c r="K109" s="51">
        <v>541.69000000000005</v>
      </c>
      <c r="L109" s="51">
        <f t="shared" si="3"/>
        <v>0.73740000000000006</v>
      </c>
      <c r="M109" s="52">
        <v>19.28</v>
      </c>
      <c r="N109" s="50" t="s">
        <v>664</v>
      </c>
      <c r="O109" s="50" t="s">
        <v>647</v>
      </c>
      <c r="P109" s="50" t="s">
        <v>587</v>
      </c>
      <c r="Q109" s="52">
        <v>96</v>
      </c>
      <c r="R109" s="50" t="s">
        <v>957</v>
      </c>
      <c r="S109" s="50" t="s">
        <v>655</v>
      </c>
      <c r="T109" s="50" t="s">
        <v>597</v>
      </c>
      <c r="U109" s="50" t="s">
        <v>590</v>
      </c>
      <c r="V109" s="53" t="s">
        <v>266</v>
      </c>
    </row>
    <row r="110" spans="1:22" ht="15" customHeight="1" x14ac:dyDescent="0.25">
      <c r="A110" s="46" t="s">
        <v>958</v>
      </c>
      <c r="B110" s="46" t="s">
        <v>959</v>
      </c>
      <c r="C110" s="46" t="s">
        <v>659</v>
      </c>
      <c r="D110" s="46" t="s">
        <v>572</v>
      </c>
      <c r="E110" s="47">
        <v>1919.65</v>
      </c>
      <c r="F110" s="47">
        <v>1226.31</v>
      </c>
      <c r="G110" s="46">
        <v>16</v>
      </c>
      <c r="H110" s="46" t="s">
        <v>686</v>
      </c>
      <c r="I110" s="48">
        <v>7.4</v>
      </c>
      <c r="J110" s="48">
        <v>37.43</v>
      </c>
      <c r="K110" s="47">
        <v>1199.46</v>
      </c>
      <c r="L110" s="47">
        <f t="shared" si="3"/>
        <v>33.222900000000003</v>
      </c>
      <c r="M110" s="48">
        <v>15.04</v>
      </c>
      <c r="N110" s="46" t="s">
        <v>664</v>
      </c>
      <c r="O110" s="46" t="s">
        <v>647</v>
      </c>
      <c r="P110" s="46" t="s">
        <v>576</v>
      </c>
      <c r="Q110" s="48">
        <v>56.4</v>
      </c>
      <c r="R110" s="46" t="s">
        <v>960</v>
      </c>
      <c r="S110" s="46" t="s">
        <v>620</v>
      </c>
      <c r="T110" s="46" t="s">
        <v>656</v>
      </c>
      <c r="U110" s="46" t="s">
        <v>579</v>
      </c>
      <c r="V110" s="49" t="s">
        <v>321</v>
      </c>
    </row>
    <row r="111" spans="1:22" ht="15" customHeight="1" x14ac:dyDescent="0.25">
      <c r="A111" s="46" t="s">
        <v>961</v>
      </c>
      <c r="B111" s="46" t="s">
        <v>962</v>
      </c>
      <c r="C111" s="46" t="s">
        <v>614</v>
      </c>
      <c r="D111" s="46" t="s">
        <v>593</v>
      </c>
      <c r="E111" s="47">
        <v>1513.92</v>
      </c>
      <c r="F111" s="47">
        <v>1321.86</v>
      </c>
      <c r="G111" s="46">
        <v>70</v>
      </c>
      <c r="H111" s="46" t="s">
        <v>573</v>
      </c>
      <c r="I111" s="48">
        <v>20.37</v>
      </c>
      <c r="J111" s="48">
        <v>56.18</v>
      </c>
      <c r="K111" s="47">
        <v>1333.47</v>
      </c>
      <c r="L111" s="47">
        <f t="shared" si="3"/>
        <v>152.60050000000001</v>
      </c>
      <c r="M111" s="48">
        <v>19.440000000000001</v>
      </c>
      <c r="N111" s="46" t="s">
        <v>594</v>
      </c>
      <c r="O111" s="46" t="s">
        <v>618</v>
      </c>
      <c r="P111" s="46" t="s">
        <v>576</v>
      </c>
      <c r="Q111" s="48">
        <v>85.5</v>
      </c>
      <c r="R111" s="46" t="s">
        <v>963</v>
      </c>
      <c r="S111" s="46" t="s">
        <v>620</v>
      </c>
      <c r="T111" s="46" t="s">
        <v>649</v>
      </c>
      <c r="U111" s="46" t="s">
        <v>579</v>
      </c>
      <c r="V111" s="49" t="s">
        <v>321</v>
      </c>
    </row>
    <row r="112" spans="1:22" ht="15" customHeight="1" x14ac:dyDescent="0.25">
      <c r="A112" s="50" t="s">
        <v>964</v>
      </c>
      <c r="B112" s="50" t="s">
        <v>965</v>
      </c>
      <c r="C112" s="50" t="s">
        <v>582</v>
      </c>
      <c r="D112" s="50" t="s">
        <v>572</v>
      </c>
      <c r="E112" s="51">
        <v>938.18</v>
      </c>
      <c r="F112" s="51">
        <v>465.57</v>
      </c>
      <c r="G112" s="50">
        <v>0</v>
      </c>
      <c r="H112" s="50" t="s">
        <v>584</v>
      </c>
      <c r="I112" s="52">
        <v>2.35</v>
      </c>
      <c r="J112" s="52">
        <v>26.99</v>
      </c>
      <c r="K112" s="51">
        <v>493.05</v>
      </c>
      <c r="L112" s="51">
        <f t="shared" si="3"/>
        <v>3.1272000000000002</v>
      </c>
      <c r="M112" s="52">
        <v>17.62</v>
      </c>
      <c r="N112" s="50" t="s">
        <v>608</v>
      </c>
      <c r="O112" s="50" t="s">
        <v>647</v>
      </c>
      <c r="P112" s="50" t="s">
        <v>587</v>
      </c>
      <c r="Q112" s="52">
        <v>96.7</v>
      </c>
      <c r="R112" s="50" t="s">
        <v>966</v>
      </c>
      <c r="S112" s="50" t="s">
        <v>666</v>
      </c>
      <c r="T112" s="50" t="s">
        <v>688</v>
      </c>
      <c r="U112" s="50" t="s">
        <v>590</v>
      </c>
      <c r="V112" s="53" t="s">
        <v>266</v>
      </c>
    </row>
    <row r="113" spans="1:22" ht="15" customHeight="1" x14ac:dyDescent="0.25">
      <c r="A113" s="46" t="s">
        <v>967</v>
      </c>
      <c r="B113" s="46" t="s">
        <v>968</v>
      </c>
      <c r="C113" s="46" t="s">
        <v>659</v>
      </c>
      <c r="D113" s="46" t="s">
        <v>634</v>
      </c>
      <c r="E113" s="47">
        <v>1899.66</v>
      </c>
      <c r="F113" s="47">
        <v>827.03</v>
      </c>
      <c r="G113" s="46">
        <v>17</v>
      </c>
      <c r="H113" s="46" t="s">
        <v>686</v>
      </c>
      <c r="I113" s="48">
        <v>3.2</v>
      </c>
      <c r="J113" s="48">
        <v>25.97</v>
      </c>
      <c r="K113" s="47">
        <v>855.33</v>
      </c>
      <c r="L113" s="47">
        <f t="shared" si="3"/>
        <v>7.1081000000000003</v>
      </c>
      <c r="M113" s="48">
        <v>18.739999999999998</v>
      </c>
      <c r="N113" s="46" t="s">
        <v>617</v>
      </c>
      <c r="O113" s="46" t="s">
        <v>609</v>
      </c>
      <c r="P113" s="46" t="s">
        <v>576</v>
      </c>
      <c r="Q113" s="48">
        <v>52.9</v>
      </c>
      <c r="R113" s="46" t="s">
        <v>969</v>
      </c>
      <c r="S113" s="46" t="s">
        <v>713</v>
      </c>
      <c r="T113" s="46" t="s">
        <v>597</v>
      </c>
      <c r="U113" s="46" t="s">
        <v>579</v>
      </c>
      <c r="V113" s="49" t="s">
        <v>321</v>
      </c>
    </row>
    <row r="114" spans="1:22" ht="25.5" customHeight="1" x14ac:dyDescent="0.25">
      <c r="A114" s="54" t="s">
        <v>970</v>
      </c>
      <c r="B114" s="54" t="s">
        <v>971</v>
      </c>
      <c r="C114" s="54" t="s">
        <v>659</v>
      </c>
      <c r="D114" s="54" t="s">
        <v>626</v>
      </c>
      <c r="E114" s="55">
        <v>1012.74</v>
      </c>
      <c r="F114" s="55">
        <v>728.38</v>
      </c>
      <c r="G114" s="54">
        <v>332</v>
      </c>
      <c r="H114" s="54" t="s">
        <v>627</v>
      </c>
      <c r="I114" s="56">
        <v>50.09</v>
      </c>
      <c r="J114" s="56">
        <v>65.709999999999994</v>
      </c>
      <c r="K114" s="55">
        <v>741.43</v>
      </c>
      <c r="L114" s="55">
        <f t="shared" si="3"/>
        <v>244.03530000000001</v>
      </c>
      <c r="M114" s="56">
        <v>17.88</v>
      </c>
      <c r="N114" s="54" t="s">
        <v>574</v>
      </c>
      <c r="O114" s="54" t="s">
        <v>678</v>
      </c>
      <c r="P114" s="54" t="s">
        <v>576</v>
      </c>
      <c r="Q114" s="56">
        <v>88.2</v>
      </c>
      <c r="R114" s="54" t="s">
        <v>872</v>
      </c>
      <c r="S114" s="54" t="s">
        <v>666</v>
      </c>
      <c r="T114" s="54" t="s">
        <v>644</v>
      </c>
      <c r="U114" s="54" t="s">
        <v>622</v>
      </c>
      <c r="V114" s="57" t="s">
        <v>495</v>
      </c>
    </row>
    <row r="115" spans="1:22" ht="15" customHeight="1" x14ac:dyDescent="0.25">
      <c r="A115" s="54" t="s">
        <v>972</v>
      </c>
      <c r="B115" s="54" t="s">
        <v>973</v>
      </c>
      <c r="C115" s="54" t="s">
        <v>600</v>
      </c>
      <c r="D115" s="54" t="s">
        <v>615</v>
      </c>
      <c r="E115" s="55">
        <v>1480.07</v>
      </c>
      <c r="F115" s="55">
        <v>1245.9100000000001</v>
      </c>
      <c r="G115" s="54">
        <v>179</v>
      </c>
      <c r="H115" s="54" t="s">
        <v>616</v>
      </c>
      <c r="I115" s="56">
        <v>40.729999999999997</v>
      </c>
      <c r="J115" s="56">
        <v>54.92</v>
      </c>
      <c r="K115" s="55">
        <v>1238.31</v>
      </c>
      <c r="L115" s="55">
        <f t="shared" si="3"/>
        <v>276.99650000000003</v>
      </c>
      <c r="M115" s="56">
        <v>17.399999999999999</v>
      </c>
      <c r="N115" s="54" t="s">
        <v>601</v>
      </c>
      <c r="O115" s="54" t="s">
        <v>628</v>
      </c>
      <c r="P115" s="54" t="s">
        <v>576</v>
      </c>
      <c r="Q115" s="56">
        <v>83.2</v>
      </c>
      <c r="R115" s="54" t="s">
        <v>974</v>
      </c>
      <c r="S115" s="54" t="s">
        <v>695</v>
      </c>
      <c r="T115" s="54" t="s">
        <v>661</v>
      </c>
      <c r="U115" s="54" t="s">
        <v>622</v>
      </c>
      <c r="V115" s="57" t="s">
        <v>495</v>
      </c>
    </row>
    <row r="116" spans="1:22" ht="15" customHeight="1" x14ac:dyDescent="0.25">
      <c r="A116" s="46" t="s">
        <v>975</v>
      </c>
      <c r="B116" s="46" t="s">
        <v>976</v>
      </c>
      <c r="C116" s="46" t="s">
        <v>633</v>
      </c>
      <c r="D116" s="46" t="s">
        <v>626</v>
      </c>
      <c r="E116" s="47">
        <v>2063.0700000000002</v>
      </c>
      <c r="F116" s="47">
        <v>958.7</v>
      </c>
      <c r="G116" s="46">
        <v>53</v>
      </c>
      <c r="H116" s="46" t="s">
        <v>698</v>
      </c>
      <c r="I116" s="48">
        <v>8.77</v>
      </c>
      <c r="J116" s="48">
        <v>30.47</v>
      </c>
      <c r="K116" s="47">
        <v>957.01</v>
      </c>
      <c r="L116" s="47">
        <f t="shared" si="3"/>
        <v>25.573399999999999</v>
      </c>
      <c r="M116" s="48">
        <v>12.86</v>
      </c>
      <c r="N116" s="46" t="s">
        <v>594</v>
      </c>
      <c r="O116" s="46" t="s">
        <v>602</v>
      </c>
      <c r="P116" s="46" t="s">
        <v>576</v>
      </c>
      <c r="Q116" s="48">
        <v>66.8</v>
      </c>
      <c r="R116" s="46" t="s">
        <v>977</v>
      </c>
      <c r="S116" s="46" t="s">
        <v>571</v>
      </c>
      <c r="T116" s="46" t="s">
        <v>589</v>
      </c>
      <c r="U116" s="46" t="s">
        <v>579</v>
      </c>
      <c r="V116" s="49" t="s">
        <v>321</v>
      </c>
    </row>
    <row r="117" spans="1:22" ht="15" customHeight="1" x14ac:dyDescent="0.25">
      <c r="A117" s="54" t="s">
        <v>978</v>
      </c>
      <c r="B117" s="54" t="s">
        <v>979</v>
      </c>
      <c r="C117" s="54" t="s">
        <v>582</v>
      </c>
      <c r="D117" s="54" t="s">
        <v>626</v>
      </c>
      <c r="E117" s="55">
        <v>1320.77</v>
      </c>
      <c r="F117" s="55">
        <v>899.98</v>
      </c>
      <c r="G117" s="54">
        <v>975</v>
      </c>
      <c r="H117" s="54" t="s">
        <v>730</v>
      </c>
      <c r="I117" s="56">
        <v>89.98</v>
      </c>
      <c r="J117" s="56">
        <v>74.41</v>
      </c>
      <c r="K117" s="55">
        <v>887.01</v>
      </c>
      <c r="L117" s="55">
        <f t="shared" si="3"/>
        <v>593.88969999999995</v>
      </c>
      <c r="M117" s="56">
        <v>19.71</v>
      </c>
      <c r="N117" s="54" t="s">
        <v>574</v>
      </c>
      <c r="O117" s="54" t="s">
        <v>653</v>
      </c>
      <c r="P117" s="54" t="s">
        <v>576</v>
      </c>
      <c r="Q117" s="56">
        <v>80.8</v>
      </c>
      <c r="R117" s="54" t="s">
        <v>980</v>
      </c>
      <c r="S117" s="54" t="s">
        <v>604</v>
      </c>
      <c r="T117" s="54" t="s">
        <v>644</v>
      </c>
      <c r="U117" s="54" t="s">
        <v>622</v>
      </c>
      <c r="V117" s="57" t="s">
        <v>495</v>
      </c>
    </row>
    <row r="118" spans="1:22" ht="15" customHeight="1" x14ac:dyDescent="0.25">
      <c r="A118" s="46" t="s">
        <v>981</v>
      </c>
      <c r="B118" s="46" t="s">
        <v>982</v>
      </c>
      <c r="C118" s="46" t="s">
        <v>614</v>
      </c>
      <c r="D118" s="46" t="s">
        <v>593</v>
      </c>
      <c r="E118" s="47">
        <v>521.04999999999995</v>
      </c>
      <c r="F118" s="47">
        <v>243.66</v>
      </c>
      <c r="G118" s="46">
        <v>38</v>
      </c>
      <c r="H118" s="46" t="s">
        <v>698</v>
      </c>
      <c r="I118" s="48">
        <v>14.59</v>
      </c>
      <c r="J118" s="48">
        <v>54.56</v>
      </c>
      <c r="K118" s="47">
        <v>253.26</v>
      </c>
      <c r="L118" s="47">
        <f t="shared" si="3"/>
        <v>20.160299999999999</v>
      </c>
      <c r="M118" s="48">
        <v>17.84</v>
      </c>
      <c r="N118" s="46" t="s">
        <v>594</v>
      </c>
      <c r="O118" s="46" t="s">
        <v>628</v>
      </c>
      <c r="P118" s="46" t="s">
        <v>576</v>
      </c>
      <c r="Q118" s="48">
        <v>61.8</v>
      </c>
      <c r="R118" s="46" t="s">
        <v>983</v>
      </c>
      <c r="S118" s="46" t="s">
        <v>614</v>
      </c>
      <c r="T118" s="46" t="s">
        <v>688</v>
      </c>
      <c r="U118" s="46" t="s">
        <v>579</v>
      </c>
      <c r="V118" s="49" t="s">
        <v>321</v>
      </c>
    </row>
    <row r="119" spans="1:22" ht="15" customHeight="1" x14ac:dyDescent="0.25">
      <c r="A119" s="50" t="s">
        <v>984</v>
      </c>
      <c r="B119" s="50" t="s">
        <v>985</v>
      </c>
      <c r="C119" s="50" t="s">
        <v>614</v>
      </c>
      <c r="D119" s="50" t="s">
        <v>642</v>
      </c>
      <c r="E119" s="51">
        <v>348.59</v>
      </c>
      <c r="F119" s="51">
        <v>264.95999999999998</v>
      </c>
      <c r="G119" s="50">
        <v>0</v>
      </c>
      <c r="H119" s="50" t="s">
        <v>584</v>
      </c>
      <c r="I119" s="52">
        <v>2.5</v>
      </c>
      <c r="J119" s="52">
        <v>43.87</v>
      </c>
      <c r="K119" s="51">
        <v>276.2</v>
      </c>
      <c r="L119" s="51">
        <f t="shared" si="3"/>
        <v>3.0291999999999999</v>
      </c>
      <c r="M119" s="52">
        <v>14.11</v>
      </c>
      <c r="N119" s="50" t="s">
        <v>574</v>
      </c>
      <c r="O119" s="50" t="s">
        <v>575</v>
      </c>
      <c r="P119" s="50" t="s">
        <v>587</v>
      </c>
      <c r="Q119" s="52">
        <v>49.2</v>
      </c>
      <c r="R119" s="50" t="s">
        <v>986</v>
      </c>
      <c r="S119" s="50" t="s">
        <v>604</v>
      </c>
      <c r="T119" s="50" t="s">
        <v>667</v>
      </c>
      <c r="U119" s="50" t="s">
        <v>590</v>
      </c>
      <c r="V119" s="53" t="s">
        <v>266</v>
      </c>
    </row>
    <row r="120" spans="1:22" ht="15" customHeight="1" x14ac:dyDescent="0.25">
      <c r="A120" s="54" t="s">
        <v>987</v>
      </c>
      <c r="B120" s="54" t="s">
        <v>988</v>
      </c>
      <c r="C120" s="54" t="s">
        <v>625</v>
      </c>
      <c r="D120" s="54" t="s">
        <v>572</v>
      </c>
      <c r="E120" s="55">
        <v>545.07000000000005</v>
      </c>
      <c r="F120" s="55">
        <v>363.14</v>
      </c>
      <c r="G120" s="54">
        <v>722</v>
      </c>
      <c r="H120" s="54" t="s">
        <v>652</v>
      </c>
      <c r="I120" s="56">
        <v>66.790000000000006</v>
      </c>
      <c r="J120" s="56">
        <v>57.73</v>
      </c>
      <c r="K120" s="55">
        <v>376.46</v>
      </c>
      <c r="L120" s="55">
        <f t="shared" si="3"/>
        <v>145.1549</v>
      </c>
      <c r="M120" s="56">
        <v>13.65</v>
      </c>
      <c r="N120" s="54" t="s">
        <v>608</v>
      </c>
      <c r="O120" s="54" t="s">
        <v>628</v>
      </c>
      <c r="P120" s="54" t="s">
        <v>576</v>
      </c>
      <c r="Q120" s="56">
        <v>78.8</v>
      </c>
      <c r="R120" s="54" t="s">
        <v>717</v>
      </c>
      <c r="S120" s="54" t="s">
        <v>671</v>
      </c>
      <c r="T120" s="54" t="s">
        <v>649</v>
      </c>
      <c r="U120" s="54" t="s">
        <v>622</v>
      </c>
      <c r="V120" s="57" t="s">
        <v>495</v>
      </c>
    </row>
    <row r="121" spans="1:22" ht="25.5" customHeight="1" x14ac:dyDescent="0.25">
      <c r="A121" s="50" t="s">
        <v>989</v>
      </c>
      <c r="B121" s="50" t="s">
        <v>990</v>
      </c>
      <c r="C121" s="50" t="s">
        <v>659</v>
      </c>
      <c r="D121" s="50" t="s">
        <v>593</v>
      </c>
      <c r="E121" s="51">
        <v>296.33999999999997</v>
      </c>
      <c r="F121" s="51">
        <v>244.22</v>
      </c>
      <c r="G121" s="50">
        <v>0</v>
      </c>
      <c r="H121" s="50" t="s">
        <v>584</v>
      </c>
      <c r="I121" s="52">
        <v>1.37</v>
      </c>
      <c r="J121" s="52">
        <v>43.38</v>
      </c>
      <c r="K121" s="51">
        <v>256.2</v>
      </c>
      <c r="L121" s="51">
        <f t="shared" si="3"/>
        <v>1.5226</v>
      </c>
      <c r="M121" s="52">
        <v>15.8</v>
      </c>
      <c r="N121" s="50" t="s">
        <v>585</v>
      </c>
      <c r="O121" s="50" t="s">
        <v>602</v>
      </c>
      <c r="P121" s="50" t="s">
        <v>587</v>
      </c>
      <c r="Q121" s="52">
        <v>96.1</v>
      </c>
      <c r="R121" s="50" t="s">
        <v>991</v>
      </c>
      <c r="S121" s="50" t="s">
        <v>680</v>
      </c>
      <c r="T121" s="50" t="s">
        <v>644</v>
      </c>
      <c r="U121" s="50" t="s">
        <v>590</v>
      </c>
      <c r="V121" s="53" t="s">
        <v>266</v>
      </c>
    </row>
    <row r="122" spans="1:22" ht="25.5" customHeight="1" x14ac:dyDescent="0.25">
      <c r="A122" s="54" t="s">
        <v>992</v>
      </c>
      <c r="B122" s="54" t="s">
        <v>993</v>
      </c>
      <c r="C122" s="54" t="s">
        <v>582</v>
      </c>
      <c r="D122" s="54" t="s">
        <v>583</v>
      </c>
      <c r="E122" s="55">
        <v>1648.13</v>
      </c>
      <c r="F122" s="55">
        <v>754.69</v>
      </c>
      <c r="G122" s="54">
        <v>95</v>
      </c>
      <c r="H122" s="54" t="s">
        <v>616</v>
      </c>
      <c r="I122" s="56">
        <v>47.83</v>
      </c>
      <c r="J122" s="56">
        <v>44.38</v>
      </c>
      <c r="K122" s="55">
        <v>791.97</v>
      </c>
      <c r="L122" s="55">
        <f t="shared" si="3"/>
        <v>168.11109999999999</v>
      </c>
      <c r="M122" s="56">
        <v>13.08</v>
      </c>
      <c r="N122" s="54" t="s">
        <v>608</v>
      </c>
      <c r="O122" s="54" t="s">
        <v>678</v>
      </c>
      <c r="P122" s="54" t="s">
        <v>576</v>
      </c>
      <c r="Q122" s="56">
        <v>86.8</v>
      </c>
      <c r="R122" s="54" t="s">
        <v>994</v>
      </c>
      <c r="S122" s="54" t="s">
        <v>840</v>
      </c>
      <c r="T122" s="54" t="s">
        <v>819</v>
      </c>
      <c r="U122" s="54" t="s">
        <v>622</v>
      </c>
      <c r="V122" s="57" t="s">
        <v>495</v>
      </c>
    </row>
    <row r="123" spans="1:22" ht="15" customHeight="1" x14ac:dyDescent="0.25">
      <c r="A123" s="50" t="s">
        <v>995</v>
      </c>
      <c r="B123" s="50" t="s">
        <v>996</v>
      </c>
      <c r="C123" s="50" t="s">
        <v>614</v>
      </c>
      <c r="D123" s="50" t="s">
        <v>720</v>
      </c>
      <c r="E123" s="51">
        <v>72.7</v>
      </c>
      <c r="F123" s="51">
        <v>49.89</v>
      </c>
      <c r="G123" s="50">
        <v>0</v>
      </c>
      <c r="H123" s="50" t="s">
        <v>584</v>
      </c>
      <c r="I123" s="52">
        <v>1.03</v>
      </c>
      <c r="J123" s="52">
        <v>44.73</v>
      </c>
      <c r="K123" s="51">
        <v>50.83</v>
      </c>
      <c r="L123" s="51">
        <f t="shared" si="3"/>
        <v>0.23419999999999999</v>
      </c>
      <c r="M123" s="52">
        <v>15.95</v>
      </c>
      <c r="N123" s="50" t="s">
        <v>585</v>
      </c>
      <c r="O123" s="50" t="s">
        <v>602</v>
      </c>
      <c r="P123" s="50" t="s">
        <v>587</v>
      </c>
      <c r="Q123" s="52">
        <v>71.7</v>
      </c>
      <c r="R123" s="50" t="s">
        <v>997</v>
      </c>
      <c r="S123" s="50" t="s">
        <v>700</v>
      </c>
      <c r="T123" s="50" t="s">
        <v>688</v>
      </c>
      <c r="U123" s="50" t="s">
        <v>590</v>
      </c>
      <c r="V123" s="53" t="s">
        <v>266</v>
      </c>
    </row>
    <row r="124" spans="1:22" ht="25.5" customHeight="1" x14ac:dyDescent="0.25">
      <c r="A124" s="50" t="s">
        <v>998</v>
      </c>
      <c r="B124" s="50" t="s">
        <v>999</v>
      </c>
      <c r="C124" s="50" t="s">
        <v>600</v>
      </c>
      <c r="D124" s="50" t="s">
        <v>634</v>
      </c>
      <c r="E124" s="51">
        <v>448.11</v>
      </c>
      <c r="F124" s="51">
        <v>274.27</v>
      </c>
      <c r="G124" s="50">
        <v>0</v>
      </c>
      <c r="H124" s="50" t="s">
        <v>584</v>
      </c>
      <c r="I124" s="52">
        <v>0.28999999999999998</v>
      </c>
      <c r="J124" s="52">
        <v>28.43</v>
      </c>
      <c r="K124" s="51">
        <v>273.32</v>
      </c>
      <c r="L124" s="51">
        <f t="shared" si="3"/>
        <v>0.2253</v>
      </c>
      <c r="M124" s="52">
        <v>17.57</v>
      </c>
      <c r="N124" s="50" t="s">
        <v>585</v>
      </c>
      <c r="O124" s="50" t="s">
        <v>647</v>
      </c>
      <c r="P124" s="50" t="s">
        <v>587</v>
      </c>
      <c r="Q124" s="52">
        <v>77.400000000000006</v>
      </c>
      <c r="R124" s="50" t="s">
        <v>1000</v>
      </c>
      <c r="S124" s="50" t="s">
        <v>840</v>
      </c>
      <c r="T124" s="50" t="s">
        <v>649</v>
      </c>
      <c r="U124" s="50" t="s">
        <v>590</v>
      </c>
      <c r="V124" s="53" t="s">
        <v>266</v>
      </c>
    </row>
    <row r="125" spans="1:22" ht="15" customHeight="1" x14ac:dyDescent="0.25">
      <c r="A125" s="50" t="s">
        <v>1001</v>
      </c>
      <c r="B125" s="50" t="s">
        <v>1002</v>
      </c>
      <c r="C125" s="50" t="s">
        <v>633</v>
      </c>
      <c r="D125" s="50" t="s">
        <v>634</v>
      </c>
      <c r="E125" s="51">
        <v>262.51</v>
      </c>
      <c r="F125" s="51">
        <v>198.22</v>
      </c>
      <c r="G125" s="50">
        <v>0</v>
      </c>
      <c r="H125" s="50" t="s">
        <v>584</v>
      </c>
      <c r="I125" s="52">
        <v>1.56</v>
      </c>
      <c r="J125" s="52">
        <v>43.4</v>
      </c>
      <c r="K125" s="51">
        <v>192.4</v>
      </c>
      <c r="L125" s="51">
        <f t="shared" si="3"/>
        <v>1.3026</v>
      </c>
      <c r="M125" s="52">
        <v>14.95</v>
      </c>
      <c r="N125" s="50" t="s">
        <v>664</v>
      </c>
      <c r="O125" s="50" t="s">
        <v>602</v>
      </c>
      <c r="P125" s="50" t="s">
        <v>587</v>
      </c>
      <c r="Q125" s="52">
        <v>59.2</v>
      </c>
      <c r="R125" s="50" t="s">
        <v>1003</v>
      </c>
      <c r="S125" s="50" t="s">
        <v>680</v>
      </c>
      <c r="T125" s="50" t="s">
        <v>621</v>
      </c>
      <c r="U125" s="50" t="s">
        <v>590</v>
      </c>
      <c r="V125" s="53" t="s">
        <v>266</v>
      </c>
    </row>
    <row r="126" spans="1:22" ht="25.5" customHeight="1" x14ac:dyDescent="0.25">
      <c r="A126" s="50" t="s">
        <v>1004</v>
      </c>
      <c r="B126" s="50" t="s">
        <v>1005</v>
      </c>
      <c r="C126" s="50" t="s">
        <v>582</v>
      </c>
      <c r="D126" s="50" t="s">
        <v>642</v>
      </c>
      <c r="E126" s="51">
        <v>1651.52</v>
      </c>
      <c r="F126" s="51">
        <v>1273.46</v>
      </c>
      <c r="G126" s="50">
        <v>0</v>
      </c>
      <c r="H126" s="50" t="s">
        <v>584</v>
      </c>
      <c r="I126" s="52">
        <v>1.53</v>
      </c>
      <c r="J126" s="52">
        <v>23.99</v>
      </c>
      <c r="K126" s="51">
        <v>1313.89</v>
      </c>
      <c r="L126" s="51">
        <f t="shared" si="3"/>
        <v>4.8226000000000004</v>
      </c>
      <c r="M126" s="52">
        <v>19.809999999999999</v>
      </c>
      <c r="N126" s="50" t="s">
        <v>594</v>
      </c>
      <c r="O126" s="50" t="s">
        <v>602</v>
      </c>
      <c r="P126" s="50" t="s">
        <v>587</v>
      </c>
      <c r="Q126" s="52">
        <v>61.5</v>
      </c>
      <c r="R126" s="50" t="s">
        <v>1006</v>
      </c>
      <c r="S126" s="50" t="s">
        <v>604</v>
      </c>
      <c r="T126" s="50" t="s">
        <v>667</v>
      </c>
      <c r="U126" s="50" t="s">
        <v>590</v>
      </c>
      <c r="V126" s="53" t="s">
        <v>266</v>
      </c>
    </row>
    <row r="127" spans="1:22" ht="25.5" customHeight="1" x14ac:dyDescent="0.25">
      <c r="A127" s="50" t="s">
        <v>1007</v>
      </c>
      <c r="B127" s="50" t="s">
        <v>1008</v>
      </c>
      <c r="C127" s="50" t="s">
        <v>659</v>
      </c>
      <c r="D127" s="50" t="s">
        <v>572</v>
      </c>
      <c r="E127" s="51">
        <v>586.87</v>
      </c>
      <c r="F127" s="51">
        <v>229.36</v>
      </c>
      <c r="G127" s="50">
        <v>0</v>
      </c>
      <c r="H127" s="50" t="s">
        <v>584</v>
      </c>
      <c r="I127" s="52">
        <v>1.39</v>
      </c>
      <c r="J127" s="52">
        <v>33.729999999999997</v>
      </c>
      <c r="K127" s="51">
        <v>232.2</v>
      </c>
      <c r="L127" s="51">
        <f t="shared" si="3"/>
        <v>1.0887</v>
      </c>
      <c r="M127" s="52">
        <v>16.34</v>
      </c>
      <c r="N127" s="50" t="s">
        <v>594</v>
      </c>
      <c r="O127" s="50" t="s">
        <v>602</v>
      </c>
      <c r="P127" s="50" t="s">
        <v>587</v>
      </c>
      <c r="Q127" s="52">
        <v>56.6</v>
      </c>
      <c r="R127" s="50" t="s">
        <v>1009</v>
      </c>
      <c r="S127" s="50" t="s">
        <v>604</v>
      </c>
      <c r="T127" s="50" t="s">
        <v>688</v>
      </c>
      <c r="U127" s="50" t="s">
        <v>590</v>
      </c>
      <c r="V127" s="53" t="s">
        <v>266</v>
      </c>
    </row>
    <row r="128" spans="1:22" ht="25.5" customHeight="1" x14ac:dyDescent="0.25">
      <c r="A128" s="54" t="s">
        <v>1010</v>
      </c>
      <c r="B128" s="54" t="s">
        <v>1011</v>
      </c>
      <c r="C128" s="54" t="s">
        <v>600</v>
      </c>
      <c r="D128" s="54" t="s">
        <v>593</v>
      </c>
      <c r="E128" s="55">
        <v>1344.02</v>
      </c>
      <c r="F128" s="55">
        <v>733.85</v>
      </c>
      <c r="G128" s="54">
        <v>423</v>
      </c>
      <c r="H128" s="54" t="s">
        <v>652</v>
      </c>
      <c r="I128" s="56">
        <v>61.54</v>
      </c>
      <c r="J128" s="56">
        <v>68.69</v>
      </c>
      <c r="K128" s="55">
        <v>745.22</v>
      </c>
      <c r="L128" s="55">
        <f t="shared" si="3"/>
        <v>315.0181</v>
      </c>
      <c r="M128" s="56">
        <v>16.649999999999999</v>
      </c>
      <c r="N128" s="54" t="s">
        <v>585</v>
      </c>
      <c r="O128" s="54" t="s">
        <v>628</v>
      </c>
      <c r="P128" s="54" t="s">
        <v>576</v>
      </c>
      <c r="Q128" s="56">
        <v>62.4</v>
      </c>
      <c r="R128" s="54" t="s">
        <v>1012</v>
      </c>
      <c r="S128" s="54" t="s">
        <v>695</v>
      </c>
      <c r="T128" s="54" t="s">
        <v>630</v>
      </c>
      <c r="U128" s="54" t="s">
        <v>622</v>
      </c>
      <c r="V128" s="57" t="s">
        <v>495</v>
      </c>
    </row>
    <row r="129" spans="1:22" ht="15" customHeight="1" x14ac:dyDescent="0.25">
      <c r="A129" s="54" t="s">
        <v>1013</v>
      </c>
      <c r="B129" s="54" t="s">
        <v>1014</v>
      </c>
      <c r="C129" s="54" t="s">
        <v>571</v>
      </c>
      <c r="D129" s="54" t="s">
        <v>593</v>
      </c>
      <c r="E129" s="55">
        <v>272.81</v>
      </c>
      <c r="F129" s="55">
        <v>176.52</v>
      </c>
      <c r="G129" s="54">
        <v>297</v>
      </c>
      <c r="H129" s="54" t="s">
        <v>627</v>
      </c>
      <c r="I129" s="56">
        <v>43.96</v>
      </c>
      <c r="J129" s="56">
        <v>55.39</v>
      </c>
      <c r="K129" s="55">
        <v>180.18</v>
      </c>
      <c r="L129" s="55">
        <f t="shared" si="3"/>
        <v>43.872799999999998</v>
      </c>
      <c r="M129" s="56">
        <v>16.53</v>
      </c>
      <c r="N129" s="54" t="s">
        <v>594</v>
      </c>
      <c r="O129" s="54" t="s">
        <v>653</v>
      </c>
      <c r="P129" s="54" t="s">
        <v>576</v>
      </c>
      <c r="Q129" s="56">
        <v>83.3</v>
      </c>
      <c r="R129" s="54" t="s">
        <v>898</v>
      </c>
      <c r="S129" s="54" t="s">
        <v>680</v>
      </c>
      <c r="T129" s="54" t="s">
        <v>656</v>
      </c>
      <c r="U129" s="54" t="s">
        <v>622</v>
      </c>
      <c r="V129" s="57" t="s">
        <v>495</v>
      </c>
    </row>
    <row r="130" spans="1:22" ht="15" customHeight="1" x14ac:dyDescent="0.25">
      <c r="A130" s="50" t="s">
        <v>1015</v>
      </c>
      <c r="B130" s="50" t="s">
        <v>1016</v>
      </c>
      <c r="C130" s="50" t="s">
        <v>571</v>
      </c>
      <c r="D130" s="50" t="s">
        <v>583</v>
      </c>
      <c r="E130" s="51">
        <v>160.96</v>
      </c>
      <c r="F130" s="51">
        <v>86</v>
      </c>
      <c r="G130" s="50">
        <v>0</v>
      </c>
      <c r="H130" s="50" t="s">
        <v>584</v>
      </c>
      <c r="I130" s="52">
        <v>2.82</v>
      </c>
      <c r="J130" s="52">
        <v>21.73</v>
      </c>
      <c r="K130" s="51">
        <v>90.65</v>
      </c>
      <c r="L130" s="51">
        <f t="shared" si="3"/>
        <v>0.55549999999999999</v>
      </c>
      <c r="M130" s="52">
        <v>11.79</v>
      </c>
      <c r="N130" s="50" t="s">
        <v>664</v>
      </c>
      <c r="O130" s="50" t="s">
        <v>647</v>
      </c>
      <c r="P130" s="50" t="s">
        <v>587</v>
      </c>
      <c r="Q130" s="52">
        <v>85.8</v>
      </c>
      <c r="R130" s="50" t="s">
        <v>1017</v>
      </c>
      <c r="S130" s="50" t="s">
        <v>604</v>
      </c>
      <c r="T130" s="50" t="s">
        <v>819</v>
      </c>
      <c r="U130" s="50" t="s">
        <v>590</v>
      </c>
      <c r="V130" s="53" t="s">
        <v>266</v>
      </c>
    </row>
    <row r="131" spans="1:22" ht="25.5" customHeight="1" x14ac:dyDescent="0.25">
      <c r="A131" s="54" t="s">
        <v>1018</v>
      </c>
      <c r="B131" s="54" t="s">
        <v>1019</v>
      </c>
      <c r="C131" s="54" t="s">
        <v>633</v>
      </c>
      <c r="D131" s="54" t="s">
        <v>634</v>
      </c>
      <c r="E131" s="55">
        <v>2482.5</v>
      </c>
      <c r="F131" s="55">
        <v>1390.41</v>
      </c>
      <c r="G131" s="54">
        <v>277</v>
      </c>
      <c r="H131" s="54" t="s">
        <v>627</v>
      </c>
      <c r="I131" s="56">
        <v>51.27</v>
      </c>
      <c r="J131" s="56">
        <v>62.07</v>
      </c>
      <c r="K131" s="55">
        <v>1431.51</v>
      </c>
      <c r="L131" s="55">
        <f t="shared" ref="L131:L162" si="4">ROUND(K131*(I131/100)*(J131/100),4)</f>
        <v>455.55360000000002</v>
      </c>
      <c r="M131" s="56">
        <v>16.350000000000001</v>
      </c>
      <c r="N131" s="54" t="s">
        <v>594</v>
      </c>
      <c r="O131" s="54" t="s">
        <v>653</v>
      </c>
      <c r="P131" s="54" t="s">
        <v>576</v>
      </c>
      <c r="Q131" s="56">
        <v>51.3</v>
      </c>
      <c r="R131" s="54" t="s">
        <v>815</v>
      </c>
      <c r="S131" s="54" t="s">
        <v>691</v>
      </c>
      <c r="T131" s="54" t="s">
        <v>605</v>
      </c>
      <c r="U131" s="54" t="s">
        <v>622</v>
      </c>
      <c r="V131" s="57" t="s">
        <v>495</v>
      </c>
    </row>
    <row r="132" spans="1:22" ht="25.5" customHeight="1" x14ac:dyDescent="0.25">
      <c r="A132" s="54" t="s">
        <v>1020</v>
      </c>
      <c r="B132" s="54" t="s">
        <v>1021</v>
      </c>
      <c r="C132" s="54" t="s">
        <v>674</v>
      </c>
      <c r="D132" s="54" t="s">
        <v>572</v>
      </c>
      <c r="E132" s="55">
        <v>2095.31</v>
      </c>
      <c r="F132" s="55">
        <v>1706.01</v>
      </c>
      <c r="G132" s="54">
        <v>968</v>
      </c>
      <c r="H132" s="54" t="s">
        <v>730</v>
      </c>
      <c r="I132" s="56">
        <v>92.8</v>
      </c>
      <c r="J132" s="56">
        <v>81.33</v>
      </c>
      <c r="K132" s="55">
        <v>1736.5</v>
      </c>
      <c r="L132" s="55">
        <f t="shared" si="4"/>
        <v>1310.6102000000001</v>
      </c>
      <c r="M132" s="56">
        <v>18.91</v>
      </c>
      <c r="N132" s="54" t="s">
        <v>585</v>
      </c>
      <c r="O132" s="54" t="s">
        <v>678</v>
      </c>
      <c r="P132" s="54" t="s">
        <v>576</v>
      </c>
      <c r="Q132" s="56">
        <v>63.3</v>
      </c>
      <c r="R132" s="54" t="s">
        <v>1022</v>
      </c>
      <c r="S132" s="54" t="s">
        <v>700</v>
      </c>
      <c r="T132" s="54" t="s">
        <v>819</v>
      </c>
      <c r="U132" s="54" t="s">
        <v>622</v>
      </c>
      <c r="V132" s="57" t="s">
        <v>495</v>
      </c>
    </row>
    <row r="133" spans="1:22" ht="25.5" customHeight="1" x14ac:dyDescent="0.25">
      <c r="A133" s="54" t="s">
        <v>1023</v>
      </c>
      <c r="B133" s="54" t="s">
        <v>1024</v>
      </c>
      <c r="C133" s="54" t="s">
        <v>600</v>
      </c>
      <c r="D133" s="54" t="s">
        <v>720</v>
      </c>
      <c r="E133" s="55">
        <v>2033.22</v>
      </c>
      <c r="F133" s="55">
        <v>1189.5999999999999</v>
      </c>
      <c r="G133" s="54">
        <v>93</v>
      </c>
      <c r="H133" s="54" t="s">
        <v>616</v>
      </c>
      <c r="I133" s="56">
        <v>31.02</v>
      </c>
      <c r="J133" s="56">
        <v>41.68</v>
      </c>
      <c r="K133" s="55">
        <v>1217.5</v>
      </c>
      <c r="L133" s="55">
        <f t="shared" si="4"/>
        <v>157.41220000000001</v>
      </c>
      <c r="M133" s="56">
        <v>15.52</v>
      </c>
      <c r="N133" s="54" t="s">
        <v>594</v>
      </c>
      <c r="O133" s="54" t="s">
        <v>618</v>
      </c>
      <c r="P133" s="54" t="s">
        <v>576</v>
      </c>
      <c r="Q133" s="56">
        <v>58</v>
      </c>
      <c r="R133" s="54" t="s">
        <v>1025</v>
      </c>
      <c r="S133" s="54" t="s">
        <v>691</v>
      </c>
      <c r="T133" s="54" t="s">
        <v>589</v>
      </c>
      <c r="U133" s="54" t="s">
        <v>622</v>
      </c>
      <c r="V133" s="57" t="s">
        <v>495</v>
      </c>
    </row>
    <row r="134" spans="1:22" ht="15" customHeight="1" x14ac:dyDescent="0.25">
      <c r="A134" s="50" t="s">
        <v>1026</v>
      </c>
      <c r="B134" s="50" t="s">
        <v>1027</v>
      </c>
      <c r="C134" s="50" t="s">
        <v>571</v>
      </c>
      <c r="D134" s="50" t="s">
        <v>572</v>
      </c>
      <c r="E134" s="51">
        <v>1898.24</v>
      </c>
      <c r="F134" s="51">
        <v>1571.22</v>
      </c>
      <c r="G134" s="50">
        <v>0</v>
      </c>
      <c r="H134" s="50" t="s">
        <v>584</v>
      </c>
      <c r="I134" s="52">
        <v>0.89</v>
      </c>
      <c r="J134" s="52">
        <v>42.91</v>
      </c>
      <c r="K134" s="51">
        <v>1605.55</v>
      </c>
      <c r="L134" s="51">
        <f t="shared" si="4"/>
        <v>6.1315999999999997</v>
      </c>
      <c r="M134" s="52">
        <v>16.7</v>
      </c>
      <c r="N134" s="50" t="s">
        <v>601</v>
      </c>
      <c r="O134" s="50" t="s">
        <v>575</v>
      </c>
      <c r="P134" s="50" t="s">
        <v>587</v>
      </c>
      <c r="Q134" s="52">
        <v>88.4</v>
      </c>
      <c r="R134" s="50" t="s">
        <v>1028</v>
      </c>
      <c r="S134" s="50" t="s">
        <v>680</v>
      </c>
      <c r="T134" s="50" t="s">
        <v>661</v>
      </c>
      <c r="U134" s="50" t="s">
        <v>590</v>
      </c>
      <c r="V134" s="53" t="s">
        <v>266</v>
      </c>
    </row>
    <row r="135" spans="1:22" ht="15" customHeight="1" x14ac:dyDescent="0.25">
      <c r="A135" s="54" t="s">
        <v>1029</v>
      </c>
      <c r="B135" s="54" t="s">
        <v>1030</v>
      </c>
      <c r="C135" s="54" t="s">
        <v>571</v>
      </c>
      <c r="D135" s="54" t="s">
        <v>615</v>
      </c>
      <c r="E135" s="55">
        <v>786.23</v>
      </c>
      <c r="F135" s="55">
        <v>268.45999999999998</v>
      </c>
      <c r="G135" s="54">
        <v>455</v>
      </c>
      <c r="H135" s="54" t="s">
        <v>652</v>
      </c>
      <c r="I135" s="56">
        <v>75.650000000000006</v>
      </c>
      <c r="J135" s="56">
        <v>65.680000000000007</v>
      </c>
      <c r="K135" s="55">
        <v>272.38</v>
      </c>
      <c r="L135" s="55">
        <f t="shared" si="4"/>
        <v>135.3372</v>
      </c>
      <c r="M135" s="56">
        <v>20.25</v>
      </c>
      <c r="N135" s="54" t="s">
        <v>594</v>
      </c>
      <c r="O135" s="54" t="s">
        <v>678</v>
      </c>
      <c r="P135" s="54" t="s">
        <v>576</v>
      </c>
      <c r="Q135" s="56">
        <v>86.6</v>
      </c>
      <c r="R135" s="54" t="s">
        <v>1031</v>
      </c>
      <c r="S135" s="54" t="s">
        <v>596</v>
      </c>
      <c r="T135" s="54" t="s">
        <v>649</v>
      </c>
      <c r="U135" s="54" t="s">
        <v>622</v>
      </c>
      <c r="V135" s="57" t="s">
        <v>495</v>
      </c>
    </row>
    <row r="136" spans="1:22" ht="25.5" customHeight="1" x14ac:dyDescent="0.25">
      <c r="A136" s="46" t="s">
        <v>1032</v>
      </c>
      <c r="B136" s="46" t="s">
        <v>1033</v>
      </c>
      <c r="C136" s="46" t="s">
        <v>633</v>
      </c>
      <c r="D136" s="46" t="s">
        <v>626</v>
      </c>
      <c r="E136" s="47">
        <v>784.73</v>
      </c>
      <c r="F136" s="47">
        <v>333.54</v>
      </c>
      <c r="G136" s="46">
        <v>8</v>
      </c>
      <c r="H136" s="46" t="s">
        <v>686</v>
      </c>
      <c r="I136" s="48">
        <v>7.25</v>
      </c>
      <c r="J136" s="48">
        <v>32.520000000000003</v>
      </c>
      <c r="K136" s="47">
        <v>344.77</v>
      </c>
      <c r="L136" s="47">
        <f t="shared" si="4"/>
        <v>8.1286000000000005</v>
      </c>
      <c r="M136" s="48">
        <v>18.75</v>
      </c>
      <c r="N136" s="46" t="s">
        <v>608</v>
      </c>
      <c r="O136" s="46" t="s">
        <v>586</v>
      </c>
      <c r="P136" s="46" t="s">
        <v>576</v>
      </c>
      <c r="Q136" s="48">
        <v>66.900000000000006</v>
      </c>
      <c r="R136" s="46" t="s">
        <v>1034</v>
      </c>
      <c r="S136" s="46" t="s">
        <v>614</v>
      </c>
      <c r="T136" s="46" t="s">
        <v>605</v>
      </c>
      <c r="U136" s="46" t="s">
        <v>579</v>
      </c>
      <c r="V136" s="49" t="s">
        <v>321</v>
      </c>
    </row>
    <row r="137" spans="1:22" ht="15" customHeight="1" x14ac:dyDescent="0.25">
      <c r="A137" s="46" t="s">
        <v>1035</v>
      </c>
      <c r="B137" s="46" t="s">
        <v>1036</v>
      </c>
      <c r="C137" s="46" t="s">
        <v>674</v>
      </c>
      <c r="D137" s="46" t="s">
        <v>615</v>
      </c>
      <c r="E137" s="47">
        <v>645</v>
      </c>
      <c r="F137" s="47">
        <v>282.68</v>
      </c>
      <c r="G137" s="46">
        <v>90</v>
      </c>
      <c r="H137" s="46" t="s">
        <v>573</v>
      </c>
      <c r="I137" s="48">
        <v>19.5</v>
      </c>
      <c r="J137" s="48">
        <v>44.28</v>
      </c>
      <c r="K137" s="47">
        <v>287.83</v>
      </c>
      <c r="L137" s="47">
        <f t="shared" si="4"/>
        <v>24.853000000000002</v>
      </c>
      <c r="M137" s="48">
        <v>18.96</v>
      </c>
      <c r="N137" s="46" t="s">
        <v>608</v>
      </c>
      <c r="O137" s="46" t="s">
        <v>618</v>
      </c>
      <c r="P137" s="46" t="s">
        <v>576</v>
      </c>
      <c r="Q137" s="48">
        <v>65</v>
      </c>
      <c r="R137" s="46" t="s">
        <v>875</v>
      </c>
      <c r="S137" s="46" t="s">
        <v>571</v>
      </c>
      <c r="T137" s="46" t="s">
        <v>656</v>
      </c>
      <c r="U137" s="46" t="s">
        <v>579</v>
      </c>
      <c r="V137" s="49" t="s">
        <v>321</v>
      </c>
    </row>
    <row r="138" spans="1:22" ht="15" customHeight="1" x14ac:dyDescent="0.25">
      <c r="A138" s="46" t="s">
        <v>1037</v>
      </c>
      <c r="B138" s="46" t="s">
        <v>1038</v>
      </c>
      <c r="C138" s="46" t="s">
        <v>600</v>
      </c>
      <c r="D138" s="46" t="s">
        <v>572</v>
      </c>
      <c r="E138" s="47">
        <v>2021.39</v>
      </c>
      <c r="F138" s="47">
        <v>1414.08</v>
      </c>
      <c r="G138" s="46">
        <v>67</v>
      </c>
      <c r="H138" s="46" t="s">
        <v>573</v>
      </c>
      <c r="I138" s="48">
        <v>19.79</v>
      </c>
      <c r="J138" s="48">
        <v>56.74</v>
      </c>
      <c r="K138" s="47">
        <v>1414.03</v>
      </c>
      <c r="L138" s="47">
        <f t="shared" si="4"/>
        <v>158.77930000000001</v>
      </c>
      <c r="M138" s="48">
        <v>20.11</v>
      </c>
      <c r="N138" s="46" t="s">
        <v>608</v>
      </c>
      <c r="O138" s="46" t="s">
        <v>602</v>
      </c>
      <c r="P138" s="46" t="s">
        <v>576</v>
      </c>
      <c r="Q138" s="48">
        <v>94.7</v>
      </c>
      <c r="R138" s="46" t="s">
        <v>1039</v>
      </c>
      <c r="S138" s="46" t="s">
        <v>671</v>
      </c>
      <c r="T138" s="46" t="s">
        <v>819</v>
      </c>
      <c r="U138" s="46" t="s">
        <v>579</v>
      </c>
      <c r="V138" s="49" t="s">
        <v>321</v>
      </c>
    </row>
    <row r="139" spans="1:22" ht="15" customHeight="1" x14ac:dyDescent="0.25">
      <c r="A139" s="50" t="s">
        <v>1040</v>
      </c>
      <c r="B139" s="50" t="s">
        <v>1041</v>
      </c>
      <c r="C139" s="50" t="s">
        <v>625</v>
      </c>
      <c r="D139" s="50" t="s">
        <v>572</v>
      </c>
      <c r="E139" s="51">
        <v>1754.28</v>
      </c>
      <c r="F139" s="51">
        <v>1365.82</v>
      </c>
      <c r="G139" s="50">
        <v>0</v>
      </c>
      <c r="H139" s="50" t="s">
        <v>584</v>
      </c>
      <c r="I139" s="52">
        <v>1.77</v>
      </c>
      <c r="J139" s="52">
        <v>39.39</v>
      </c>
      <c r="K139" s="51">
        <v>1371.64</v>
      </c>
      <c r="L139" s="51">
        <f t="shared" si="4"/>
        <v>9.5631000000000004</v>
      </c>
      <c r="M139" s="52">
        <v>16.3</v>
      </c>
      <c r="N139" s="50" t="s">
        <v>574</v>
      </c>
      <c r="O139" s="50" t="s">
        <v>638</v>
      </c>
      <c r="P139" s="50" t="s">
        <v>587</v>
      </c>
      <c r="Q139" s="52">
        <v>58.9</v>
      </c>
      <c r="R139" s="50" t="s">
        <v>1042</v>
      </c>
      <c r="S139" s="50" t="s">
        <v>840</v>
      </c>
      <c r="T139" s="50" t="s">
        <v>589</v>
      </c>
      <c r="U139" s="50" t="s">
        <v>590</v>
      </c>
      <c r="V139" s="53" t="s">
        <v>266</v>
      </c>
    </row>
    <row r="140" spans="1:22" ht="25.5" customHeight="1" x14ac:dyDescent="0.25">
      <c r="A140" s="54" t="s">
        <v>1043</v>
      </c>
      <c r="B140" s="54" t="s">
        <v>1044</v>
      </c>
      <c r="C140" s="54" t="s">
        <v>625</v>
      </c>
      <c r="D140" s="54" t="s">
        <v>583</v>
      </c>
      <c r="E140" s="55">
        <v>2016.9</v>
      </c>
      <c r="F140" s="55">
        <v>1595.85</v>
      </c>
      <c r="G140" s="54">
        <v>131</v>
      </c>
      <c r="H140" s="54" t="s">
        <v>616</v>
      </c>
      <c r="I140" s="56">
        <v>47.86</v>
      </c>
      <c r="J140" s="56">
        <v>49.27</v>
      </c>
      <c r="K140" s="55">
        <v>1607.43</v>
      </c>
      <c r="L140" s="55">
        <f t="shared" si="4"/>
        <v>379.04199999999997</v>
      </c>
      <c r="M140" s="56">
        <v>16.559999999999999</v>
      </c>
      <c r="N140" s="54" t="s">
        <v>585</v>
      </c>
      <c r="O140" s="54" t="s">
        <v>628</v>
      </c>
      <c r="P140" s="54" t="s">
        <v>576</v>
      </c>
      <c r="Q140" s="56">
        <v>45.9</v>
      </c>
      <c r="R140" s="54" t="s">
        <v>1045</v>
      </c>
      <c r="S140" s="54" t="s">
        <v>840</v>
      </c>
      <c r="T140" s="54" t="s">
        <v>621</v>
      </c>
      <c r="U140" s="54" t="s">
        <v>622</v>
      </c>
      <c r="V140" s="57" t="s">
        <v>495</v>
      </c>
    </row>
    <row r="141" spans="1:22" ht="15" customHeight="1" x14ac:dyDescent="0.25">
      <c r="A141" s="50" t="s">
        <v>1046</v>
      </c>
      <c r="B141" s="50" t="s">
        <v>1047</v>
      </c>
      <c r="C141" s="50" t="s">
        <v>633</v>
      </c>
      <c r="D141" s="50" t="s">
        <v>642</v>
      </c>
      <c r="E141" s="51">
        <v>423.41</v>
      </c>
      <c r="F141" s="51">
        <v>222</v>
      </c>
      <c r="G141" s="50">
        <v>0</v>
      </c>
      <c r="H141" s="50" t="s">
        <v>584</v>
      </c>
      <c r="I141" s="52">
        <v>1.62</v>
      </c>
      <c r="J141" s="52">
        <v>36.369999999999997</v>
      </c>
      <c r="K141" s="51">
        <v>229.02</v>
      </c>
      <c r="L141" s="51">
        <f t="shared" si="4"/>
        <v>1.3493999999999999</v>
      </c>
      <c r="M141" s="52">
        <v>13.82</v>
      </c>
      <c r="N141" s="50" t="s">
        <v>601</v>
      </c>
      <c r="O141" s="50" t="s">
        <v>609</v>
      </c>
      <c r="P141" s="50" t="s">
        <v>587</v>
      </c>
      <c r="Q141" s="52">
        <v>96.2</v>
      </c>
      <c r="R141" s="50" t="s">
        <v>951</v>
      </c>
      <c r="S141" s="50" t="s">
        <v>596</v>
      </c>
      <c r="T141" s="50" t="s">
        <v>589</v>
      </c>
      <c r="U141" s="50" t="s">
        <v>590</v>
      </c>
      <c r="V141" s="53" t="s">
        <v>266</v>
      </c>
    </row>
    <row r="142" spans="1:22" ht="15" customHeight="1" x14ac:dyDescent="0.25">
      <c r="A142" s="50" t="s">
        <v>1048</v>
      </c>
      <c r="B142" s="50" t="s">
        <v>1049</v>
      </c>
      <c r="C142" s="50" t="s">
        <v>625</v>
      </c>
      <c r="D142" s="50" t="s">
        <v>626</v>
      </c>
      <c r="E142" s="51">
        <v>1845.29</v>
      </c>
      <c r="F142" s="51">
        <v>995.5</v>
      </c>
      <c r="G142" s="50">
        <v>0</v>
      </c>
      <c r="H142" s="50" t="s">
        <v>584</v>
      </c>
      <c r="I142" s="52">
        <v>0.76</v>
      </c>
      <c r="J142" s="52">
        <v>42.23</v>
      </c>
      <c r="K142" s="51">
        <v>1054.3599999999999</v>
      </c>
      <c r="L142" s="51">
        <f t="shared" si="4"/>
        <v>3.3839000000000001</v>
      </c>
      <c r="M142" s="52">
        <v>20.12</v>
      </c>
      <c r="N142" s="50" t="s">
        <v>617</v>
      </c>
      <c r="O142" s="50" t="s">
        <v>716</v>
      </c>
      <c r="P142" s="50" t="s">
        <v>587</v>
      </c>
      <c r="Q142" s="52">
        <v>89.5</v>
      </c>
      <c r="R142" s="50" t="s">
        <v>1050</v>
      </c>
      <c r="S142" s="50" t="s">
        <v>655</v>
      </c>
      <c r="T142" s="50" t="s">
        <v>644</v>
      </c>
      <c r="U142" s="50" t="s">
        <v>590</v>
      </c>
      <c r="V142" s="53" t="s">
        <v>266</v>
      </c>
    </row>
    <row r="143" spans="1:22" ht="15" customHeight="1" x14ac:dyDescent="0.25">
      <c r="A143" s="50" t="s">
        <v>1051</v>
      </c>
      <c r="B143" s="50" t="s">
        <v>1052</v>
      </c>
      <c r="C143" s="50" t="s">
        <v>582</v>
      </c>
      <c r="D143" s="50" t="s">
        <v>720</v>
      </c>
      <c r="E143" s="51">
        <v>1060.3599999999999</v>
      </c>
      <c r="F143" s="51">
        <v>925.62</v>
      </c>
      <c r="G143" s="50">
        <v>0</v>
      </c>
      <c r="H143" s="50" t="s">
        <v>584</v>
      </c>
      <c r="I143" s="52">
        <v>0.28000000000000003</v>
      </c>
      <c r="J143" s="52">
        <v>32.64</v>
      </c>
      <c r="K143" s="51">
        <v>928.94</v>
      </c>
      <c r="L143" s="51">
        <f t="shared" si="4"/>
        <v>0.84899999999999998</v>
      </c>
      <c r="M143" s="52">
        <v>17.059999999999999</v>
      </c>
      <c r="N143" s="50" t="s">
        <v>594</v>
      </c>
      <c r="O143" s="50" t="s">
        <v>586</v>
      </c>
      <c r="P143" s="50" t="s">
        <v>587</v>
      </c>
      <c r="Q143" s="52">
        <v>93.4</v>
      </c>
      <c r="R143" s="50" t="s">
        <v>1053</v>
      </c>
      <c r="S143" s="50" t="s">
        <v>695</v>
      </c>
      <c r="T143" s="50" t="s">
        <v>656</v>
      </c>
      <c r="U143" s="50" t="s">
        <v>590</v>
      </c>
      <c r="V143" s="53" t="s">
        <v>266</v>
      </c>
    </row>
    <row r="144" spans="1:22" ht="25.5" customHeight="1" x14ac:dyDescent="0.25">
      <c r="A144" s="50" t="s">
        <v>1054</v>
      </c>
      <c r="B144" s="50" t="s">
        <v>1055</v>
      </c>
      <c r="C144" s="50" t="s">
        <v>582</v>
      </c>
      <c r="D144" s="50" t="s">
        <v>615</v>
      </c>
      <c r="E144" s="51">
        <v>79.03</v>
      </c>
      <c r="F144" s="51">
        <v>52.16</v>
      </c>
      <c r="G144" s="50">
        <v>0</v>
      </c>
      <c r="H144" s="50" t="s">
        <v>584</v>
      </c>
      <c r="I144" s="52">
        <v>0.3</v>
      </c>
      <c r="J144" s="52">
        <v>40.33</v>
      </c>
      <c r="K144" s="51">
        <v>53.76</v>
      </c>
      <c r="L144" s="51">
        <f t="shared" si="4"/>
        <v>6.5000000000000002E-2</v>
      </c>
      <c r="M144" s="52">
        <v>18.760000000000002</v>
      </c>
      <c r="N144" s="50" t="s">
        <v>585</v>
      </c>
      <c r="O144" s="50" t="s">
        <v>716</v>
      </c>
      <c r="P144" s="50" t="s">
        <v>587</v>
      </c>
      <c r="Q144" s="52">
        <v>93.7</v>
      </c>
      <c r="R144" s="50" t="s">
        <v>1056</v>
      </c>
      <c r="S144" s="50" t="s">
        <v>713</v>
      </c>
      <c r="T144" s="50" t="s">
        <v>578</v>
      </c>
      <c r="U144" s="50" t="s">
        <v>590</v>
      </c>
      <c r="V144" s="53" t="s">
        <v>266</v>
      </c>
    </row>
    <row r="145" spans="1:22" ht="25.5" customHeight="1" x14ac:dyDescent="0.25">
      <c r="A145" s="50" t="s">
        <v>1057</v>
      </c>
      <c r="B145" s="50" t="s">
        <v>1058</v>
      </c>
      <c r="C145" s="50" t="s">
        <v>571</v>
      </c>
      <c r="D145" s="50" t="s">
        <v>642</v>
      </c>
      <c r="E145" s="51">
        <v>2047.28</v>
      </c>
      <c r="F145" s="51">
        <v>986.34</v>
      </c>
      <c r="G145" s="50">
        <v>0</v>
      </c>
      <c r="H145" s="50" t="s">
        <v>584</v>
      </c>
      <c r="I145" s="52">
        <v>2.89</v>
      </c>
      <c r="J145" s="52">
        <v>31.47</v>
      </c>
      <c r="K145" s="51">
        <v>978.34</v>
      </c>
      <c r="L145" s="51">
        <f t="shared" si="4"/>
        <v>8.8978000000000002</v>
      </c>
      <c r="M145" s="52">
        <v>17.78</v>
      </c>
      <c r="N145" s="50" t="s">
        <v>574</v>
      </c>
      <c r="O145" s="50" t="s">
        <v>575</v>
      </c>
      <c r="P145" s="50" t="s">
        <v>587</v>
      </c>
      <c r="Q145" s="52">
        <v>88.9</v>
      </c>
      <c r="R145" s="50" t="s">
        <v>1059</v>
      </c>
      <c r="S145" s="50" t="s">
        <v>604</v>
      </c>
      <c r="T145" s="50" t="s">
        <v>644</v>
      </c>
      <c r="U145" s="50" t="s">
        <v>590</v>
      </c>
      <c r="V145" s="53" t="s">
        <v>266</v>
      </c>
    </row>
    <row r="146" spans="1:22" ht="15" customHeight="1" x14ac:dyDescent="0.25">
      <c r="A146" s="46" t="s">
        <v>1060</v>
      </c>
      <c r="B146" s="46" t="s">
        <v>1061</v>
      </c>
      <c r="C146" s="46" t="s">
        <v>582</v>
      </c>
      <c r="D146" s="46" t="s">
        <v>583</v>
      </c>
      <c r="E146" s="47">
        <v>1042.93</v>
      </c>
      <c r="F146" s="47">
        <v>580.36</v>
      </c>
      <c r="G146" s="46">
        <v>21</v>
      </c>
      <c r="H146" s="46" t="s">
        <v>686</v>
      </c>
      <c r="I146" s="48">
        <v>3.05</v>
      </c>
      <c r="J146" s="48">
        <v>29.28</v>
      </c>
      <c r="K146" s="47">
        <v>589.05999999999995</v>
      </c>
      <c r="L146" s="47">
        <f t="shared" si="4"/>
        <v>5.2605000000000004</v>
      </c>
      <c r="M146" s="48">
        <v>15.41</v>
      </c>
      <c r="N146" s="46" t="s">
        <v>601</v>
      </c>
      <c r="O146" s="46" t="s">
        <v>638</v>
      </c>
      <c r="P146" s="46" t="s">
        <v>576</v>
      </c>
      <c r="Q146" s="48">
        <v>75</v>
      </c>
      <c r="R146" s="46" t="s">
        <v>1062</v>
      </c>
      <c r="S146" s="46" t="s">
        <v>840</v>
      </c>
      <c r="T146" s="46" t="s">
        <v>605</v>
      </c>
      <c r="U146" s="46" t="s">
        <v>579</v>
      </c>
      <c r="V146" s="49" t="s">
        <v>321</v>
      </c>
    </row>
    <row r="147" spans="1:22" ht="15" customHeight="1" x14ac:dyDescent="0.25">
      <c r="A147" s="54" t="s">
        <v>1063</v>
      </c>
      <c r="B147" s="54" t="s">
        <v>1064</v>
      </c>
      <c r="C147" s="54" t="s">
        <v>582</v>
      </c>
      <c r="D147" s="54" t="s">
        <v>572</v>
      </c>
      <c r="E147" s="55">
        <v>567.97</v>
      </c>
      <c r="F147" s="55">
        <v>505.67</v>
      </c>
      <c r="G147" s="54">
        <v>609</v>
      </c>
      <c r="H147" s="54" t="s">
        <v>652</v>
      </c>
      <c r="I147" s="56">
        <v>66.78</v>
      </c>
      <c r="J147" s="56">
        <v>78.099999999999994</v>
      </c>
      <c r="K147" s="55">
        <v>521.65</v>
      </c>
      <c r="L147" s="55">
        <f t="shared" si="4"/>
        <v>272.0675</v>
      </c>
      <c r="M147" s="56">
        <v>14.02</v>
      </c>
      <c r="N147" s="54" t="s">
        <v>617</v>
      </c>
      <c r="O147" s="54" t="s">
        <v>618</v>
      </c>
      <c r="P147" s="54" t="s">
        <v>576</v>
      </c>
      <c r="Q147" s="56">
        <v>54.5</v>
      </c>
      <c r="R147" s="54" t="s">
        <v>1065</v>
      </c>
      <c r="S147" s="54" t="s">
        <v>620</v>
      </c>
      <c r="T147" s="54" t="s">
        <v>578</v>
      </c>
      <c r="U147" s="54" t="s">
        <v>622</v>
      </c>
      <c r="V147" s="57" t="s">
        <v>495</v>
      </c>
    </row>
    <row r="148" spans="1:22" ht="15" customHeight="1" x14ac:dyDescent="0.25">
      <c r="A148" s="46" t="s">
        <v>1066</v>
      </c>
      <c r="B148" s="46" t="s">
        <v>1067</v>
      </c>
      <c r="C148" s="46" t="s">
        <v>674</v>
      </c>
      <c r="D148" s="46" t="s">
        <v>615</v>
      </c>
      <c r="E148" s="47">
        <v>2325.7399999999998</v>
      </c>
      <c r="F148" s="47">
        <v>1171.03</v>
      </c>
      <c r="G148" s="46">
        <v>49</v>
      </c>
      <c r="H148" s="46" t="s">
        <v>698</v>
      </c>
      <c r="I148" s="48">
        <v>13.84</v>
      </c>
      <c r="J148" s="48">
        <v>39.729999999999997</v>
      </c>
      <c r="K148" s="47">
        <v>1230.3900000000001</v>
      </c>
      <c r="L148" s="47">
        <f t="shared" si="4"/>
        <v>67.654600000000002</v>
      </c>
      <c r="M148" s="48">
        <v>14.49</v>
      </c>
      <c r="N148" s="46" t="s">
        <v>601</v>
      </c>
      <c r="O148" s="46" t="s">
        <v>602</v>
      </c>
      <c r="P148" s="46" t="s">
        <v>576</v>
      </c>
      <c r="Q148" s="48">
        <v>86.9</v>
      </c>
      <c r="R148" s="46" t="s">
        <v>1068</v>
      </c>
      <c r="S148" s="46" t="s">
        <v>596</v>
      </c>
      <c r="T148" s="46" t="s">
        <v>630</v>
      </c>
      <c r="U148" s="46" t="s">
        <v>579</v>
      </c>
      <c r="V148" s="49" t="s">
        <v>321</v>
      </c>
    </row>
    <row r="149" spans="1:22" ht="25.5" customHeight="1" x14ac:dyDescent="0.25">
      <c r="A149" s="50" t="s">
        <v>1069</v>
      </c>
      <c r="B149" s="50" t="s">
        <v>1070</v>
      </c>
      <c r="C149" s="50" t="s">
        <v>659</v>
      </c>
      <c r="D149" s="50" t="s">
        <v>720</v>
      </c>
      <c r="E149" s="51">
        <v>289.33</v>
      </c>
      <c r="F149" s="51">
        <v>132.47</v>
      </c>
      <c r="G149" s="50">
        <v>0</v>
      </c>
      <c r="H149" s="50" t="s">
        <v>584</v>
      </c>
      <c r="I149" s="52">
        <v>2.91</v>
      </c>
      <c r="J149" s="52">
        <v>28.16</v>
      </c>
      <c r="K149" s="51">
        <v>136.06</v>
      </c>
      <c r="L149" s="51">
        <f t="shared" si="4"/>
        <v>1.115</v>
      </c>
      <c r="M149" s="52">
        <v>18.55</v>
      </c>
      <c r="N149" s="50" t="s">
        <v>664</v>
      </c>
      <c r="O149" s="50" t="s">
        <v>609</v>
      </c>
      <c r="P149" s="50" t="s">
        <v>587</v>
      </c>
      <c r="Q149" s="52">
        <v>57.1</v>
      </c>
      <c r="R149" s="50" t="s">
        <v>1045</v>
      </c>
      <c r="S149" s="50" t="s">
        <v>691</v>
      </c>
      <c r="T149" s="50" t="s">
        <v>649</v>
      </c>
      <c r="U149" s="50" t="s">
        <v>590</v>
      </c>
      <c r="V149" s="53" t="s">
        <v>266</v>
      </c>
    </row>
    <row r="150" spans="1:22" ht="25.5" customHeight="1" x14ac:dyDescent="0.25">
      <c r="A150" s="54" t="s">
        <v>1071</v>
      </c>
      <c r="B150" s="54" t="s">
        <v>1072</v>
      </c>
      <c r="C150" s="54" t="s">
        <v>674</v>
      </c>
      <c r="D150" s="54" t="s">
        <v>615</v>
      </c>
      <c r="E150" s="55">
        <v>259.95</v>
      </c>
      <c r="F150" s="55">
        <v>187.34</v>
      </c>
      <c r="G150" s="54">
        <v>100</v>
      </c>
      <c r="H150" s="54" t="s">
        <v>616</v>
      </c>
      <c r="I150" s="56">
        <v>27.05</v>
      </c>
      <c r="J150" s="56">
        <v>43.86</v>
      </c>
      <c r="K150" s="55">
        <v>193.72</v>
      </c>
      <c r="L150" s="55">
        <f t="shared" si="4"/>
        <v>22.9832</v>
      </c>
      <c r="M150" s="56">
        <v>17.21</v>
      </c>
      <c r="N150" s="54" t="s">
        <v>594</v>
      </c>
      <c r="O150" s="54" t="s">
        <v>678</v>
      </c>
      <c r="P150" s="54" t="s">
        <v>576</v>
      </c>
      <c r="Q150" s="56">
        <v>61.8</v>
      </c>
      <c r="R150" s="54" t="s">
        <v>1073</v>
      </c>
      <c r="S150" s="54" t="s">
        <v>671</v>
      </c>
      <c r="T150" s="54" t="s">
        <v>656</v>
      </c>
      <c r="U150" s="54" t="s">
        <v>622</v>
      </c>
      <c r="V150" s="57" t="s">
        <v>495</v>
      </c>
    </row>
    <row r="151" spans="1:22" ht="15" customHeight="1" x14ac:dyDescent="0.25">
      <c r="A151" s="50" t="s">
        <v>1074</v>
      </c>
      <c r="B151" s="50" t="s">
        <v>1075</v>
      </c>
      <c r="C151" s="50" t="s">
        <v>614</v>
      </c>
      <c r="D151" s="50" t="s">
        <v>593</v>
      </c>
      <c r="E151" s="51">
        <v>931.8</v>
      </c>
      <c r="F151" s="51">
        <v>450.47</v>
      </c>
      <c r="G151" s="50">
        <v>0</v>
      </c>
      <c r="H151" s="50" t="s">
        <v>584</v>
      </c>
      <c r="I151" s="52">
        <v>1.44</v>
      </c>
      <c r="J151" s="52">
        <v>33.92</v>
      </c>
      <c r="K151" s="51">
        <v>457.73</v>
      </c>
      <c r="L151" s="51">
        <f t="shared" si="4"/>
        <v>2.2357999999999998</v>
      </c>
      <c r="M151" s="52">
        <v>12.43</v>
      </c>
      <c r="N151" s="50" t="s">
        <v>608</v>
      </c>
      <c r="O151" s="50" t="s">
        <v>638</v>
      </c>
      <c r="P151" s="50" t="s">
        <v>587</v>
      </c>
      <c r="Q151" s="52">
        <v>74.400000000000006</v>
      </c>
      <c r="R151" s="50" t="s">
        <v>1076</v>
      </c>
      <c r="S151" s="50" t="s">
        <v>571</v>
      </c>
      <c r="T151" s="50" t="s">
        <v>688</v>
      </c>
      <c r="U151" s="50" t="s">
        <v>590</v>
      </c>
      <c r="V151" s="53" t="s">
        <v>266</v>
      </c>
    </row>
    <row r="152" spans="1:22" ht="15" customHeight="1" x14ac:dyDescent="0.25">
      <c r="A152" s="54" t="s">
        <v>1077</v>
      </c>
      <c r="B152" s="54" t="s">
        <v>1078</v>
      </c>
      <c r="C152" s="54" t="s">
        <v>659</v>
      </c>
      <c r="D152" s="54" t="s">
        <v>615</v>
      </c>
      <c r="E152" s="55">
        <v>80.23</v>
      </c>
      <c r="F152" s="55">
        <v>46.64</v>
      </c>
      <c r="G152" s="54">
        <v>162</v>
      </c>
      <c r="H152" s="54" t="s">
        <v>616</v>
      </c>
      <c r="I152" s="56">
        <v>47.63</v>
      </c>
      <c r="J152" s="56">
        <v>64.45</v>
      </c>
      <c r="K152" s="55">
        <v>47.64</v>
      </c>
      <c r="L152" s="55">
        <f t="shared" si="4"/>
        <v>14.6243</v>
      </c>
      <c r="M152" s="56">
        <v>13.03</v>
      </c>
      <c r="N152" s="54" t="s">
        <v>664</v>
      </c>
      <c r="O152" s="54" t="s">
        <v>628</v>
      </c>
      <c r="P152" s="54" t="s">
        <v>576</v>
      </c>
      <c r="Q152" s="56">
        <v>52.4</v>
      </c>
      <c r="R152" s="54" t="s">
        <v>904</v>
      </c>
      <c r="S152" s="54" t="s">
        <v>680</v>
      </c>
      <c r="T152" s="54" t="s">
        <v>589</v>
      </c>
      <c r="U152" s="54" t="s">
        <v>622</v>
      </c>
      <c r="V152" s="57" t="s">
        <v>495</v>
      </c>
    </row>
    <row r="153" spans="1:22" ht="15" customHeight="1" x14ac:dyDescent="0.25">
      <c r="A153" s="50" t="s">
        <v>1079</v>
      </c>
      <c r="B153" s="50" t="s">
        <v>1080</v>
      </c>
      <c r="C153" s="50" t="s">
        <v>674</v>
      </c>
      <c r="D153" s="50" t="s">
        <v>583</v>
      </c>
      <c r="E153" s="51">
        <v>459.66</v>
      </c>
      <c r="F153" s="51">
        <v>224.16</v>
      </c>
      <c r="G153" s="50">
        <v>0</v>
      </c>
      <c r="H153" s="50" t="s">
        <v>584</v>
      </c>
      <c r="I153" s="52">
        <v>1.24</v>
      </c>
      <c r="J153" s="52">
        <v>43.61</v>
      </c>
      <c r="K153" s="51">
        <v>231.98</v>
      </c>
      <c r="L153" s="51">
        <f t="shared" si="4"/>
        <v>1.2544999999999999</v>
      </c>
      <c r="M153" s="52">
        <v>15.96</v>
      </c>
      <c r="N153" s="50" t="s">
        <v>617</v>
      </c>
      <c r="O153" s="50" t="s">
        <v>647</v>
      </c>
      <c r="P153" s="50" t="s">
        <v>587</v>
      </c>
      <c r="Q153" s="52">
        <v>69.3</v>
      </c>
      <c r="R153" s="50" t="s">
        <v>1081</v>
      </c>
      <c r="S153" s="50" t="s">
        <v>680</v>
      </c>
      <c r="T153" s="50" t="s">
        <v>656</v>
      </c>
      <c r="U153" s="50" t="s">
        <v>590</v>
      </c>
      <c r="V153" s="53" t="s">
        <v>266</v>
      </c>
    </row>
    <row r="154" spans="1:22" ht="25.5" customHeight="1" x14ac:dyDescent="0.25">
      <c r="A154" s="54" t="s">
        <v>1082</v>
      </c>
      <c r="B154" s="54" t="s">
        <v>1083</v>
      </c>
      <c r="C154" s="54" t="s">
        <v>633</v>
      </c>
      <c r="D154" s="54" t="s">
        <v>634</v>
      </c>
      <c r="E154" s="55">
        <v>2111.9499999999998</v>
      </c>
      <c r="F154" s="55">
        <v>1179.1500000000001</v>
      </c>
      <c r="G154" s="54">
        <v>293</v>
      </c>
      <c r="H154" s="54" t="s">
        <v>627</v>
      </c>
      <c r="I154" s="56">
        <v>50.04</v>
      </c>
      <c r="J154" s="56">
        <v>65.39</v>
      </c>
      <c r="K154" s="55">
        <v>1234.99</v>
      </c>
      <c r="L154" s="55">
        <f t="shared" si="4"/>
        <v>404.10300000000001</v>
      </c>
      <c r="M154" s="56">
        <v>20.27</v>
      </c>
      <c r="N154" s="54" t="s">
        <v>585</v>
      </c>
      <c r="O154" s="54" t="s">
        <v>653</v>
      </c>
      <c r="P154" s="54" t="s">
        <v>576</v>
      </c>
      <c r="Q154" s="56">
        <v>62</v>
      </c>
      <c r="R154" s="54" t="s">
        <v>1084</v>
      </c>
      <c r="S154" s="54" t="s">
        <v>700</v>
      </c>
      <c r="T154" s="54" t="s">
        <v>589</v>
      </c>
      <c r="U154" s="54" t="s">
        <v>622</v>
      </c>
      <c r="V154" s="57" t="s">
        <v>495</v>
      </c>
    </row>
    <row r="155" spans="1:22" ht="25.5" customHeight="1" x14ac:dyDescent="0.25">
      <c r="A155" s="50" t="s">
        <v>1085</v>
      </c>
      <c r="B155" s="50" t="s">
        <v>1086</v>
      </c>
      <c r="C155" s="50" t="s">
        <v>659</v>
      </c>
      <c r="D155" s="50" t="s">
        <v>626</v>
      </c>
      <c r="E155" s="51">
        <v>2413.21</v>
      </c>
      <c r="F155" s="51">
        <v>2313.62</v>
      </c>
      <c r="G155" s="50">
        <v>0</v>
      </c>
      <c r="H155" s="50" t="s">
        <v>584</v>
      </c>
      <c r="I155" s="52">
        <v>2.91</v>
      </c>
      <c r="J155" s="52">
        <v>39.549999999999997</v>
      </c>
      <c r="K155" s="51">
        <v>2312.0700000000002</v>
      </c>
      <c r="L155" s="51">
        <f t="shared" si="4"/>
        <v>26.6097</v>
      </c>
      <c r="M155" s="52">
        <v>14.02</v>
      </c>
      <c r="N155" s="50" t="s">
        <v>601</v>
      </c>
      <c r="O155" s="50" t="s">
        <v>609</v>
      </c>
      <c r="P155" s="50" t="s">
        <v>587</v>
      </c>
      <c r="Q155" s="52">
        <v>64.3</v>
      </c>
      <c r="R155" s="50" t="s">
        <v>1087</v>
      </c>
      <c r="S155" s="50" t="s">
        <v>700</v>
      </c>
      <c r="T155" s="50" t="s">
        <v>621</v>
      </c>
      <c r="U155" s="50" t="s">
        <v>590</v>
      </c>
      <c r="V155" s="53" t="s">
        <v>266</v>
      </c>
    </row>
    <row r="156" spans="1:22" ht="15" customHeight="1" x14ac:dyDescent="0.25">
      <c r="A156" s="54" t="s">
        <v>1088</v>
      </c>
      <c r="B156" s="54" t="s">
        <v>1089</v>
      </c>
      <c r="C156" s="54" t="s">
        <v>674</v>
      </c>
      <c r="D156" s="54" t="s">
        <v>720</v>
      </c>
      <c r="E156" s="55">
        <v>2384.86</v>
      </c>
      <c r="F156" s="55">
        <v>1464.07</v>
      </c>
      <c r="G156" s="54">
        <v>147</v>
      </c>
      <c r="H156" s="54" t="s">
        <v>616</v>
      </c>
      <c r="I156" s="56">
        <v>44.94</v>
      </c>
      <c r="J156" s="56">
        <v>60.78</v>
      </c>
      <c r="K156" s="55">
        <v>1429.26</v>
      </c>
      <c r="L156" s="55">
        <f t="shared" si="4"/>
        <v>390.39569999999998</v>
      </c>
      <c r="M156" s="56">
        <v>19.13</v>
      </c>
      <c r="N156" s="54" t="s">
        <v>601</v>
      </c>
      <c r="O156" s="54" t="s">
        <v>678</v>
      </c>
      <c r="P156" s="54" t="s">
        <v>576</v>
      </c>
      <c r="Q156" s="56">
        <v>80.7</v>
      </c>
      <c r="R156" s="54" t="s">
        <v>901</v>
      </c>
      <c r="S156" s="54" t="s">
        <v>604</v>
      </c>
      <c r="T156" s="54" t="s">
        <v>667</v>
      </c>
      <c r="U156" s="54" t="s">
        <v>622</v>
      </c>
      <c r="V156" s="57" t="s">
        <v>495</v>
      </c>
    </row>
    <row r="157" spans="1:22" ht="15" customHeight="1" x14ac:dyDescent="0.25">
      <c r="A157" s="54" t="s">
        <v>1090</v>
      </c>
      <c r="B157" s="54" t="s">
        <v>1091</v>
      </c>
      <c r="C157" s="54" t="s">
        <v>571</v>
      </c>
      <c r="D157" s="54" t="s">
        <v>642</v>
      </c>
      <c r="E157" s="55">
        <v>1663.72</v>
      </c>
      <c r="F157" s="55">
        <v>1308.28</v>
      </c>
      <c r="G157" s="54">
        <v>100</v>
      </c>
      <c r="H157" s="54" t="s">
        <v>616</v>
      </c>
      <c r="I157" s="56">
        <v>36.229999999999997</v>
      </c>
      <c r="J157" s="56">
        <v>54.95</v>
      </c>
      <c r="K157" s="55">
        <v>1337.59</v>
      </c>
      <c r="L157" s="55">
        <f t="shared" si="4"/>
        <v>266.29259999999999</v>
      </c>
      <c r="M157" s="56">
        <v>16.309999999999999</v>
      </c>
      <c r="N157" s="54" t="s">
        <v>601</v>
      </c>
      <c r="O157" s="54" t="s">
        <v>678</v>
      </c>
      <c r="P157" s="54" t="s">
        <v>576</v>
      </c>
      <c r="Q157" s="56">
        <v>73.8</v>
      </c>
      <c r="R157" s="54" t="s">
        <v>1092</v>
      </c>
      <c r="S157" s="54" t="s">
        <v>666</v>
      </c>
      <c r="T157" s="54" t="s">
        <v>819</v>
      </c>
      <c r="U157" s="54" t="s">
        <v>622</v>
      </c>
      <c r="V157" s="57" t="s">
        <v>495</v>
      </c>
    </row>
    <row r="158" spans="1:22" ht="25.5" customHeight="1" x14ac:dyDescent="0.25">
      <c r="A158" s="50" t="s">
        <v>1093</v>
      </c>
      <c r="B158" s="50" t="s">
        <v>1094</v>
      </c>
      <c r="C158" s="50" t="s">
        <v>600</v>
      </c>
      <c r="D158" s="50" t="s">
        <v>583</v>
      </c>
      <c r="E158" s="51">
        <v>1933.94</v>
      </c>
      <c r="F158" s="51">
        <v>1444.98</v>
      </c>
      <c r="G158" s="50">
        <v>0</v>
      </c>
      <c r="H158" s="50" t="s">
        <v>584</v>
      </c>
      <c r="I158" s="52">
        <v>1.8</v>
      </c>
      <c r="J158" s="52">
        <v>36.130000000000003</v>
      </c>
      <c r="K158" s="51">
        <v>1485.74</v>
      </c>
      <c r="L158" s="51">
        <f t="shared" si="4"/>
        <v>9.6623999999999999</v>
      </c>
      <c r="M158" s="52">
        <v>20.2</v>
      </c>
      <c r="N158" s="50" t="s">
        <v>574</v>
      </c>
      <c r="O158" s="50" t="s">
        <v>602</v>
      </c>
      <c r="P158" s="50" t="s">
        <v>587</v>
      </c>
      <c r="Q158" s="52">
        <v>67.8</v>
      </c>
      <c r="R158" s="50" t="s">
        <v>1095</v>
      </c>
      <c r="S158" s="50" t="s">
        <v>671</v>
      </c>
      <c r="T158" s="50" t="s">
        <v>667</v>
      </c>
      <c r="U158" s="50" t="s">
        <v>590</v>
      </c>
      <c r="V158" s="53" t="s">
        <v>266</v>
      </c>
    </row>
    <row r="159" spans="1:22" ht="15" customHeight="1" x14ac:dyDescent="0.25">
      <c r="A159" s="54" t="s">
        <v>1096</v>
      </c>
      <c r="B159" s="54" t="s">
        <v>1097</v>
      </c>
      <c r="C159" s="54" t="s">
        <v>571</v>
      </c>
      <c r="D159" s="54" t="s">
        <v>572</v>
      </c>
      <c r="E159" s="55">
        <v>1142.1600000000001</v>
      </c>
      <c r="F159" s="55">
        <v>646.42999999999995</v>
      </c>
      <c r="G159" s="54">
        <v>166</v>
      </c>
      <c r="H159" s="54" t="s">
        <v>616</v>
      </c>
      <c r="I159" s="56">
        <v>42.26</v>
      </c>
      <c r="J159" s="56">
        <v>43.77</v>
      </c>
      <c r="K159" s="55">
        <v>685.08</v>
      </c>
      <c r="L159" s="55">
        <f t="shared" si="4"/>
        <v>126.7206</v>
      </c>
      <c r="M159" s="56">
        <v>15.84</v>
      </c>
      <c r="N159" s="54" t="s">
        <v>574</v>
      </c>
      <c r="O159" s="54" t="s">
        <v>678</v>
      </c>
      <c r="P159" s="54" t="s">
        <v>576</v>
      </c>
      <c r="Q159" s="56">
        <v>93.8</v>
      </c>
      <c r="R159" s="54" t="s">
        <v>1098</v>
      </c>
      <c r="S159" s="54" t="s">
        <v>671</v>
      </c>
      <c r="T159" s="54" t="s">
        <v>819</v>
      </c>
      <c r="U159" s="54" t="s">
        <v>622</v>
      </c>
      <c r="V159" s="57" t="s">
        <v>495</v>
      </c>
    </row>
    <row r="160" spans="1:22" ht="15" customHeight="1" x14ac:dyDescent="0.25">
      <c r="A160" s="50" t="s">
        <v>1099</v>
      </c>
      <c r="B160" s="50" t="s">
        <v>1100</v>
      </c>
      <c r="C160" s="50" t="s">
        <v>674</v>
      </c>
      <c r="D160" s="50" t="s">
        <v>634</v>
      </c>
      <c r="E160" s="51">
        <v>814.13</v>
      </c>
      <c r="F160" s="51">
        <v>496.31</v>
      </c>
      <c r="G160" s="50">
        <v>0</v>
      </c>
      <c r="H160" s="50" t="s">
        <v>584</v>
      </c>
      <c r="I160" s="52">
        <v>1.21</v>
      </c>
      <c r="J160" s="52">
        <v>22.44</v>
      </c>
      <c r="K160" s="51">
        <v>513.66999999999996</v>
      </c>
      <c r="L160" s="51">
        <f t="shared" si="4"/>
        <v>1.3947000000000001</v>
      </c>
      <c r="M160" s="52">
        <v>15.57</v>
      </c>
      <c r="N160" s="50" t="s">
        <v>608</v>
      </c>
      <c r="O160" s="50" t="s">
        <v>638</v>
      </c>
      <c r="P160" s="50" t="s">
        <v>587</v>
      </c>
      <c r="Q160" s="52">
        <v>47.4</v>
      </c>
      <c r="R160" s="50" t="s">
        <v>1101</v>
      </c>
      <c r="S160" s="50" t="s">
        <v>671</v>
      </c>
      <c r="T160" s="50" t="s">
        <v>656</v>
      </c>
      <c r="U160" s="50" t="s">
        <v>590</v>
      </c>
      <c r="V160" s="53" t="s">
        <v>266</v>
      </c>
    </row>
    <row r="161" spans="1:22" ht="25.5" customHeight="1" x14ac:dyDescent="0.25">
      <c r="A161" s="54" t="s">
        <v>1102</v>
      </c>
      <c r="B161" s="54" t="s">
        <v>1103</v>
      </c>
      <c r="C161" s="54" t="s">
        <v>659</v>
      </c>
      <c r="D161" s="54" t="s">
        <v>583</v>
      </c>
      <c r="E161" s="55">
        <v>1708.99</v>
      </c>
      <c r="F161" s="55">
        <v>703.7</v>
      </c>
      <c r="G161" s="54">
        <v>855</v>
      </c>
      <c r="H161" s="54" t="s">
        <v>730</v>
      </c>
      <c r="I161" s="56">
        <v>89.8</v>
      </c>
      <c r="J161" s="56">
        <v>81.56</v>
      </c>
      <c r="K161" s="55">
        <v>703.55</v>
      </c>
      <c r="L161" s="55">
        <f t="shared" si="4"/>
        <v>515.28620000000001</v>
      </c>
      <c r="M161" s="56">
        <v>15.34</v>
      </c>
      <c r="N161" s="54" t="s">
        <v>664</v>
      </c>
      <c r="O161" s="54" t="s">
        <v>628</v>
      </c>
      <c r="P161" s="54" t="s">
        <v>576</v>
      </c>
      <c r="Q161" s="56">
        <v>87.3</v>
      </c>
      <c r="R161" s="54" t="s">
        <v>1104</v>
      </c>
      <c r="S161" s="54" t="s">
        <v>713</v>
      </c>
      <c r="T161" s="54" t="s">
        <v>661</v>
      </c>
      <c r="U161" s="54" t="s">
        <v>622</v>
      </c>
      <c r="V161" s="57" t="s">
        <v>495</v>
      </c>
    </row>
    <row r="162" spans="1:22" ht="15" customHeight="1" x14ac:dyDescent="0.25">
      <c r="A162" s="50" t="s">
        <v>1105</v>
      </c>
      <c r="B162" s="50" t="s">
        <v>1106</v>
      </c>
      <c r="C162" s="50" t="s">
        <v>633</v>
      </c>
      <c r="D162" s="50" t="s">
        <v>615</v>
      </c>
      <c r="E162" s="51">
        <v>121.52</v>
      </c>
      <c r="F162" s="51">
        <v>87.2</v>
      </c>
      <c r="G162" s="50">
        <v>0</v>
      </c>
      <c r="H162" s="50" t="s">
        <v>584</v>
      </c>
      <c r="I162" s="52">
        <v>1.32</v>
      </c>
      <c r="J162" s="52">
        <v>37.619999999999997</v>
      </c>
      <c r="K162" s="51">
        <v>86.2</v>
      </c>
      <c r="L162" s="51">
        <f t="shared" si="4"/>
        <v>0.42809999999999998</v>
      </c>
      <c r="M162" s="52">
        <v>18.27</v>
      </c>
      <c r="N162" s="50" t="s">
        <v>601</v>
      </c>
      <c r="O162" s="50" t="s">
        <v>602</v>
      </c>
      <c r="P162" s="50" t="s">
        <v>587</v>
      </c>
      <c r="Q162" s="52">
        <v>48.3</v>
      </c>
      <c r="R162" s="50" t="s">
        <v>1107</v>
      </c>
      <c r="S162" s="50" t="s">
        <v>611</v>
      </c>
      <c r="T162" s="50" t="s">
        <v>605</v>
      </c>
      <c r="U162" s="50" t="s">
        <v>590</v>
      </c>
      <c r="V162" s="53" t="s">
        <v>266</v>
      </c>
    </row>
    <row r="163" spans="1:22" ht="15" customHeight="1" x14ac:dyDescent="0.25">
      <c r="A163" s="50" t="s">
        <v>1108</v>
      </c>
      <c r="B163" s="50" t="s">
        <v>1109</v>
      </c>
      <c r="C163" s="50" t="s">
        <v>674</v>
      </c>
      <c r="D163" s="50" t="s">
        <v>634</v>
      </c>
      <c r="E163" s="51">
        <v>848.66</v>
      </c>
      <c r="F163" s="51">
        <v>518.65</v>
      </c>
      <c r="G163" s="50">
        <v>0</v>
      </c>
      <c r="H163" s="50" t="s">
        <v>584</v>
      </c>
      <c r="I163" s="52">
        <v>1.7</v>
      </c>
      <c r="J163" s="52">
        <v>35.979999999999997</v>
      </c>
      <c r="K163" s="51">
        <v>530.96</v>
      </c>
      <c r="L163" s="51">
        <f t="shared" ref="L163:L194" si="5">ROUND(K163*(I163/100)*(J163/100),4)</f>
        <v>3.2477</v>
      </c>
      <c r="M163" s="52">
        <v>17</v>
      </c>
      <c r="N163" s="50" t="s">
        <v>617</v>
      </c>
      <c r="O163" s="50" t="s">
        <v>716</v>
      </c>
      <c r="P163" s="50" t="s">
        <v>587</v>
      </c>
      <c r="Q163" s="52">
        <v>63.4</v>
      </c>
      <c r="R163" s="50" t="s">
        <v>1110</v>
      </c>
      <c r="S163" s="50" t="s">
        <v>571</v>
      </c>
      <c r="T163" s="50" t="s">
        <v>661</v>
      </c>
      <c r="U163" s="50" t="s">
        <v>590</v>
      </c>
      <c r="V163" s="53" t="s">
        <v>266</v>
      </c>
    </row>
    <row r="164" spans="1:22" ht="15" customHeight="1" x14ac:dyDescent="0.25">
      <c r="A164" s="50" t="s">
        <v>1111</v>
      </c>
      <c r="B164" s="50" t="s">
        <v>1112</v>
      </c>
      <c r="C164" s="50" t="s">
        <v>614</v>
      </c>
      <c r="D164" s="50" t="s">
        <v>583</v>
      </c>
      <c r="E164" s="51">
        <v>1696.67</v>
      </c>
      <c r="F164" s="51">
        <v>870.33</v>
      </c>
      <c r="G164" s="50">
        <v>0</v>
      </c>
      <c r="H164" s="50" t="s">
        <v>584</v>
      </c>
      <c r="I164" s="52">
        <v>0.75</v>
      </c>
      <c r="J164" s="52">
        <v>37.340000000000003</v>
      </c>
      <c r="K164" s="51">
        <v>884.23</v>
      </c>
      <c r="L164" s="51">
        <f t="shared" si="5"/>
        <v>2.4763000000000002</v>
      </c>
      <c r="M164" s="52">
        <v>15.26</v>
      </c>
      <c r="N164" s="50" t="s">
        <v>585</v>
      </c>
      <c r="O164" s="50" t="s">
        <v>586</v>
      </c>
      <c r="P164" s="50" t="s">
        <v>587</v>
      </c>
      <c r="Q164" s="52">
        <v>65.3</v>
      </c>
      <c r="R164" s="50" t="s">
        <v>994</v>
      </c>
      <c r="S164" s="50" t="s">
        <v>695</v>
      </c>
      <c r="T164" s="50" t="s">
        <v>644</v>
      </c>
      <c r="U164" s="50" t="s">
        <v>590</v>
      </c>
      <c r="V164" s="53" t="s">
        <v>266</v>
      </c>
    </row>
    <row r="165" spans="1:22" ht="25.5" customHeight="1" x14ac:dyDescent="0.25">
      <c r="A165" s="50" t="s">
        <v>1113</v>
      </c>
      <c r="B165" s="50" t="s">
        <v>1114</v>
      </c>
      <c r="C165" s="50" t="s">
        <v>674</v>
      </c>
      <c r="D165" s="50" t="s">
        <v>626</v>
      </c>
      <c r="E165" s="51">
        <v>1249.6199999999999</v>
      </c>
      <c r="F165" s="51">
        <v>494.1</v>
      </c>
      <c r="G165" s="50">
        <v>0</v>
      </c>
      <c r="H165" s="50" t="s">
        <v>584</v>
      </c>
      <c r="I165" s="52">
        <v>1.95</v>
      </c>
      <c r="J165" s="52">
        <v>41.64</v>
      </c>
      <c r="K165" s="51">
        <v>521.6</v>
      </c>
      <c r="L165" s="51">
        <f t="shared" si="5"/>
        <v>4.2352999999999996</v>
      </c>
      <c r="M165" s="52">
        <v>15.86</v>
      </c>
      <c r="N165" s="50" t="s">
        <v>585</v>
      </c>
      <c r="O165" s="50" t="s">
        <v>602</v>
      </c>
      <c r="P165" s="50" t="s">
        <v>587</v>
      </c>
      <c r="Q165" s="52">
        <v>65.3</v>
      </c>
      <c r="R165" s="50" t="s">
        <v>1115</v>
      </c>
      <c r="S165" s="50" t="s">
        <v>614</v>
      </c>
      <c r="T165" s="50" t="s">
        <v>644</v>
      </c>
      <c r="U165" s="50" t="s">
        <v>590</v>
      </c>
      <c r="V165" s="53" t="s">
        <v>266</v>
      </c>
    </row>
    <row r="166" spans="1:22" ht="15" customHeight="1" x14ac:dyDescent="0.25">
      <c r="A166" s="54" t="s">
        <v>1116</v>
      </c>
      <c r="B166" s="54" t="s">
        <v>1117</v>
      </c>
      <c r="C166" s="54" t="s">
        <v>625</v>
      </c>
      <c r="D166" s="54" t="s">
        <v>615</v>
      </c>
      <c r="E166" s="55">
        <v>1727.51</v>
      </c>
      <c r="F166" s="55">
        <v>1006.5</v>
      </c>
      <c r="G166" s="54">
        <v>306</v>
      </c>
      <c r="H166" s="54" t="s">
        <v>627</v>
      </c>
      <c r="I166" s="56">
        <v>45.02</v>
      </c>
      <c r="J166" s="56">
        <v>59.13</v>
      </c>
      <c r="K166" s="55">
        <v>1048.4000000000001</v>
      </c>
      <c r="L166" s="55">
        <f t="shared" si="5"/>
        <v>279.08749999999998</v>
      </c>
      <c r="M166" s="56">
        <v>13.48</v>
      </c>
      <c r="N166" s="54" t="s">
        <v>608</v>
      </c>
      <c r="O166" s="54" t="s">
        <v>653</v>
      </c>
      <c r="P166" s="54" t="s">
        <v>576</v>
      </c>
      <c r="Q166" s="56">
        <v>56.9</v>
      </c>
      <c r="R166" s="54" t="s">
        <v>1118</v>
      </c>
      <c r="S166" s="54" t="s">
        <v>713</v>
      </c>
      <c r="T166" s="54" t="s">
        <v>688</v>
      </c>
      <c r="U166" s="54" t="s">
        <v>622</v>
      </c>
      <c r="V166" s="57" t="s">
        <v>495</v>
      </c>
    </row>
    <row r="167" spans="1:22" ht="25.5" customHeight="1" x14ac:dyDescent="0.25">
      <c r="A167" s="50" t="s">
        <v>1119</v>
      </c>
      <c r="B167" s="50" t="s">
        <v>1120</v>
      </c>
      <c r="C167" s="50" t="s">
        <v>625</v>
      </c>
      <c r="D167" s="50" t="s">
        <v>593</v>
      </c>
      <c r="E167" s="51">
        <v>1396.83</v>
      </c>
      <c r="F167" s="51">
        <v>526.58000000000004</v>
      </c>
      <c r="G167" s="50">
        <v>0</v>
      </c>
      <c r="H167" s="50" t="s">
        <v>584</v>
      </c>
      <c r="I167" s="52">
        <v>1.74</v>
      </c>
      <c r="J167" s="52">
        <v>38.92</v>
      </c>
      <c r="K167" s="51">
        <v>546.79999999999995</v>
      </c>
      <c r="L167" s="51">
        <f t="shared" si="5"/>
        <v>3.7029999999999998</v>
      </c>
      <c r="M167" s="52">
        <v>15.47</v>
      </c>
      <c r="N167" s="50" t="s">
        <v>585</v>
      </c>
      <c r="O167" s="50" t="s">
        <v>609</v>
      </c>
      <c r="P167" s="50" t="s">
        <v>587</v>
      </c>
      <c r="Q167" s="52">
        <v>50.4</v>
      </c>
      <c r="R167" s="50" t="s">
        <v>1121</v>
      </c>
      <c r="S167" s="50" t="s">
        <v>611</v>
      </c>
      <c r="T167" s="50" t="s">
        <v>578</v>
      </c>
      <c r="U167" s="50" t="s">
        <v>590</v>
      </c>
      <c r="V167" s="53" t="s">
        <v>266</v>
      </c>
    </row>
    <row r="168" spans="1:22" ht="15" customHeight="1" x14ac:dyDescent="0.25">
      <c r="A168" s="54" t="s">
        <v>1122</v>
      </c>
      <c r="B168" s="54" t="s">
        <v>1123</v>
      </c>
      <c r="C168" s="54" t="s">
        <v>614</v>
      </c>
      <c r="D168" s="54" t="s">
        <v>720</v>
      </c>
      <c r="E168" s="55">
        <v>1151.8399999999999</v>
      </c>
      <c r="F168" s="55">
        <v>618.58000000000004</v>
      </c>
      <c r="G168" s="54">
        <v>293</v>
      </c>
      <c r="H168" s="54" t="s">
        <v>627</v>
      </c>
      <c r="I168" s="56">
        <v>65.959999999999994</v>
      </c>
      <c r="J168" s="56">
        <v>47.93</v>
      </c>
      <c r="K168" s="55">
        <v>645.22</v>
      </c>
      <c r="L168" s="55">
        <f t="shared" si="5"/>
        <v>203.98390000000001</v>
      </c>
      <c r="M168" s="56">
        <v>13.39</v>
      </c>
      <c r="N168" s="54" t="s">
        <v>594</v>
      </c>
      <c r="O168" s="54" t="s">
        <v>653</v>
      </c>
      <c r="P168" s="54" t="s">
        <v>576</v>
      </c>
      <c r="Q168" s="56">
        <v>90.6</v>
      </c>
      <c r="R168" s="54" t="s">
        <v>1124</v>
      </c>
      <c r="S168" s="54" t="s">
        <v>604</v>
      </c>
      <c r="T168" s="54" t="s">
        <v>649</v>
      </c>
      <c r="U168" s="54" t="s">
        <v>622</v>
      </c>
      <c r="V168" s="57" t="s">
        <v>495</v>
      </c>
    </row>
    <row r="169" spans="1:22" ht="15" customHeight="1" x14ac:dyDescent="0.25">
      <c r="A169" s="54" t="s">
        <v>1125</v>
      </c>
      <c r="B169" s="54" t="s">
        <v>1126</v>
      </c>
      <c r="C169" s="54" t="s">
        <v>674</v>
      </c>
      <c r="D169" s="54" t="s">
        <v>626</v>
      </c>
      <c r="E169" s="55">
        <v>1972.88</v>
      </c>
      <c r="F169" s="55">
        <v>1683.26</v>
      </c>
      <c r="G169" s="54">
        <v>326</v>
      </c>
      <c r="H169" s="54" t="s">
        <v>627</v>
      </c>
      <c r="I169" s="56">
        <v>50.52</v>
      </c>
      <c r="J169" s="56">
        <v>52.03</v>
      </c>
      <c r="K169" s="55">
        <v>1714.38</v>
      </c>
      <c r="L169" s="55">
        <f t="shared" si="5"/>
        <v>450.6343</v>
      </c>
      <c r="M169" s="56">
        <v>14.41</v>
      </c>
      <c r="N169" s="54" t="s">
        <v>594</v>
      </c>
      <c r="O169" s="54" t="s">
        <v>653</v>
      </c>
      <c r="P169" s="54" t="s">
        <v>576</v>
      </c>
      <c r="Q169" s="56">
        <v>60.3</v>
      </c>
      <c r="R169" s="54" t="s">
        <v>1127</v>
      </c>
      <c r="S169" s="54" t="s">
        <v>655</v>
      </c>
      <c r="T169" s="54" t="s">
        <v>605</v>
      </c>
      <c r="U169" s="54" t="s">
        <v>622</v>
      </c>
      <c r="V169" s="57" t="s">
        <v>495</v>
      </c>
    </row>
    <row r="170" spans="1:22" ht="15" customHeight="1" x14ac:dyDescent="0.25">
      <c r="A170" s="54" t="s">
        <v>1128</v>
      </c>
      <c r="B170" s="54" t="s">
        <v>1129</v>
      </c>
      <c r="C170" s="54" t="s">
        <v>600</v>
      </c>
      <c r="D170" s="54" t="s">
        <v>626</v>
      </c>
      <c r="E170" s="55">
        <v>2408.79</v>
      </c>
      <c r="F170" s="55">
        <v>2009.58</v>
      </c>
      <c r="G170" s="54">
        <v>507</v>
      </c>
      <c r="H170" s="54" t="s">
        <v>652</v>
      </c>
      <c r="I170" s="56">
        <v>81.680000000000007</v>
      </c>
      <c r="J170" s="56">
        <v>58.17</v>
      </c>
      <c r="K170" s="55">
        <v>2105.9299999999998</v>
      </c>
      <c r="L170" s="55">
        <f t="shared" si="5"/>
        <v>1000.5959</v>
      </c>
      <c r="M170" s="56">
        <v>13.75</v>
      </c>
      <c r="N170" s="54" t="s">
        <v>594</v>
      </c>
      <c r="O170" s="54" t="s">
        <v>653</v>
      </c>
      <c r="P170" s="54" t="s">
        <v>576</v>
      </c>
      <c r="Q170" s="56">
        <v>88.9</v>
      </c>
      <c r="R170" s="54" t="s">
        <v>1130</v>
      </c>
      <c r="S170" s="54" t="s">
        <v>655</v>
      </c>
      <c r="T170" s="54" t="s">
        <v>644</v>
      </c>
      <c r="U170" s="54" t="s">
        <v>622</v>
      </c>
      <c r="V170" s="57" t="s">
        <v>495</v>
      </c>
    </row>
    <row r="171" spans="1:22" ht="25.5" customHeight="1" x14ac:dyDescent="0.25">
      <c r="A171" s="46" t="s">
        <v>1131</v>
      </c>
      <c r="B171" s="46" t="s">
        <v>1132</v>
      </c>
      <c r="C171" s="46" t="s">
        <v>633</v>
      </c>
      <c r="D171" s="46" t="s">
        <v>593</v>
      </c>
      <c r="E171" s="47">
        <v>398.32</v>
      </c>
      <c r="F171" s="47">
        <v>290.79000000000002</v>
      </c>
      <c r="G171" s="46">
        <v>43</v>
      </c>
      <c r="H171" s="46" t="s">
        <v>698</v>
      </c>
      <c r="I171" s="48">
        <v>11.16</v>
      </c>
      <c r="J171" s="48">
        <v>45.84</v>
      </c>
      <c r="K171" s="47">
        <v>305.10000000000002</v>
      </c>
      <c r="L171" s="47">
        <f t="shared" si="5"/>
        <v>15.6081</v>
      </c>
      <c r="M171" s="48">
        <v>12.34</v>
      </c>
      <c r="N171" s="46" t="s">
        <v>617</v>
      </c>
      <c r="O171" s="46" t="s">
        <v>618</v>
      </c>
      <c r="P171" s="46" t="s">
        <v>576</v>
      </c>
      <c r="Q171" s="48">
        <v>81.8</v>
      </c>
      <c r="R171" s="46" t="s">
        <v>872</v>
      </c>
      <c r="S171" s="46" t="s">
        <v>695</v>
      </c>
      <c r="T171" s="46" t="s">
        <v>589</v>
      </c>
      <c r="U171" s="46" t="s">
        <v>579</v>
      </c>
      <c r="V171" s="49" t="s">
        <v>321</v>
      </c>
    </row>
    <row r="172" spans="1:22" ht="15" customHeight="1" x14ac:dyDescent="0.25">
      <c r="A172" s="50" t="s">
        <v>1133</v>
      </c>
      <c r="B172" s="50" t="s">
        <v>1134</v>
      </c>
      <c r="C172" s="50" t="s">
        <v>659</v>
      </c>
      <c r="D172" s="50" t="s">
        <v>720</v>
      </c>
      <c r="E172" s="51">
        <v>2178.8200000000002</v>
      </c>
      <c r="F172" s="51">
        <v>1908.81</v>
      </c>
      <c r="G172" s="50">
        <v>0</v>
      </c>
      <c r="H172" s="50" t="s">
        <v>584</v>
      </c>
      <c r="I172" s="52">
        <v>2</v>
      </c>
      <c r="J172" s="52">
        <v>37.43</v>
      </c>
      <c r="K172" s="51">
        <v>1997.59</v>
      </c>
      <c r="L172" s="51">
        <f t="shared" si="5"/>
        <v>14.954000000000001</v>
      </c>
      <c r="M172" s="52">
        <v>18.66</v>
      </c>
      <c r="N172" s="50" t="s">
        <v>664</v>
      </c>
      <c r="O172" s="50" t="s">
        <v>647</v>
      </c>
      <c r="P172" s="50" t="s">
        <v>587</v>
      </c>
      <c r="Q172" s="52">
        <v>96.3</v>
      </c>
      <c r="R172" s="50" t="s">
        <v>1135</v>
      </c>
      <c r="S172" s="50" t="s">
        <v>695</v>
      </c>
      <c r="T172" s="50" t="s">
        <v>667</v>
      </c>
      <c r="U172" s="50" t="s">
        <v>590</v>
      </c>
      <c r="V172" s="53" t="s">
        <v>266</v>
      </c>
    </row>
    <row r="173" spans="1:22" ht="15" customHeight="1" x14ac:dyDescent="0.25">
      <c r="A173" s="46" t="s">
        <v>1136</v>
      </c>
      <c r="B173" s="46" t="s">
        <v>1137</v>
      </c>
      <c r="C173" s="46" t="s">
        <v>659</v>
      </c>
      <c r="D173" s="46" t="s">
        <v>642</v>
      </c>
      <c r="E173" s="47">
        <v>877.5</v>
      </c>
      <c r="F173" s="47">
        <v>608.1</v>
      </c>
      <c r="G173" s="46">
        <v>46</v>
      </c>
      <c r="H173" s="46" t="s">
        <v>698</v>
      </c>
      <c r="I173" s="48">
        <v>13.52</v>
      </c>
      <c r="J173" s="48">
        <v>52.35</v>
      </c>
      <c r="K173" s="47">
        <v>631.57000000000005</v>
      </c>
      <c r="L173" s="47">
        <f t="shared" si="5"/>
        <v>44.700800000000001</v>
      </c>
      <c r="M173" s="48">
        <v>11.91</v>
      </c>
      <c r="N173" s="46" t="s">
        <v>594</v>
      </c>
      <c r="O173" s="46" t="s">
        <v>628</v>
      </c>
      <c r="P173" s="46" t="s">
        <v>576</v>
      </c>
      <c r="Q173" s="48">
        <v>45.9</v>
      </c>
      <c r="R173" s="46" t="s">
        <v>1138</v>
      </c>
      <c r="S173" s="46" t="s">
        <v>695</v>
      </c>
      <c r="T173" s="46" t="s">
        <v>589</v>
      </c>
      <c r="U173" s="46" t="s">
        <v>579</v>
      </c>
      <c r="V173" s="49" t="s">
        <v>321</v>
      </c>
    </row>
    <row r="174" spans="1:22" ht="25.5" customHeight="1" x14ac:dyDescent="0.25">
      <c r="A174" s="50" t="s">
        <v>1139</v>
      </c>
      <c r="B174" s="50" t="s">
        <v>1140</v>
      </c>
      <c r="C174" s="50" t="s">
        <v>582</v>
      </c>
      <c r="D174" s="50" t="s">
        <v>615</v>
      </c>
      <c r="E174" s="51">
        <v>545.67999999999995</v>
      </c>
      <c r="F174" s="51">
        <v>419.21</v>
      </c>
      <c r="G174" s="50">
        <v>0</v>
      </c>
      <c r="H174" s="50" t="s">
        <v>584</v>
      </c>
      <c r="I174" s="52">
        <v>0.69</v>
      </c>
      <c r="J174" s="52">
        <v>43.32</v>
      </c>
      <c r="K174" s="51">
        <v>416.97</v>
      </c>
      <c r="L174" s="51">
        <f t="shared" si="5"/>
        <v>1.2464</v>
      </c>
      <c r="M174" s="52">
        <v>17.39</v>
      </c>
      <c r="N174" s="50" t="s">
        <v>574</v>
      </c>
      <c r="O174" s="50" t="s">
        <v>716</v>
      </c>
      <c r="P174" s="50" t="s">
        <v>587</v>
      </c>
      <c r="Q174" s="52">
        <v>64.7</v>
      </c>
      <c r="R174" s="50" t="s">
        <v>1141</v>
      </c>
      <c r="S174" s="50" t="s">
        <v>713</v>
      </c>
      <c r="T174" s="50" t="s">
        <v>656</v>
      </c>
      <c r="U174" s="50" t="s">
        <v>590</v>
      </c>
      <c r="V174" s="53" t="s">
        <v>266</v>
      </c>
    </row>
    <row r="175" spans="1:22" ht="25.5" customHeight="1" x14ac:dyDescent="0.25">
      <c r="A175" s="50" t="s">
        <v>1142</v>
      </c>
      <c r="B175" s="50" t="s">
        <v>1143</v>
      </c>
      <c r="C175" s="50" t="s">
        <v>633</v>
      </c>
      <c r="D175" s="50" t="s">
        <v>642</v>
      </c>
      <c r="E175" s="51">
        <v>1828.67</v>
      </c>
      <c r="F175" s="51">
        <v>1487.73</v>
      </c>
      <c r="G175" s="50">
        <v>0</v>
      </c>
      <c r="H175" s="50" t="s">
        <v>584</v>
      </c>
      <c r="I175" s="52">
        <v>2.19</v>
      </c>
      <c r="J175" s="52">
        <v>20.03</v>
      </c>
      <c r="K175" s="51">
        <v>1506.94</v>
      </c>
      <c r="L175" s="51">
        <f t="shared" si="5"/>
        <v>6.6102999999999996</v>
      </c>
      <c r="M175" s="52">
        <v>12.69</v>
      </c>
      <c r="N175" s="50" t="s">
        <v>585</v>
      </c>
      <c r="O175" s="50" t="s">
        <v>586</v>
      </c>
      <c r="P175" s="50" t="s">
        <v>587</v>
      </c>
      <c r="Q175" s="52">
        <v>81</v>
      </c>
      <c r="R175" s="50" t="s">
        <v>1144</v>
      </c>
      <c r="S175" s="50" t="s">
        <v>620</v>
      </c>
      <c r="T175" s="50" t="s">
        <v>819</v>
      </c>
      <c r="U175" s="50" t="s">
        <v>590</v>
      </c>
      <c r="V175" s="53" t="s">
        <v>266</v>
      </c>
    </row>
    <row r="176" spans="1:22" ht="15" customHeight="1" x14ac:dyDescent="0.25">
      <c r="A176" s="50" t="s">
        <v>1145</v>
      </c>
      <c r="B176" s="50" t="s">
        <v>1146</v>
      </c>
      <c r="C176" s="50" t="s">
        <v>659</v>
      </c>
      <c r="D176" s="50" t="s">
        <v>583</v>
      </c>
      <c r="E176" s="51">
        <v>2470.98</v>
      </c>
      <c r="F176" s="51">
        <v>1450.89</v>
      </c>
      <c r="G176" s="50">
        <v>0</v>
      </c>
      <c r="H176" s="50" t="s">
        <v>584</v>
      </c>
      <c r="I176" s="52">
        <v>0.88</v>
      </c>
      <c r="J176" s="52">
        <v>22.23</v>
      </c>
      <c r="K176" s="51">
        <v>1512.61</v>
      </c>
      <c r="L176" s="51">
        <f t="shared" si="5"/>
        <v>2.9590000000000001</v>
      </c>
      <c r="M176" s="52">
        <v>12.43</v>
      </c>
      <c r="N176" s="50" t="s">
        <v>574</v>
      </c>
      <c r="O176" s="50" t="s">
        <v>638</v>
      </c>
      <c r="P176" s="50" t="s">
        <v>587</v>
      </c>
      <c r="Q176" s="52">
        <v>52.3</v>
      </c>
      <c r="R176" s="50" t="s">
        <v>1147</v>
      </c>
      <c r="S176" s="50" t="s">
        <v>655</v>
      </c>
      <c r="T176" s="50" t="s">
        <v>688</v>
      </c>
      <c r="U176" s="50" t="s">
        <v>590</v>
      </c>
      <c r="V176" s="53" t="s">
        <v>266</v>
      </c>
    </row>
    <row r="177" spans="1:22" ht="15" customHeight="1" x14ac:dyDescent="0.25">
      <c r="A177" s="46" t="s">
        <v>1148</v>
      </c>
      <c r="B177" s="46" t="s">
        <v>1149</v>
      </c>
      <c r="C177" s="46" t="s">
        <v>674</v>
      </c>
      <c r="D177" s="46" t="s">
        <v>626</v>
      </c>
      <c r="E177" s="47">
        <v>217.61</v>
      </c>
      <c r="F177" s="47">
        <v>148.63999999999999</v>
      </c>
      <c r="G177" s="46">
        <v>36</v>
      </c>
      <c r="H177" s="46" t="s">
        <v>698</v>
      </c>
      <c r="I177" s="48">
        <v>11.08</v>
      </c>
      <c r="J177" s="48">
        <v>48.06</v>
      </c>
      <c r="K177" s="47">
        <v>152.58000000000001</v>
      </c>
      <c r="L177" s="47">
        <f t="shared" si="5"/>
        <v>8.125</v>
      </c>
      <c r="M177" s="48">
        <v>12.86</v>
      </c>
      <c r="N177" s="46" t="s">
        <v>664</v>
      </c>
      <c r="O177" s="46" t="s">
        <v>653</v>
      </c>
      <c r="P177" s="46" t="s">
        <v>576</v>
      </c>
      <c r="Q177" s="48">
        <v>81.400000000000006</v>
      </c>
      <c r="R177" s="46" t="s">
        <v>1150</v>
      </c>
      <c r="S177" s="46" t="s">
        <v>671</v>
      </c>
      <c r="T177" s="46" t="s">
        <v>630</v>
      </c>
      <c r="U177" s="46" t="s">
        <v>579</v>
      </c>
      <c r="V177" s="49" t="s">
        <v>321</v>
      </c>
    </row>
    <row r="178" spans="1:22" ht="15" customHeight="1" x14ac:dyDescent="0.25">
      <c r="A178" s="54" t="s">
        <v>1151</v>
      </c>
      <c r="B178" s="54" t="s">
        <v>1152</v>
      </c>
      <c r="C178" s="54" t="s">
        <v>674</v>
      </c>
      <c r="D178" s="54" t="s">
        <v>583</v>
      </c>
      <c r="E178" s="55">
        <v>1494.46</v>
      </c>
      <c r="F178" s="55">
        <v>838.6</v>
      </c>
      <c r="G178" s="54">
        <v>892</v>
      </c>
      <c r="H178" s="54" t="s">
        <v>730</v>
      </c>
      <c r="I178" s="56">
        <v>95.03</v>
      </c>
      <c r="J178" s="56">
        <v>72.430000000000007</v>
      </c>
      <c r="K178" s="55">
        <v>862.09</v>
      </c>
      <c r="L178" s="55">
        <f t="shared" si="5"/>
        <v>593.37850000000003</v>
      </c>
      <c r="M178" s="56">
        <v>13.73</v>
      </c>
      <c r="N178" s="54" t="s">
        <v>617</v>
      </c>
      <c r="O178" s="54" t="s">
        <v>653</v>
      </c>
      <c r="P178" s="54" t="s">
        <v>576</v>
      </c>
      <c r="Q178" s="56">
        <v>86.3</v>
      </c>
      <c r="R178" s="54" t="s">
        <v>1153</v>
      </c>
      <c r="S178" s="54" t="s">
        <v>620</v>
      </c>
      <c r="T178" s="54" t="s">
        <v>644</v>
      </c>
      <c r="U178" s="54" t="s">
        <v>622</v>
      </c>
      <c r="V178" s="57" t="s">
        <v>495</v>
      </c>
    </row>
    <row r="179" spans="1:22" ht="15" customHeight="1" x14ac:dyDescent="0.25">
      <c r="A179" s="54" t="s">
        <v>1154</v>
      </c>
      <c r="B179" s="54" t="s">
        <v>1155</v>
      </c>
      <c r="C179" s="54" t="s">
        <v>614</v>
      </c>
      <c r="D179" s="54" t="s">
        <v>572</v>
      </c>
      <c r="E179" s="55">
        <v>1318.49</v>
      </c>
      <c r="F179" s="55">
        <v>852.37</v>
      </c>
      <c r="G179" s="54">
        <v>128</v>
      </c>
      <c r="H179" s="54" t="s">
        <v>616</v>
      </c>
      <c r="I179" s="56">
        <v>41.15</v>
      </c>
      <c r="J179" s="56">
        <v>59.6</v>
      </c>
      <c r="K179" s="55">
        <v>887.69</v>
      </c>
      <c r="L179" s="55">
        <f t="shared" si="5"/>
        <v>217.70949999999999</v>
      </c>
      <c r="M179" s="56">
        <v>13.65</v>
      </c>
      <c r="N179" s="54" t="s">
        <v>664</v>
      </c>
      <c r="O179" s="54" t="s">
        <v>618</v>
      </c>
      <c r="P179" s="54" t="s">
        <v>576</v>
      </c>
      <c r="Q179" s="56">
        <v>57.8</v>
      </c>
      <c r="R179" s="54" t="s">
        <v>794</v>
      </c>
      <c r="S179" s="54" t="s">
        <v>571</v>
      </c>
      <c r="T179" s="54" t="s">
        <v>630</v>
      </c>
      <c r="U179" s="54" t="s">
        <v>622</v>
      </c>
      <c r="V179" s="57" t="s">
        <v>495</v>
      </c>
    </row>
    <row r="180" spans="1:22" ht="25.5" customHeight="1" x14ac:dyDescent="0.25">
      <c r="A180" s="54" t="s">
        <v>1156</v>
      </c>
      <c r="B180" s="54" t="s">
        <v>1157</v>
      </c>
      <c r="C180" s="54" t="s">
        <v>582</v>
      </c>
      <c r="D180" s="54" t="s">
        <v>634</v>
      </c>
      <c r="E180" s="55">
        <v>2338.11</v>
      </c>
      <c r="F180" s="55">
        <v>911.27</v>
      </c>
      <c r="G180" s="54">
        <v>326</v>
      </c>
      <c r="H180" s="54" t="s">
        <v>627</v>
      </c>
      <c r="I180" s="56">
        <v>52.63</v>
      </c>
      <c r="J180" s="56">
        <v>58.66</v>
      </c>
      <c r="K180" s="55">
        <v>898.1</v>
      </c>
      <c r="L180" s="55">
        <f t="shared" si="5"/>
        <v>277.26819999999998</v>
      </c>
      <c r="M180" s="56">
        <v>15.74</v>
      </c>
      <c r="N180" s="54" t="s">
        <v>601</v>
      </c>
      <c r="O180" s="54" t="s">
        <v>618</v>
      </c>
      <c r="P180" s="54" t="s">
        <v>576</v>
      </c>
      <c r="Q180" s="56">
        <v>45.9</v>
      </c>
      <c r="R180" s="54" t="s">
        <v>1158</v>
      </c>
      <c r="S180" s="54" t="s">
        <v>620</v>
      </c>
      <c r="T180" s="54" t="s">
        <v>667</v>
      </c>
      <c r="U180" s="54" t="s">
        <v>622</v>
      </c>
      <c r="V180" s="57" t="s">
        <v>495</v>
      </c>
    </row>
    <row r="181" spans="1:22" ht="25.5" customHeight="1" x14ac:dyDescent="0.25">
      <c r="A181" s="50" t="s">
        <v>1159</v>
      </c>
      <c r="B181" s="50" t="s">
        <v>1160</v>
      </c>
      <c r="C181" s="50" t="s">
        <v>571</v>
      </c>
      <c r="D181" s="50" t="s">
        <v>720</v>
      </c>
      <c r="E181" s="51">
        <v>2310.3200000000002</v>
      </c>
      <c r="F181" s="51">
        <v>2183.4899999999998</v>
      </c>
      <c r="G181" s="50">
        <v>0</v>
      </c>
      <c r="H181" s="50" t="s">
        <v>584</v>
      </c>
      <c r="I181" s="52">
        <v>1.98</v>
      </c>
      <c r="J181" s="52">
        <v>32.53</v>
      </c>
      <c r="K181" s="51">
        <v>2199.62</v>
      </c>
      <c r="L181" s="51">
        <f t="shared" si="5"/>
        <v>14.1676</v>
      </c>
      <c r="M181" s="52">
        <v>17.82</v>
      </c>
      <c r="N181" s="50" t="s">
        <v>608</v>
      </c>
      <c r="O181" s="50" t="s">
        <v>575</v>
      </c>
      <c r="P181" s="50" t="s">
        <v>587</v>
      </c>
      <c r="Q181" s="52">
        <v>73.400000000000006</v>
      </c>
      <c r="R181" s="50" t="s">
        <v>1161</v>
      </c>
      <c r="S181" s="50" t="s">
        <v>713</v>
      </c>
      <c r="T181" s="50" t="s">
        <v>667</v>
      </c>
      <c r="U181" s="50" t="s">
        <v>590</v>
      </c>
      <c r="V181" s="53" t="s">
        <v>266</v>
      </c>
    </row>
    <row r="182" spans="1:22" ht="15" customHeight="1" x14ac:dyDescent="0.25">
      <c r="A182" s="54" t="s">
        <v>1162</v>
      </c>
      <c r="B182" s="54" t="s">
        <v>1163</v>
      </c>
      <c r="C182" s="54" t="s">
        <v>600</v>
      </c>
      <c r="D182" s="54" t="s">
        <v>642</v>
      </c>
      <c r="E182" s="55">
        <v>243.6</v>
      </c>
      <c r="F182" s="55">
        <v>225.63</v>
      </c>
      <c r="G182" s="54">
        <v>810</v>
      </c>
      <c r="H182" s="54" t="s">
        <v>730</v>
      </c>
      <c r="I182" s="56">
        <v>90.19</v>
      </c>
      <c r="J182" s="56">
        <v>76.72</v>
      </c>
      <c r="K182" s="55">
        <v>231.74</v>
      </c>
      <c r="L182" s="55">
        <f t="shared" si="5"/>
        <v>160.34960000000001</v>
      </c>
      <c r="M182" s="56">
        <v>19.010000000000002</v>
      </c>
      <c r="N182" s="54" t="s">
        <v>594</v>
      </c>
      <c r="O182" s="54" t="s">
        <v>618</v>
      </c>
      <c r="P182" s="54" t="s">
        <v>576</v>
      </c>
      <c r="Q182" s="56">
        <v>61.4</v>
      </c>
      <c r="R182" s="54" t="s">
        <v>1164</v>
      </c>
      <c r="S182" s="54" t="s">
        <v>596</v>
      </c>
      <c r="T182" s="54" t="s">
        <v>578</v>
      </c>
      <c r="U182" s="54" t="s">
        <v>622</v>
      </c>
      <c r="V182" s="57" t="s">
        <v>495</v>
      </c>
    </row>
    <row r="183" spans="1:22" ht="25.5" customHeight="1" x14ac:dyDescent="0.25">
      <c r="A183" s="46" t="s">
        <v>1165</v>
      </c>
      <c r="B183" s="46" t="s">
        <v>1166</v>
      </c>
      <c r="C183" s="46" t="s">
        <v>582</v>
      </c>
      <c r="D183" s="46" t="s">
        <v>572</v>
      </c>
      <c r="E183" s="47">
        <v>261.22000000000003</v>
      </c>
      <c r="F183" s="47">
        <v>155.54</v>
      </c>
      <c r="G183" s="46">
        <v>20</v>
      </c>
      <c r="H183" s="46" t="s">
        <v>686</v>
      </c>
      <c r="I183" s="48">
        <v>3.28</v>
      </c>
      <c r="J183" s="48">
        <v>41.65</v>
      </c>
      <c r="K183" s="47">
        <v>160.09</v>
      </c>
      <c r="L183" s="47">
        <f t="shared" si="5"/>
        <v>2.1869999999999998</v>
      </c>
      <c r="M183" s="48">
        <v>13.08</v>
      </c>
      <c r="N183" s="46" t="s">
        <v>608</v>
      </c>
      <c r="O183" s="46" t="s">
        <v>575</v>
      </c>
      <c r="P183" s="46" t="s">
        <v>576</v>
      </c>
      <c r="Q183" s="48">
        <v>52.3</v>
      </c>
      <c r="R183" s="46" t="s">
        <v>1167</v>
      </c>
      <c r="S183" s="46" t="s">
        <v>713</v>
      </c>
      <c r="T183" s="46" t="s">
        <v>589</v>
      </c>
      <c r="U183" s="46" t="s">
        <v>579</v>
      </c>
      <c r="V183" s="49" t="s">
        <v>321</v>
      </c>
    </row>
    <row r="184" spans="1:22" ht="25.5" customHeight="1" x14ac:dyDescent="0.25">
      <c r="A184" s="54" t="s">
        <v>1168</v>
      </c>
      <c r="B184" s="54" t="s">
        <v>1169</v>
      </c>
      <c r="C184" s="54" t="s">
        <v>659</v>
      </c>
      <c r="D184" s="54" t="s">
        <v>642</v>
      </c>
      <c r="E184" s="55">
        <v>459.06</v>
      </c>
      <c r="F184" s="55">
        <v>177.34</v>
      </c>
      <c r="G184" s="54">
        <v>125</v>
      </c>
      <c r="H184" s="54" t="s">
        <v>616</v>
      </c>
      <c r="I184" s="56">
        <v>43.32</v>
      </c>
      <c r="J184" s="56">
        <v>42.95</v>
      </c>
      <c r="K184" s="55">
        <v>186.38</v>
      </c>
      <c r="L184" s="55">
        <f t="shared" si="5"/>
        <v>34.677799999999998</v>
      </c>
      <c r="M184" s="56">
        <v>14.52</v>
      </c>
      <c r="N184" s="54" t="s">
        <v>664</v>
      </c>
      <c r="O184" s="54" t="s">
        <v>653</v>
      </c>
      <c r="P184" s="54" t="s">
        <v>576</v>
      </c>
      <c r="Q184" s="56">
        <v>72.8</v>
      </c>
      <c r="R184" s="54" t="s">
        <v>1170</v>
      </c>
      <c r="S184" s="54" t="s">
        <v>596</v>
      </c>
      <c r="T184" s="54" t="s">
        <v>621</v>
      </c>
      <c r="U184" s="54" t="s">
        <v>622</v>
      </c>
      <c r="V184" s="57" t="s">
        <v>495</v>
      </c>
    </row>
    <row r="185" spans="1:22" ht="25.5" customHeight="1" x14ac:dyDescent="0.25">
      <c r="A185" s="46" t="s">
        <v>1171</v>
      </c>
      <c r="B185" s="46" t="s">
        <v>1172</v>
      </c>
      <c r="C185" s="46" t="s">
        <v>600</v>
      </c>
      <c r="D185" s="46" t="s">
        <v>593</v>
      </c>
      <c r="E185" s="47">
        <v>1165.23</v>
      </c>
      <c r="F185" s="47">
        <v>634.91999999999996</v>
      </c>
      <c r="G185" s="46">
        <v>19</v>
      </c>
      <c r="H185" s="46" t="s">
        <v>686</v>
      </c>
      <c r="I185" s="48">
        <v>3.83</v>
      </c>
      <c r="J185" s="48">
        <v>28.93</v>
      </c>
      <c r="K185" s="47">
        <v>660.06</v>
      </c>
      <c r="L185" s="47">
        <f t="shared" si="5"/>
        <v>7.3136000000000001</v>
      </c>
      <c r="M185" s="48">
        <v>19.55</v>
      </c>
      <c r="N185" s="46" t="s">
        <v>594</v>
      </c>
      <c r="O185" s="46" t="s">
        <v>575</v>
      </c>
      <c r="P185" s="46" t="s">
        <v>576</v>
      </c>
      <c r="Q185" s="48">
        <v>51.1</v>
      </c>
      <c r="R185" s="46" t="s">
        <v>1173</v>
      </c>
      <c r="S185" s="46" t="s">
        <v>614</v>
      </c>
      <c r="T185" s="46" t="s">
        <v>656</v>
      </c>
      <c r="U185" s="46" t="s">
        <v>579</v>
      </c>
      <c r="V185" s="49" t="s">
        <v>321</v>
      </c>
    </row>
    <row r="186" spans="1:22" ht="25.5" customHeight="1" x14ac:dyDescent="0.25">
      <c r="A186" s="50" t="s">
        <v>1174</v>
      </c>
      <c r="B186" s="50" t="s">
        <v>1175</v>
      </c>
      <c r="C186" s="50" t="s">
        <v>582</v>
      </c>
      <c r="D186" s="50" t="s">
        <v>720</v>
      </c>
      <c r="E186" s="51">
        <v>649.15</v>
      </c>
      <c r="F186" s="51">
        <v>402.99</v>
      </c>
      <c r="G186" s="50">
        <v>0</v>
      </c>
      <c r="H186" s="50" t="s">
        <v>584</v>
      </c>
      <c r="I186" s="52">
        <v>0.74</v>
      </c>
      <c r="J186" s="52">
        <v>44.01</v>
      </c>
      <c r="K186" s="51">
        <v>392.18</v>
      </c>
      <c r="L186" s="51">
        <f t="shared" si="5"/>
        <v>1.2771999999999999</v>
      </c>
      <c r="M186" s="52">
        <v>18.73</v>
      </c>
      <c r="N186" s="50" t="s">
        <v>594</v>
      </c>
      <c r="O186" s="50" t="s">
        <v>575</v>
      </c>
      <c r="P186" s="50" t="s">
        <v>587</v>
      </c>
      <c r="Q186" s="52">
        <v>79.8</v>
      </c>
      <c r="R186" s="50" t="s">
        <v>1176</v>
      </c>
      <c r="S186" s="50" t="s">
        <v>666</v>
      </c>
      <c r="T186" s="50" t="s">
        <v>578</v>
      </c>
      <c r="U186" s="50" t="s">
        <v>590</v>
      </c>
      <c r="V186" s="53" t="s">
        <v>266</v>
      </c>
    </row>
    <row r="187" spans="1:22" ht="25.5" customHeight="1" x14ac:dyDescent="0.25">
      <c r="A187" s="50" t="s">
        <v>1177</v>
      </c>
      <c r="B187" s="50" t="s">
        <v>1178</v>
      </c>
      <c r="C187" s="50" t="s">
        <v>633</v>
      </c>
      <c r="D187" s="50" t="s">
        <v>634</v>
      </c>
      <c r="E187" s="51">
        <v>714.58</v>
      </c>
      <c r="F187" s="51">
        <v>252.22</v>
      </c>
      <c r="G187" s="50">
        <v>0</v>
      </c>
      <c r="H187" s="50" t="s">
        <v>584</v>
      </c>
      <c r="I187" s="52">
        <v>0.74</v>
      </c>
      <c r="J187" s="52">
        <v>40.11</v>
      </c>
      <c r="K187" s="51">
        <v>266.93</v>
      </c>
      <c r="L187" s="51">
        <f t="shared" si="5"/>
        <v>0.7923</v>
      </c>
      <c r="M187" s="52">
        <v>20.09</v>
      </c>
      <c r="N187" s="50" t="s">
        <v>608</v>
      </c>
      <c r="O187" s="50" t="s">
        <v>609</v>
      </c>
      <c r="P187" s="50" t="s">
        <v>587</v>
      </c>
      <c r="Q187" s="52">
        <v>90.9</v>
      </c>
      <c r="R187" s="50" t="s">
        <v>1147</v>
      </c>
      <c r="S187" s="50" t="s">
        <v>655</v>
      </c>
      <c r="T187" s="50" t="s">
        <v>667</v>
      </c>
      <c r="U187" s="50" t="s">
        <v>590</v>
      </c>
      <c r="V187" s="53" t="s">
        <v>266</v>
      </c>
    </row>
    <row r="188" spans="1:22" ht="25.5" customHeight="1" x14ac:dyDescent="0.25">
      <c r="A188" s="50" t="s">
        <v>1179</v>
      </c>
      <c r="B188" s="50" t="s">
        <v>1180</v>
      </c>
      <c r="C188" s="50" t="s">
        <v>659</v>
      </c>
      <c r="D188" s="50" t="s">
        <v>583</v>
      </c>
      <c r="E188" s="51">
        <v>1405.07</v>
      </c>
      <c r="F188" s="51">
        <v>429.14</v>
      </c>
      <c r="G188" s="50">
        <v>0</v>
      </c>
      <c r="H188" s="50" t="s">
        <v>584</v>
      </c>
      <c r="I188" s="52">
        <v>2.2799999999999998</v>
      </c>
      <c r="J188" s="52">
        <v>26.06</v>
      </c>
      <c r="K188" s="51">
        <v>430.49</v>
      </c>
      <c r="L188" s="51">
        <f t="shared" si="5"/>
        <v>2.5577999999999999</v>
      </c>
      <c r="M188" s="52">
        <v>20.25</v>
      </c>
      <c r="N188" s="50" t="s">
        <v>601</v>
      </c>
      <c r="O188" s="50" t="s">
        <v>602</v>
      </c>
      <c r="P188" s="50" t="s">
        <v>587</v>
      </c>
      <c r="Q188" s="52">
        <v>55.4</v>
      </c>
      <c r="R188" s="50" t="s">
        <v>913</v>
      </c>
      <c r="S188" s="50" t="s">
        <v>611</v>
      </c>
      <c r="T188" s="50" t="s">
        <v>688</v>
      </c>
      <c r="U188" s="50" t="s">
        <v>590</v>
      </c>
      <c r="V188" s="53" t="s">
        <v>266</v>
      </c>
    </row>
    <row r="189" spans="1:22" ht="25.5" customHeight="1" x14ac:dyDescent="0.25">
      <c r="A189" s="50" t="s">
        <v>1181</v>
      </c>
      <c r="B189" s="50" t="s">
        <v>1182</v>
      </c>
      <c r="C189" s="50" t="s">
        <v>571</v>
      </c>
      <c r="D189" s="50" t="s">
        <v>626</v>
      </c>
      <c r="E189" s="51">
        <v>65.63</v>
      </c>
      <c r="F189" s="51">
        <v>37.99</v>
      </c>
      <c r="G189" s="50">
        <v>0</v>
      </c>
      <c r="H189" s="50" t="s">
        <v>584</v>
      </c>
      <c r="I189" s="52">
        <v>2</v>
      </c>
      <c r="J189" s="52">
        <v>37.340000000000003</v>
      </c>
      <c r="K189" s="51">
        <v>36.880000000000003</v>
      </c>
      <c r="L189" s="51">
        <f t="shared" si="5"/>
        <v>0.27539999999999998</v>
      </c>
      <c r="M189" s="52">
        <v>14.52</v>
      </c>
      <c r="N189" s="50" t="s">
        <v>601</v>
      </c>
      <c r="O189" s="50" t="s">
        <v>575</v>
      </c>
      <c r="P189" s="50" t="s">
        <v>587</v>
      </c>
      <c r="Q189" s="52">
        <v>64.900000000000006</v>
      </c>
      <c r="R189" s="50" t="s">
        <v>1183</v>
      </c>
      <c r="S189" s="50" t="s">
        <v>596</v>
      </c>
      <c r="T189" s="50" t="s">
        <v>667</v>
      </c>
      <c r="U189" s="50" t="s">
        <v>590</v>
      </c>
      <c r="V189" s="53" t="s">
        <v>266</v>
      </c>
    </row>
    <row r="190" spans="1:22" ht="15" customHeight="1" x14ac:dyDescent="0.25">
      <c r="A190" s="46" t="s">
        <v>1184</v>
      </c>
      <c r="B190" s="46" t="s">
        <v>1185</v>
      </c>
      <c r="C190" s="46" t="s">
        <v>600</v>
      </c>
      <c r="D190" s="46" t="s">
        <v>572</v>
      </c>
      <c r="E190" s="47">
        <v>1348.05</v>
      </c>
      <c r="F190" s="47">
        <v>622.74</v>
      </c>
      <c r="G190" s="46">
        <v>2</v>
      </c>
      <c r="H190" s="46" t="s">
        <v>686</v>
      </c>
      <c r="I190" s="48">
        <v>7.86</v>
      </c>
      <c r="J190" s="48">
        <v>28.56</v>
      </c>
      <c r="K190" s="47">
        <v>619.74</v>
      </c>
      <c r="L190" s="47">
        <f t="shared" si="5"/>
        <v>13.912000000000001</v>
      </c>
      <c r="M190" s="48">
        <v>11.9</v>
      </c>
      <c r="N190" s="46" t="s">
        <v>585</v>
      </c>
      <c r="O190" s="46" t="s">
        <v>602</v>
      </c>
      <c r="P190" s="46" t="s">
        <v>576</v>
      </c>
      <c r="Q190" s="48">
        <v>72.5</v>
      </c>
      <c r="R190" s="46" t="s">
        <v>1186</v>
      </c>
      <c r="S190" s="46" t="s">
        <v>840</v>
      </c>
      <c r="T190" s="46" t="s">
        <v>597</v>
      </c>
      <c r="U190" s="46" t="s">
        <v>579</v>
      </c>
      <c r="V190" s="49" t="s">
        <v>321</v>
      </c>
    </row>
    <row r="191" spans="1:22" ht="15" customHeight="1" x14ac:dyDescent="0.25">
      <c r="A191" s="46" t="s">
        <v>1187</v>
      </c>
      <c r="B191" s="46" t="s">
        <v>1188</v>
      </c>
      <c r="C191" s="46" t="s">
        <v>625</v>
      </c>
      <c r="D191" s="46" t="s">
        <v>583</v>
      </c>
      <c r="E191" s="47">
        <v>1472.89</v>
      </c>
      <c r="F191" s="47">
        <v>948.09</v>
      </c>
      <c r="G191" s="46">
        <v>73</v>
      </c>
      <c r="H191" s="46" t="s">
        <v>573</v>
      </c>
      <c r="I191" s="48">
        <v>15.75</v>
      </c>
      <c r="J191" s="48">
        <v>49.2</v>
      </c>
      <c r="K191" s="47">
        <v>956.76</v>
      </c>
      <c r="L191" s="47">
        <f t="shared" si="5"/>
        <v>74.139300000000006</v>
      </c>
      <c r="M191" s="48">
        <v>20.18</v>
      </c>
      <c r="N191" s="46" t="s">
        <v>585</v>
      </c>
      <c r="O191" s="46" t="s">
        <v>618</v>
      </c>
      <c r="P191" s="46" t="s">
        <v>576</v>
      </c>
      <c r="Q191" s="48">
        <v>58.8</v>
      </c>
      <c r="R191" s="46" t="s">
        <v>1065</v>
      </c>
      <c r="S191" s="46" t="s">
        <v>840</v>
      </c>
      <c r="T191" s="46" t="s">
        <v>688</v>
      </c>
      <c r="U191" s="46" t="s">
        <v>579</v>
      </c>
      <c r="V191" s="49" t="s">
        <v>321</v>
      </c>
    </row>
    <row r="192" spans="1:22" ht="25.5" customHeight="1" x14ac:dyDescent="0.25">
      <c r="A192" s="50" t="s">
        <v>1189</v>
      </c>
      <c r="B192" s="50" t="s">
        <v>1190</v>
      </c>
      <c r="C192" s="50" t="s">
        <v>633</v>
      </c>
      <c r="D192" s="50" t="s">
        <v>634</v>
      </c>
      <c r="E192" s="51">
        <v>829.24</v>
      </c>
      <c r="F192" s="51">
        <v>402.12</v>
      </c>
      <c r="G192" s="50">
        <v>0</v>
      </c>
      <c r="H192" s="50" t="s">
        <v>584</v>
      </c>
      <c r="I192" s="52">
        <v>0.62</v>
      </c>
      <c r="J192" s="52">
        <v>39.25</v>
      </c>
      <c r="K192" s="51">
        <v>394</v>
      </c>
      <c r="L192" s="51">
        <f t="shared" si="5"/>
        <v>0.95879999999999999</v>
      </c>
      <c r="M192" s="52">
        <v>12.45</v>
      </c>
      <c r="N192" s="50" t="s">
        <v>664</v>
      </c>
      <c r="O192" s="50" t="s">
        <v>609</v>
      </c>
      <c r="P192" s="50" t="s">
        <v>587</v>
      </c>
      <c r="Q192" s="52">
        <v>61.6</v>
      </c>
      <c r="R192" s="50" t="s">
        <v>1191</v>
      </c>
      <c r="S192" s="50" t="s">
        <v>614</v>
      </c>
      <c r="T192" s="50" t="s">
        <v>597</v>
      </c>
      <c r="U192" s="50" t="s">
        <v>590</v>
      </c>
      <c r="V192" s="53" t="s">
        <v>266</v>
      </c>
    </row>
    <row r="193" spans="1:22" ht="25.5" customHeight="1" x14ac:dyDescent="0.25">
      <c r="A193" s="50" t="s">
        <v>1192</v>
      </c>
      <c r="B193" s="50" t="s">
        <v>1193</v>
      </c>
      <c r="C193" s="50" t="s">
        <v>571</v>
      </c>
      <c r="D193" s="50" t="s">
        <v>593</v>
      </c>
      <c r="E193" s="51">
        <v>805.35</v>
      </c>
      <c r="F193" s="51">
        <v>386.73</v>
      </c>
      <c r="G193" s="50">
        <v>0</v>
      </c>
      <c r="H193" s="50" t="s">
        <v>584</v>
      </c>
      <c r="I193" s="52">
        <v>2.4700000000000002</v>
      </c>
      <c r="J193" s="52">
        <v>27.61</v>
      </c>
      <c r="K193" s="51">
        <v>399.66</v>
      </c>
      <c r="L193" s="51">
        <f t="shared" si="5"/>
        <v>2.7254999999999998</v>
      </c>
      <c r="M193" s="52">
        <v>16.93</v>
      </c>
      <c r="N193" s="50" t="s">
        <v>585</v>
      </c>
      <c r="O193" s="50" t="s">
        <v>602</v>
      </c>
      <c r="P193" s="50" t="s">
        <v>587</v>
      </c>
      <c r="Q193" s="52">
        <v>90.4</v>
      </c>
      <c r="R193" s="50" t="s">
        <v>1194</v>
      </c>
      <c r="S193" s="50" t="s">
        <v>671</v>
      </c>
      <c r="T193" s="50" t="s">
        <v>819</v>
      </c>
      <c r="U193" s="50" t="s">
        <v>590</v>
      </c>
      <c r="V193" s="53" t="s">
        <v>266</v>
      </c>
    </row>
    <row r="194" spans="1:22" ht="15" customHeight="1" x14ac:dyDescent="0.25">
      <c r="A194" s="50" t="s">
        <v>1195</v>
      </c>
      <c r="B194" s="50" t="s">
        <v>1196</v>
      </c>
      <c r="C194" s="50" t="s">
        <v>571</v>
      </c>
      <c r="D194" s="50" t="s">
        <v>634</v>
      </c>
      <c r="E194" s="51">
        <v>1020.8</v>
      </c>
      <c r="F194" s="51">
        <v>340.22</v>
      </c>
      <c r="G194" s="50">
        <v>0</v>
      </c>
      <c r="H194" s="50" t="s">
        <v>584</v>
      </c>
      <c r="I194" s="52">
        <v>0.34</v>
      </c>
      <c r="J194" s="52">
        <v>30.11</v>
      </c>
      <c r="K194" s="51">
        <v>343.86</v>
      </c>
      <c r="L194" s="51">
        <f t="shared" si="5"/>
        <v>0.35199999999999998</v>
      </c>
      <c r="M194" s="52">
        <v>18.23</v>
      </c>
      <c r="N194" s="50" t="s">
        <v>585</v>
      </c>
      <c r="O194" s="50" t="s">
        <v>716</v>
      </c>
      <c r="P194" s="50" t="s">
        <v>587</v>
      </c>
      <c r="Q194" s="52">
        <v>69.5</v>
      </c>
      <c r="R194" s="50" t="s">
        <v>1197</v>
      </c>
      <c r="S194" s="50" t="s">
        <v>611</v>
      </c>
      <c r="T194" s="50" t="s">
        <v>661</v>
      </c>
      <c r="U194" s="50" t="s">
        <v>590</v>
      </c>
      <c r="V194" s="53" t="s">
        <v>266</v>
      </c>
    </row>
    <row r="195" spans="1:22" ht="15" customHeight="1" x14ac:dyDescent="0.25">
      <c r="A195" s="50" t="s">
        <v>1198</v>
      </c>
      <c r="B195" s="50" t="s">
        <v>1199</v>
      </c>
      <c r="C195" s="50" t="s">
        <v>600</v>
      </c>
      <c r="D195" s="50" t="s">
        <v>720</v>
      </c>
      <c r="E195" s="51">
        <v>201.09</v>
      </c>
      <c r="F195" s="51">
        <v>167.12</v>
      </c>
      <c r="G195" s="50">
        <v>0</v>
      </c>
      <c r="H195" s="50" t="s">
        <v>584</v>
      </c>
      <c r="I195" s="52">
        <v>2.52</v>
      </c>
      <c r="J195" s="52">
        <v>29.31</v>
      </c>
      <c r="K195" s="51">
        <v>171.59</v>
      </c>
      <c r="L195" s="51">
        <f t="shared" ref="L195:L226" si="6">ROUND(K195*(I195/100)*(J195/100),4)</f>
        <v>1.2674000000000001</v>
      </c>
      <c r="M195" s="52">
        <v>17.3</v>
      </c>
      <c r="N195" s="50" t="s">
        <v>617</v>
      </c>
      <c r="O195" s="50" t="s">
        <v>586</v>
      </c>
      <c r="P195" s="50" t="s">
        <v>587</v>
      </c>
      <c r="Q195" s="52">
        <v>58.7</v>
      </c>
      <c r="R195" s="50" t="s">
        <v>1200</v>
      </c>
      <c r="S195" s="50" t="s">
        <v>671</v>
      </c>
      <c r="T195" s="50" t="s">
        <v>656</v>
      </c>
      <c r="U195" s="50" t="s">
        <v>590</v>
      </c>
      <c r="V195" s="53" t="s">
        <v>266</v>
      </c>
    </row>
    <row r="196" spans="1:22" ht="25.5" customHeight="1" x14ac:dyDescent="0.25">
      <c r="A196" s="50" t="s">
        <v>1201</v>
      </c>
      <c r="B196" s="50" t="s">
        <v>1202</v>
      </c>
      <c r="C196" s="50" t="s">
        <v>600</v>
      </c>
      <c r="D196" s="50" t="s">
        <v>572</v>
      </c>
      <c r="E196" s="51">
        <v>2261.12</v>
      </c>
      <c r="F196" s="51">
        <v>1360.14</v>
      </c>
      <c r="G196" s="50">
        <v>0</v>
      </c>
      <c r="H196" s="50" t="s">
        <v>584</v>
      </c>
      <c r="I196" s="52">
        <v>0.59</v>
      </c>
      <c r="J196" s="52">
        <v>43.56</v>
      </c>
      <c r="K196" s="51">
        <v>1325.53</v>
      </c>
      <c r="L196" s="51">
        <f t="shared" si="6"/>
        <v>3.4066999999999998</v>
      </c>
      <c r="M196" s="52">
        <v>19.82</v>
      </c>
      <c r="N196" s="50" t="s">
        <v>664</v>
      </c>
      <c r="O196" s="50" t="s">
        <v>602</v>
      </c>
      <c r="P196" s="50" t="s">
        <v>587</v>
      </c>
      <c r="Q196" s="52">
        <v>83.4</v>
      </c>
      <c r="R196" s="50" t="s">
        <v>1203</v>
      </c>
      <c r="S196" s="50" t="s">
        <v>620</v>
      </c>
      <c r="T196" s="50" t="s">
        <v>649</v>
      </c>
      <c r="U196" s="50" t="s">
        <v>590</v>
      </c>
      <c r="V196" s="53" t="s">
        <v>266</v>
      </c>
    </row>
    <row r="197" spans="1:22" ht="15" customHeight="1" x14ac:dyDescent="0.25">
      <c r="A197" s="50" t="s">
        <v>1204</v>
      </c>
      <c r="B197" s="50" t="s">
        <v>1205</v>
      </c>
      <c r="C197" s="50" t="s">
        <v>633</v>
      </c>
      <c r="D197" s="50" t="s">
        <v>626</v>
      </c>
      <c r="E197" s="51">
        <v>917.16</v>
      </c>
      <c r="F197" s="51">
        <v>841.63</v>
      </c>
      <c r="G197" s="50">
        <v>0</v>
      </c>
      <c r="H197" s="50" t="s">
        <v>584</v>
      </c>
      <c r="I197" s="52">
        <v>2.68</v>
      </c>
      <c r="J197" s="52">
        <v>20.87</v>
      </c>
      <c r="K197" s="51">
        <v>863.28</v>
      </c>
      <c r="L197" s="51">
        <f t="shared" si="6"/>
        <v>4.8285</v>
      </c>
      <c r="M197" s="52">
        <v>13.71</v>
      </c>
      <c r="N197" s="50" t="s">
        <v>574</v>
      </c>
      <c r="O197" s="50" t="s">
        <v>609</v>
      </c>
      <c r="P197" s="50" t="s">
        <v>587</v>
      </c>
      <c r="Q197" s="52">
        <v>66.8</v>
      </c>
      <c r="R197" s="50" t="s">
        <v>1206</v>
      </c>
      <c r="S197" s="50" t="s">
        <v>695</v>
      </c>
      <c r="T197" s="50" t="s">
        <v>656</v>
      </c>
      <c r="U197" s="50" t="s">
        <v>590</v>
      </c>
      <c r="V197" s="53" t="s">
        <v>266</v>
      </c>
    </row>
    <row r="198" spans="1:22" ht="25.5" customHeight="1" x14ac:dyDescent="0.25">
      <c r="A198" s="46" t="s">
        <v>1207</v>
      </c>
      <c r="B198" s="46" t="s">
        <v>1208</v>
      </c>
      <c r="C198" s="46" t="s">
        <v>600</v>
      </c>
      <c r="D198" s="46" t="s">
        <v>642</v>
      </c>
      <c r="E198" s="47">
        <v>988.39</v>
      </c>
      <c r="F198" s="47">
        <v>578.29</v>
      </c>
      <c r="G198" s="46">
        <v>86</v>
      </c>
      <c r="H198" s="46" t="s">
        <v>573</v>
      </c>
      <c r="I198" s="48">
        <v>20.260000000000002</v>
      </c>
      <c r="J198" s="48">
        <v>50.77</v>
      </c>
      <c r="K198" s="47">
        <v>602.69000000000005</v>
      </c>
      <c r="L198" s="47">
        <f t="shared" si="6"/>
        <v>61.992699999999999</v>
      </c>
      <c r="M198" s="48">
        <v>18.649999999999999</v>
      </c>
      <c r="N198" s="46" t="s">
        <v>664</v>
      </c>
      <c r="O198" s="46" t="s">
        <v>618</v>
      </c>
      <c r="P198" s="46" t="s">
        <v>576</v>
      </c>
      <c r="Q198" s="48">
        <v>70.400000000000006</v>
      </c>
      <c r="R198" s="46" t="s">
        <v>1209</v>
      </c>
      <c r="S198" s="46" t="s">
        <v>695</v>
      </c>
      <c r="T198" s="46" t="s">
        <v>597</v>
      </c>
      <c r="U198" s="46" t="s">
        <v>579</v>
      </c>
      <c r="V198" s="49" t="s">
        <v>321</v>
      </c>
    </row>
    <row r="199" spans="1:22" ht="25.5" customHeight="1" x14ac:dyDescent="0.25">
      <c r="A199" s="46" t="s">
        <v>1210</v>
      </c>
      <c r="B199" s="46" t="s">
        <v>1211</v>
      </c>
      <c r="C199" s="46" t="s">
        <v>659</v>
      </c>
      <c r="D199" s="46" t="s">
        <v>615</v>
      </c>
      <c r="E199" s="47">
        <v>712.57</v>
      </c>
      <c r="F199" s="47">
        <v>226.4</v>
      </c>
      <c r="G199" s="46">
        <v>31</v>
      </c>
      <c r="H199" s="46" t="s">
        <v>698</v>
      </c>
      <c r="I199" s="48">
        <v>14.27</v>
      </c>
      <c r="J199" s="48">
        <v>49.46</v>
      </c>
      <c r="K199" s="47">
        <v>220.8</v>
      </c>
      <c r="L199" s="47">
        <f t="shared" si="6"/>
        <v>15.5839</v>
      </c>
      <c r="M199" s="48">
        <v>20.420000000000002</v>
      </c>
      <c r="N199" s="46" t="s">
        <v>617</v>
      </c>
      <c r="O199" s="46" t="s">
        <v>618</v>
      </c>
      <c r="P199" s="46" t="s">
        <v>576</v>
      </c>
      <c r="Q199" s="48">
        <v>85.6</v>
      </c>
      <c r="R199" s="46" t="s">
        <v>1212</v>
      </c>
      <c r="S199" s="46" t="s">
        <v>713</v>
      </c>
      <c r="T199" s="46" t="s">
        <v>630</v>
      </c>
      <c r="U199" s="46" t="s">
        <v>579</v>
      </c>
      <c r="V199" s="49" t="s">
        <v>321</v>
      </c>
    </row>
    <row r="200" spans="1:22" ht="25.5" customHeight="1" x14ac:dyDescent="0.25">
      <c r="A200" s="54" t="s">
        <v>1213</v>
      </c>
      <c r="B200" s="54" t="s">
        <v>1214</v>
      </c>
      <c r="C200" s="54" t="s">
        <v>571</v>
      </c>
      <c r="D200" s="54" t="s">
        <v>572</v>
      </c>
      <c r="E200" s="55">
        <v>702.99</v>
      </c>
      <c r="F200" s="55">
        <v>601.11</v>
      </c>
      <c r="G200" s="54">
        <v>394</v>
      </c>
      <c r="H200" s="54" t="s">
        <v>652</v>
      </c>
      <c r="I200" s="56">
        <v>79.099999999999994</v>
      </c>
      <c r="J200" s="56">
        <v>78.7</v>
      </c>
      <c r="K200" s="55">
        <v>614.22</v>
      </c>
      <c r="L200" s="55">
        <f t="shared" si="6"/>
        <v>382.36239999999998</v>
      </c>
      <c r="M200" s="56">
        <v>20.34</v>
      </c>
      <c r="N200" s="54" t="s">
        <v>664</v>
      </c>
      <c r="O200" s="54" t="s">
        <v>653</v>
      </c>
      <c r="P200" s="54" t="s">
        <v>576</v>
      </c>
      <c r="Q200" s="56">
        <v>94.6</v>
      </c>
      <c r="R200" s="54" t="s">
        <v>1215</v>
      </c>
      <c r="S200" s="54" t="s">
        <v>713</v>
      </c>
      <c r="T200" s="54" t="s">
        <v>578</v>
      </c>
      <c r="U200" s="54" t="s">
        <v>622</v>
      </c>
      <c r="V200" s="57" t="s">
        <v>495</v>
      </c>
    </row>
    <row r="201" spans="1:22" ht="15" customHeight="1" x14ac:dyDescent="0.25">
      <c r="A201" s="54" t="s">
        <v>1216</v>
      </c>
      <c r="B201" s="54" t="s">
        <v>1217</v>
      </c>
      <c r="C201" s="54" t="s">
        <v>659</v>
      </c>
      <c r="D201" s="54" t="s">
        <v>634</v>
      </c>
      <c r="E201" s="55">
        <v>2289.25</v>
      </c>
      <c r="F201" s="55">
        <v>730.68</v>
      </c>
      <c r="G201" s="54">
        <v>163</v>
      </c>
      <c r="H201" s="54" t="s">
        <v>616</v>
      </c>
      <c r="I201" s="56">
        <v>39.090000000000003</v>
      </c>
      <c r="J201" s="56">
        <v>54.08</v>
      </c>
      <c r="K201" s="55">
        <v>721.14</v>
      </c>
      <c r="L201" s="55">
        <f t="shared" si="6"/>
        <v>152.44810000000001</v>
      </c>
      <c r="M201" s="56">
        <v>20.39</v>
      </c>
      <c r="N201" s="54" t="s">
        <v>664</v>
      </c>
      <c r="O201" s="54" t="s">
        <v>653</v>
      </c>
      <c r="P201" s="54" t="s">
        <v>576</v>
      </c>
      <c r="Q201" s="56">
        <v>54.3</v>
      </c>
      <c r="R201" s="54" t="s">
        <v>1218</v>
      </c>
      <c r="S201" s="54" t="s">
        <v>671</v>
      </c>
      <c r="T201" s="54" t="s">
        <v>656</v>
      </c>
      <c r="U201" s="54" t="s">
        <v>622</v>
      </c>
      <c r="V201" s="57" t="s">
        <v>495</v>
      </c>
    </row>
    <row r="202" spans="1:22" ht="25.5" customHeight="1" x14ac:dyDescent="0.25">
      <c r="A202" s="50" t="s">
        <v>1219</v>
      </c>
      <c r="B202" s="50" t="s">
        <v>1220</v>
      </c>
      <c r="C202" s="50" t="s">
        <v>571</v>
      </c>
      <c r="D202" s="50" t="s">
        <v>572</v>
      </c>
      <c r="E202" s="51">
        <v>98.82</v>
      </c>
      <c r="F202" s="51">
        <v>61.77</v>
      </c>
      <c r="G202" s="50">
        <v>0</v>
      </c>
      <c r="H202" s="50" t="s">
        <v>584</v>
      </c>
      <c r="I202" s="52">
        <v>2.4700000000000002</v>
      </c>
      <c r="J202" s="52">
        <v>28.52</v>
      </c>
      <c r="K202" s="51">
        <v>60.9</v>
      </c>
      <c r="L202" s="51">
        <f t="shared" si="6"/>
        <v>0.42899999999999999</v>
      </c>
      <c r="M202" s="52">
        <v>18.72</v>
      </c>
      <c r="N202" s="50" t="s">
        <v>601</v>
      </c>
      <c r="O202" s="50" t="s">
        <v>638</v>
      </c>
      <c r="P202" s="50" t="s">
        <v>587</v>
      </c>
      <c r="Q202" s="52">
        <v>48.2</v>
      </c>
      <c r="R202" s="50" t="s">
        <v>1194</v>
      </c>
      <c r="S202" s="50" t="s">
        <v>571</v>
      </c>
      <c r="T202" s="50" t="s">
        <v>819</v>
      </c>
      <c r="U202" s="50" t="s">
        <v>590</v>
      </c>
      <c r="V202" s="53" t="s">
        <v>266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9" sqref="G9"/>
    </sheetView>
  </sheetViews>
  <sheetFormatPr defaultColWidth="8.7109375" defaultRowHeight="15" x14ac:dyDescent="0.25"/>
  <cols>
    <col min="1" max="1" width="12.5703125" customWidth="1"/>
    <col min="2" max="2" width="12.85546875" customWidth="1"/>
    <col min="3" max="4" width="14" customWidth="1"/>
    <col min="5" max="5" width="11.85546875" customWidth="1"/>
    <col min="6" max="6" width="10.28515625" customWidth="1"/>
    <col min="7" max="7" width="16.28515625" customWidth="1"/>
    <col min="8" max="8" width="9.7109375" customWidth="1"/>
    <col min="9" max="9" width="12.42578125" customWidth="1"/>
    <col min="10" max="10" width="10" customWidth="1"/>
    <col min="11" max="11" width="8.28515625" customWidth="1"/>
    <col min="12" max="12" width="10.85546875" customWidth="1"/>
    <col min="13" max="13" width="9.7109375" customWidth="1"/>
    <col min="14" max="14" width="13.42578125" customWidth="1"/>
    <col min="15" max="15" width="15" customWidth="1"/>
    <col min="16" max="16" width="9.42578125" customWidth="1"/>
    <col min="17" max="17" width="15.42578125" customWidth="1"/>
    <col min="18" max="18" width="13.85546875" customWidth="1"/>
    <col min="19" max="19" width="7.5703125" customWidth="1"/>
    <col min="20" max="20" width="15.140625" customWidth="1"/>
    <col min="21" max="21" width="7.5703125" customWidth="1"/>
    <col min="22" max="22" width="6.5703125" customWidth="1"/>
  </cols>
  <sheetData>
    <row r="1" spans="1:22" ht="37.5" customHeight="1" x14ac:dyDescent="0.25">
      <c r="A1" s="137" t="s">
        <v>1221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</row>
    <row r="2" spans="1:22" ht="21.75" customHeight="1" x14ac:dyDescent="0.25">
      <c r="A2" s="45" t="s">
        <v>1222</v>
      </c>
      <c r="B2" s="45" t="s">
        <v>1223</v>
      </c>
      <c r="C2" s="45" t="s">
        <v>1224</v>
      </c>
      <c r="D2" s="45" t="s">
        <v>1225</v>
      </c>
      <c r="E2" s="45" t="s">
        <v>1226</v>
      </c>
      <c r="F2" s="45" t="s">
        <v>1227</v>
      </c>
      <c r="G2" s="45" t="s">
        <v>1228</v>
      </c>
      <c r="H2" s="45" t="s">
        <v>1229</v>
      </c>
      <c r="I2" s="45" t="s">
        <v>1230</v>
      </c>
      <c r="J2" s="45" t="s">
        <v>1231</v>
      </c>
      <c r="K2" s="45" t="s">
        <v>1232</v>
      </c>
      <c r="L2" s="45" t="s">
        <v>1233</v>
      </c>
      <c r="M2" s="45" t="s">
        <v>1234</v>
      </c>
      <c r="N2" s="45" t="s">
        <v>1235</v>
      </c>
      <c r="O2" s="45" t="s">
        <v>1236</v>
      </c>
      <c r="P2" s="45" t="s">
        <v>1237</v>
      </c>
      <c r="Q2" s="45" t="s">
        <v>1238</v>
      </c>
      <c r="R2" s="45" t="s">
        <v>219</v>
      </c>
      <c r="S2" s="45" t="s">
        <v>1239</v>
      </c>
      <c r="T2" s="45" t="s">
        <v>1240</v>
      </c>
      <c r="U2" s="45" t="s">
        <v>567</v>
      </c>
      <c r="V2" s="45" t="s">
        <v>568</v>
      </c>
    </row>
    <row r="3" spans="1:22" ht="15" customHeight="1" x14ac:dyDescent="0.25">
      <c r="A3" s="50" t="s">
        <v>1241</v>
      </c>
      <c r="B3" s="50" t="s">
        <v>1242</v>
      </c>
      <c r="C3" s="50" t="s">
        <v>1243</v>
      </c>
      <c r="D3" s="50" t="s">
        <v>1244</v>
      </c>
      <c r="E3" s="50" t="s">
        <v>1245</v>
      </c>
      <c r="F3" s="50" t="s">
        <v>1246</v>
      </c>
      <c r="G3" s="51">
        <v>606.65</v>
      </c>
      <c r="H3" s="51">
        <v>674.66</v>
      </c>
      <c r="I3" s="51">
        <v>21.0242</v>
      </c>
      <c r="J3" s="51">
        <v>57.402500000000003</v>
      </c>
      <c r="K3" s="51">
        <v>15.0633</v>
      </c>
      <c r="L3" s="51">
        <v>26.9283</v>
      </c>
      <c r="M3" s="50">
        <v>4.74</v>
      </c>
      <c r="N3" s="51">
        <v>28.76</v>
      </c>
      <c r="O3" s="50">
        <v>-0.72699999999999998</v>
      </c>
      <c r="P3" s="51">
        <v>1383.91</v>
      </c>
      <c r="Q3" s="50">
        <f t="shared" ref="Q3:Q34" si="0">ROUND(I3/P3*100,1)</f>
        <v>1.5</v>
      </c>
      <c r="R3" s="50" t="s">
        <v>587</v>
      </c>
      <c r="S3" s="50" t="s">
        <v>602</v>
      </c>
      <c r="T3" s="50" t="s">
        <v>1247</v>
      </c>
      <c r="U3" s="50" t="s">
        <v>590</v>
      </c>
      <c r="V3" s="53" t="s">
        <v>266</v>
      </c>
    </row>
    <row r="4" spans="1:22" ht="15" customHeight="1" x14ac:dyDescent="0.25">
      <c r="A4" s="50" t="s">
        <v>1248</v>
      </c>
      <c r="B4" s="50" t="s">
        <v>1249</v>
      </c>
      <c r="C4" s="50" t="s">
        <v>1250</v>
      </c>
      <c r="D4" s="50" t="s">
        <v>1251</v>
      </c>
      <c r="E4" s="50" t="s">
        <v>1252</v>
      </c>
      <c r="F4" s="50" t="s">
        <v>1253</v>
      </c>
      <c r="G4" s="51">
        <v>679.06</v>
      </c>
      <c r="H4" s="51">
        <v>718.93</v>
      </c>
      <c r="I4" s="51">
        <v>47.153500000000001</v>
      </c>
      <c r="J4" s="51">
        <v>119.9769</v>
      </c>
      <c r="K4" s="51">
        <v>27.282499999999999</v>
      </c>
      <c r="L4" s="51">
        <v>78.801000000000002</v>
      </c>
      <c r="M4" s="50">
        <v>2.88</v>
      </c>
      <c r="N4" s="51">
        <v>19.559999999999999</v>
      </c>
      <c r="O4" s="50">
        <v>-0.38600000000000001</v>
      </c>
      <c r="P4" s="51">
        <v>2810.83</v>
      </c>
      <c r="Q4" s="50">
        <f t="shared" si="0"/>
        <v>1.7</v>
      </c>
      <c r="R4" s="50" t="s">
        <v>587</v>
      </c>
      <c r="S4" s="50" t="s">
        <v>638</v>
      </c>
      <c r="T4" s="50" t="s">
        <v>1254</v>
      </c>
      <c r="U4" s="50" t="s">
        <v>590</v>
      </c>
      <c r="V4" s="53" t="s">
        <v>266</v>
      </c>
    </row>
    <row r="5" spans="1:22" ht="15" customHeight="1" x14ac:dyDescent="0.25">
      <c r="A5" s="50" t="s">
        <v>1255</v>
      </c>
      <c r="B5" s="50" t="s">
        <v>1256</v>
      </c>
      <c r="C5" s="50" t="s">
        <v>1250</v>
      </c>
      <c r="D5" s="50" t="s">
        <v>1250</v>
      </c>
      <c r="E5" s="50" t="s">
        <v>1245</v>
      </c>
      <c r="F5" s="50" t="s">
        <v>1246</v>
      </c>
      <c r="G5" s="51">
        <v>51.7</v>
      </c>
      <c r="H5" s="51">
        <v>53.79</v>
      </c>
      <c r="I5" s="51">
        <v>3.5019999999999998</v>
      </c>
      <c r="J5" s="51">
        <v>9.6692</v>
      </c>
      <c r="K5" s="51">
        <v>2.0196999999999998</v>
      </c>
      <c r="L5" s="51">
        <v>5.7868000000000004</v>
      </c>
      <c r="M5" s="50">
        <v>14.07</v>
      </c>
      <c r="N5" s="51">
        <v>7.27</v>
      </c>
      <c r="O5" s="50">
        <v>-0.71899999999999997</v>
      </c>
      <c r="P5" s="51">
        <v>221.01</v>
      </c>
      <c r="Q5" s="50">
        <f t="shared" si="0"/>
        <v>1.6</v>
      </c>
      <c r="R5" s="50" t="s">
        <v>587</v>
      </c>
      <c r="S5" s="50" t="s">
        <v>609</v>
      </c>
      <c r="T5" s="50" t="s">
        <v>1257</v>
      </c>
      <c r="U5" s="50" t="s">
        <v>590</v>
      </c>
      <c r="V5" s="53" t="s">
        <v>266</v>
      </c>
    </row>
    <row r="6" spans="1:22" ht="15" customHeight="1" x14ac:dyDescent="0.25">
      <c r="A6" s="50" t="s">
        <v>1258</v>
      </c>
      <c r="B6" s="50" t="s">
        <v>1259</v>
      </c>
      <c r="C6" s="50" t="s">
        <v>1244</v>
      </c>
      <c r="D6" s="50" t="s">
        <v>1244</v>
      </c>
      <c r="E6" s="50" t="s">
        <v>1245</v>
      </c>
      <c r="F6" s="50" t="s">
        <v>1253</v>
      </c>
      <c r="G6" s="51">
        <v>478.92</v>
      </c>
      <c r="H6" s="51">
        <v>510.46</v>
      </c>
      <c r="I6" s="51">
        <v>14.7097</v>
      </c>
      <c r="J6" s="51">
        <v>23.736699999999999</v>
      </c>
      <c r="K6" s="51">
        <v>8.3513999999999999</v>
      </c>
      <c r="L6" s="51">
        <v>25.808800000000002</v>
      </c>
      <c r="M6" s="50">
        <v>5.45</v>
      </c>
      <c r="N6" s="51">
        <v>26.1</v>
      </c>
      <c r="O6" s="50">
        <v>0.57399999999999995</v>
      </c>
      <c r="P6" s="51">
        <v>2052.79</v>
      </c>
      <c r="Q6" s="50">
        <f t="shared" si="0"/>
        <v>0.7</v>
      </c>
      <c r="R6" s="50" t="s">
        <v>587</v>
      </c>
      <c r="S6" s="50" t="s">
        <v>716</v>
      </c>
      <c r="T6" s="50" t="s">
        <v>1260</v>
      </c>
      <c r="U6" s="50" t="s">
        <v>590</v>
      </c>
      <c r="V6" s="53" t="s">
        <v>266</v>
      </c>
    </row>
    <row r="7" spans="1:22" ht="15" customHeight="1" x14ac:dyDescent="0.25">
      <c r="A7" s="50" t="s">
        <v>1261</v>
      </c>
      <c r="B7" s="50" t="s">
        <v>1262</v>
      </c>
      <c r="C7" s="50" t="s">
        <v>1250</v>
      </c>
      <c r="D7" s="50" t="s">
        <v>1250</v>
      </c>
      <c r="E7" s="50" t="s">
        <v>1252</v>
      </c>
      <c r="F7" s="50" t="s">
        <v>1263</v>
      </c>
      <c r="G7" s="51">
        <v>360.36</v>
      </c>
      <c r="H7" s="51">
        <v>358.83</v>
      </c>
      <c r="I7" s="51">
        <v>15.0183</v>
      </c>
      <c r="J7" s="51">
        <v>25.857199999999999</v>
      </c>
      <c r="K7" s="51">
        <v>11.7682</v>
      </c>
      <c r="L7" s="51">
        <v>28.403199999999998</v>
      </c>
      <c r="M7" s="50">
        <v>9.8699999999999992</v>
      </c>
      <c r="N7" s="51">
        <v>35.57</v>
      </c>
      <c r="O7" s="50">
        <v>0.374</v>
      </c>
      <c r="P7" s="51">
        <v>742.53</v>
      </c>
      <c r="Q7" s="50">
        <f t="shared" si="0"/>
        <v>2</v>
      </c>
      <c r="R7" s="50" t="s">
        <v>587</v>
      </c>
      <c r="S7" s="50" t="s">
        <v>647</v>
      </c>
      <c r="T7" s="50" t="s">
        <v>1264</v>
      </c>
      <c r="U7" s="50" t="s">
        <v>590</v>
      </c>
      <c r="V7" s="53" t="s">
        <v>266</v>
      </c>
    </row>
    <row r="8" spans="1:22" ht="15" customHeight="1" x14ac:dyDescent="0.25">
      <c r="A8" s="50" t="s">
        <v>1265</v>
      </c>
      <c r="B8" s="50" t="s">
        <v>1266</v>
      </c>
      <c r="C8" s="50" t="s">
        <v>1267</v>
      </c>
      <c r="D8" s="50" t="s">
        <v>1251</v>
      </c>
      <c r="E8" s="50" t="s">
        <v>1268</v>
      </c>
      <c r="F8" s="50" t="s">
        <v>1269</v>
      </c>
      <c r="G8" s="51">
        <v>79.709999999999994</v>
      </c>
      <c r="H8" s="51">
        <v>76.05</v>
      </c>
      <c r="I8" s="51">
        <v>2.3786999999999998</v>
      </c>
      <c r="J8" s="51">
        <v>5.8952999999999998</v>
      </c>
      <c r="K8" s="51">
        <v>1.9924999999999999</v>
      </c>
      <c r="L8" s="51">
        <v>4.5635000000000003</v>
      </c>
      <c r="M8" s="50">
        <v>1.67</v>
      </c>
      <c r="N8" s="51">
        <v>1.33</v>
      </c>
      <c r="O8" s="50">
        <v>0.188</v>
      </c>
      <c r="P8" s="51">
        <v>277.41000000000003</v>
      </c>
      <c r="Q8" s="50">
        <f t="shared" si="0"/>
        <v>0.9</v>
      </c>
      <c r="R8" s="50" t="s">
        <v>587</v>
      </c>
      <c r="S8" s="50" t="s">
        <v>618</v>
      </c>
      <c r="T8" s="50" t="s">
        <v>1270</v>
      </c>
      <c r="U8" s="50" t="s">
        <v>590</v>
      </c>
      <c r="V8" s="53" t="s">
        <v>266</v>
      </c>
    </row>
    <row r="9" spans="1:22" ht="15" customHeight="1" x14ac:dyDescent="0.25">
      <c r="A9" s="50" t="s">
        <v>1271</v>
      </c>
      <c r="B9" s="50" t="s">
        <v>1272</v>
      </c>
      <c r="C9" s="50" t="s">
        <v>1273</v>
      </c>
      <c r="D9" s="50" t="s">
        <v>1274</v>
      </c>
      <c r="E9" s="50" t="s">
        <v>1275</v>
      </c>
      <c r="F9" s="50" t="s">
        <v>1263</v>
      </c>
      <c r="G9" s="51">
        <v>135.26</v>
      </c>
      <c r="H9" s="51">
        <v>127.18</v>
      </c>
      <c r="I9" s="51">
        <v>2.6381999999999999</v>
      </c>
      <c r="J9" s="51">
        <v>4.8226000000000004</v>
      </c>
      <c r="K9" s="51">
        <v>2.5268000000000002</v>
      </c>
      <c r="L9" s="51">
        <v>4.6897000000000002</v>
      </c>
      <c r="M9" s="50">
        <v>11.03</v>
      </c>
      <c r="N9" s="51">
        <v>14.92</v>
      </c>
      <c r="O9" s="50">
        <v>-0.46899999999999997</v>
      </c>
      <c r="P9" s="51">
        <v>316.08</v>
      </c>
      <c r="Q9" s="50">
        <f t="shared" si="0"/>
        <v>0.8</v>
      </c>
      <c r="R9" s="50" t="s">
        <v>587</v>
      </c>
      <c r="S9" s="50" t="s">
        <v>609</v>
      </c>
      <c r="T9" s="50" t="s">
        <v>1276</v>
      </c>
      <c r="U9" s="50" t="s">
        <v>590</v>
      </c>
      <c r="V9" s="53" t="s">
        <v>266</v>
      </c>
    </row>
    <row r="10" spans="1:22" ht="15" customHeight="1" x14ac:dyDescent="0.25">
      <c r="A10" s="50" t="s">
        <v>1277</v>
      </c>
      <c r="B10" s="50" t="s">
        <v>1278</v>
      </c>
      <c r="C10" s="50" t="s">
        <v>1273</v>
      </c>
      <c r="D10" s="50" t="s">
        <v>1279</v>
      </c>
      <c r="E10" s="50" t="s">
        <v>1245</v>
      </c>
      <c r="F10" s="50" t="s">
        <v>1263</v>
      </c>
      <c r="G10" s="51">
        <v>132.91</v>
      </c>
      <c r="H10" s="51">
        <v>131.87</v>
      </c>
      <c r="I10" s="51">
        <v>4.5510000000000002</v>
      </c>
      <c r="J10" s="51">
        <v>8.8902000000000001</v>
      </c>
      <c r="K10" s="51">
        <v>4.2306999999999997</v>
      </c>
      <c r="L10" s="51">
        <v>7.6464999999999996</v>
      </c>
      <c r="M10" s="50">
        <v>3.24</v>
      </c>
      <c r="N10" s="51">
        <v>4.3099999999999996</v>
      </c>
      <c r="O10" s="50">
        <v>-0.94899999999999995</v>
      </c>
      <c r="P10" s="51">
        <v>276.64999999999998</v>
      </c>
      <c r="Q10" s="50">
        <f t="shared" si="0"/>
        <v>1.6</v>
      </c>
      <c r="R10" s="50" t="s">
        <v>587</v>
      </c>
      <c r="S10" s="50" t="s">
        <v>586</v>
      </c>
      <c r="T10" s="50" t="s">
        <v>1276</v>
      </c>
      <c r="U10" s="50" t="s">
        <v>590</v>
      </c>
      <c r="V10" s="53" t="s">
        <v>266</v>
      </c>
    </row>
    <row r="11" spans="1:22" ht="15" customHeight="1" x14ac:dyDescent="0.25">
      <c r="A11" s="50" t="s">
        <v>1280</v>
      </c>
      <c r="B11" s="50" t="s">
        <v>831</v>
      </c>
      <c r="C11" s="50" t="s">
        <v>1243</v>
      </c>
      <c r="D11" s="50" t="s">
        <v>1244</v>
      </c>
      <c r="E11" s="50" t="s">
        <v>1268</v>
      </c>
      <c r="F11" s="50" t="s">
        <v>1263</v>
      </c>
      <c r="G11" s="51">
        <v>345.53</v>
      </c>
      <c r="H11" s="51">
        <v>379.73</v>
      </c>
      <c r="I11" s="51">
        <v>9.2768999999999995</v>
      </c>
      <c r="J11" s="51">
        <v>21.988499999999998</v>
      </c>
      <c r="K11" s="51">
        <v>6.5868000000000002</v>
      </c>
      <c r="L11" s="51">
        <v>13.8858</v>
      </c>
      <c r="M11" s="50">
        <v>5.91</v>
      </c>
      <c r="N11" s="51">
        <v>20.420000000000002</v>
      </c>
      <c r="O11" s="50">
        <v>-0.627</v>
      </c>
      <c r="P11" s="51">
        <v>628.89</v>
      </c>
      <c r="Q11" s="50">
        <f t="shared" si="0"/>
        <v>1.5</v>
      </c>
      <c r="R11" s="50" t="s">
        <v>587</v>
      </c>
      <c r="S11" s="50" t="s">
        <v>618</v>
      </c>
      <c r="T11" s="50" t="s">
        <v>1281</v>
      </c>
      <c r="U11" s="50" t="s">
        <v>590</v>
      </c>
      <c r="V11" s="53" t="s">
        <v>266</v>
      </c>
    </row>
    <row r="12" spans="1:22" ht="15" customHeight="1" x14ac:dyDescent="0.25">
      <c r="A12" s="50" t="s">
        <v>1282</v>
      </c>
      <c r="B12" s="50" t="s">
        <v>1283</v>
      </c>
      <c r="C12" s="50" t="s">
        <v>1244</v>
      </c>
      <c r="D12" s="50" t="s">
        <v>1284</v>
      </c>
      <c r="E12" s="50" t="s">
        <v>1275</v>
      </c>
      <c r="F12" s="50" t="s">
        <v>1269</v>
      </c>
      <c r="G12" s="51">
        <v>131.26</v>
      </c>
      <c r="H12" s="51">
        <v>139.04</v>
      </c>
      <c r="I12" s="51">
        <v>1.9459</v>
      </c>
      <c r="J12" s="51">
        <v>4.6736000000000004</v>
      </c>
      <c r="K12" s="51">
        <v>2.0365000000000002</v>
      </c>
      <c r="L12" s="51">
        <v>2.9794999999999998</v>
      </c>
      <c r="M12" s="50">
        <v>11.42</v>
      </c>
      <c r="N12" s="51">
        <v>14.99</v>
      </c>
      <c r="O12" s="50">
        <v>-0.54500000000000004</v>
      </c>
      <c r="P12" s="51">
        <v>238.24</v>
      </c>
      <c r="Q12" s="50">
        <f t="shared" si="0"/>
        <v>0.8</v>
      </c>
      <c r="R12" s="50" t="s">
        <v>587</v>
      </c>
      <c r="S12" s="50" t="s">
        <v>602</v>
      </c>
      <c r="T12" s="50" t="s">
        <v>1285</v>
      </c>
      <c r="U12" s="50" t="s">
        <v>590</v>
      </c>
      <c r="V12" s="53" t="s">
        <v>266</v>
      </c>
    </row>
    <row r="13" spans="1:22" ht="15" customHeight="1" x14ac:dyDescent="0.25">
      <c r="A13" s="50" t="s">
        <v>1286</v>
      </c>
      <c r="B13" s="50" t="s">
        <v>1287</v>
      </c>
      <c r="C13" s="50" t="s">
        <v>1288</v>
      </c>
      <c r="D13" s="50" t="s">
        <v>1289</v>
      </c>
      <c r="E13" s="50" t="s">
        <v>1275</v>
      </c>
      <c r="F13" s="50" t="s">
        <v>1290</v>
      </c>
      <c r="G13" s="51">
        <v>349.1</v>
      </c>
      <c r="H13" s="51">
        <v>326.68</v>
      </c>
      <c r="I13" s="51">
        <v>20.898399999999999</v>
      </c>
      <c r="J13" s="51">
        <v>51.350900000000003</v>
      </c>
      <c r="K13" s="51">
        <v>16.753900000000002</v>
      </c>
      <c r="L13" s="51">
        <v>40.1325</v>
      </c>
      <c r="M13" s="50">
        <v>12.07</v>
      </c>
      <c r="N13" s="51">
        <v>42.14</v>
      </c>
      <c r="O13" s="50">
        <v>0.35499999999999998</v>
      </c>
      <c r="P13" s="51">
        <v>1199.23</v>
      </c>
      <c r="Q13" s="50">
        <f t="shared" si="0"/>
        <v>1.7</v>
      </c>
      <c r="R13" s="50" t="s">
        <v>587</v>
      </c>
      <c r="S13" s="50" t="s">
        <v>647</v>
      </c>
      <c r="T13" s="50" t="s">
        <v>1281</v>
      </c>
      <c r="U13" s="50" t="s">
        <v>590</v>
      </c>
      <c r="V13" s="53" t="s">
        <v>266</v>
      </c>
    </row>
    <row r="14" spans="1:22" ht="15" customHeight="1" x14ac:dyDescent="0.25">
      <c r="A14" s="50" t="s">
        <v>1291</v>
      </c>
      <c r="B14" s="50" t="s">
        <v>643</v>
      </c>
      <c r="C14" s="50" t="s">
        <v>1244</v>
      </c>
      <c r="D14" s="50" t="s">
        <v>1292</v>
      </c>
      <c r="E14" s="50" t="s">
        <v>1245</v>
      </c>
      <c r="F14" s="50" t="s">
        <v>1290</v>
      </c>
      <c r="G14" s="51">
        <v>114.54</v>
      </c>
      <c r="H14" s="51">
        <v>115.08</v>
      </c>
      <c r="I14" s="51">
        <v>7.9720000000000004</v>
      </c>
      <c r="J14" s="51">
        <v>16.920300000000001</v>
      </c>
      <c r="K14" s="51">
        <v>9.5489999999999995</v>
      </c>
      <c r="L14" s="51">
        <v>13.566599999999999</v>
      </c>
      <c r="M14" s="50">
        <v>12.56</v>
      </c>
      <c r="N14" s="51">
        <v>14.39</v>
      </c>
      <c r="O14" s="50">
        <v>-0.48399999999999999</v>
      </c>
      <c r="P14" s="51">
        <v>539.47</v>
      </c>
      <c r="Q14" s="50">
        <f t="shared" si="0"/>
        <v>1.5</v>
      </c>
      <c r="R14" s="50" t="s">
        <v>587</v>
      </c>
      <c r="S14" s="50" t="s">
        <v>647</v>
      </c>
      <c r="T14" s="50" t="s">
        <v>1276</v>
      </c>
      <c r="U14" s="50" t="s">
        <v>590</v>
      </c>
      <c r="V14" s="53" t="s">
        <v>266</v>
      </c>
    </row>
    <row r="15" spans="1:22" ht="15" customHeight="1" x14ac:dyDescent="0.25">
      <c r="A15" s="50" t="s">
        <v>1293</v>
      </c>
      <c r="B15" s="50" t="s">
        <v>1294</v>
      </c>
      <c r="C15" s="50" t="s">
        <v>1288</v>
      </c>
      <c r="D15" s="50" t="s">
        <v>1250</v>
      </c>
      <c r="E15" s="50" t="s">
        <v>1275</v>
      </c>
      <c r="F15" s="50" t="s">
        <v>1295</v>
      </c>
      <c r="G15" s="51">
        <v>603.94000000000005</v>
      </c>
      <c r="H15" s="51">
        <v>618.4</v>
      </c>
      <c r="I15" s="51">
        <v>40.111899999999999</v>
      </c>
      <c r="J15" s="51">
        <v>64.774199999999993</v>
      </c>
      <c r="K15" s="51">
        <v>38.520600000000002</v>
      </c>
      <c r="L15" s="51">
        <v>66.9893</v>
      </c>
      <c r="M15" s="50">
        <v>11.79</v>
      </c>
      <c r="N15" s="51">
        <v>71.2</v>
      </c>
      <c r="O15" s="50">
        <v>-0.77500000000000002</v>
      </c>
      <c r="P15" s="51">
        <v>1251.49</v>
      </c>
      <c r="Q15" s="50">
        <f t="shared" si="0"/>
        <v>3.2</v>
      </c>
      <c r="R15" s="50" t="s">
        <v>587</v>
      </c>
      <c r="S15" s="50" t="s">
        <v>647</v>
      </c>
      <c r="T15" s="50" t="s">
        <v>1276</v>
      </c>
      <c r="U15" s="50" t="s">
        <v>590</v>
      </c>
      <c r="V15" s="53" t="s">
        <v>266</v>
      </c>
    </row>
    <row r="16" spans="1:22" ht="15" customHeight="1" x14ac:dyDescent="0.25">
      <c r="A16" s="50" t="s">
        <v>1296</v>
      </c>
      <c r="B16" s="50" t="s">
        <v>1297</v>
      </c>
      <c r="C16" s="50" t="s">
        <v>1243</v>
      </c>
      <c r="D16" s="50" t="s">
        <v>1284</v>
      </c>
      <c r="E16" s="50" t="s">
        <v>1245</v>
      </c>
      <c r="F16" s="50" t="s">
        <v>1246</v>
      </c>
      <c r="G16" s="51">
        <v>619.69000000000005</v>
      </c>
      <c r="H16" s="51">
        <v>678.92</v>
      </c>
      <c r="I16" s="51">
        <v>16.549700000000001</v>
      </c>
      <c r="J16" s="51">
        <v>39.483400000000003</v>
      </c>
      <c r="K16" s="51">
        <v>14.193300000000001</v>
      </c>
      <c r="L16" s="51">
        <v>26.122699999999998</v>
      </c>
      <c r="M16" s="50">
        <v>2.83</v>
      </c>
      <c r="N16" s="51">
        <v>17.54</v>
      </c>
      <c r="O16" s="50">
        <v>-0.19400000000000001</v>
      </c>
      <c r="P16" s="51">
        <v>2487.46</v>
      </c>
      <c r="Q16" s="50">
        <f t="shared" si="0"/>
        <v>0.7</v>
      </c>
      <c r="R16" s="50" t="s">
        <v>587</v>
      </c>
      <c r="S16" s="50" t="s">
        <v>602</v>
      </c>
      <c r="T16" s="50" t="s">
        <v>1264</v>
      </c>
      <c r="U16" s="50" t="s">
        <v>590</v>
      </c>
      <c r="V16" s="53" t="s">
        <v>266</v>
      </c>
    </row>
    <row r="17" spans="1:22" ht="15" customHeight="1" x14ac:dyDescent="0.25">
      <c r="A17" s="50" t="s">
        <v>1298</v>
      </c>
      <c r="B17" s="50" t="s">
        <v>1299</v>
      </c>
      <c r="C17" s="50" t="s">
        <v>1300</v>
      </c>
      <c r="D17" s="50" t="s">
        <v>1292</v>
      </c>
      <c r="E17" s="50" t="s">
        <v>1301</v>
      </c>
      <c r="F17" s="50" t="s">
        <v>1253</v>
      </c>
      <c r="G17" s="51">
        <v>348.4</v>
      </c>
      <c r="H17" s="51">
        <v>339.24</v>
      </c>
      <c r="I17" s="51">
        <v>10.5474</v>
      </c>
      <c r="J17" s="51">
        <v>21.152200000000001</v>
      </c>
      <c r="K17" s="51">
        <v>10.915699999999999</v>
      </c>
      <c r="L17" s="51">
        <v>15.2806</v>
      </c>
      <c r="M17" s="50">
        <v>12.69</v>
      </c>
      <c r="N17" s="51">
        <v>44.21</v>
      </c>
      <c r="O17" s="50">
        <v>0.71599999999999997</v>
      </c>
      <c r="P17" s="51">
        <v>1322.01</v>
      </c>
      <c r="Q17" s="50">
        <f t="shared" si="0"/>
        <v>0.8</v>
      </c>
      <c r="R17" s="50" t="s">
        <v>587</v>
      </c>
      <c r="S17" s="50" t="s">
        <v>609</v>
      </c>
      <c r="T17" s="50" t="s">
        <v>1254</v>
      </c>
      <c r="U17" s="50" t="s">
        <v>590</v>
      </c>
      <c r="V17" s="53" t="s">
        <v>266</v>
      </c>
    </row>
    <row r="18" spans="1:22" ht="15" customHeight="1" x14ac:dyDescent="0.25">
      <c r="A18" s="50" t="s">
        <v>1302</v>
      </c>
      <c r="B18" s="50" t="s">
        <v>1303</v>
      </c>
      <c r="C18" s="50" t="s">
        <v>1250</v>
      </c>
      <c r="D18" s="50" t="s">
        <v>1289</v>
      </c>
      <c r="E18" s="50" t="s">
        <v>1245</v>
      </c>
      <c r="F18" s="50" t="s">
        <v>1295</v>
      </c>
      <c r="G18" s="51">
        <v>210.51</v>
      </c>
      <c r="H18" s="51">
        <v>211.22</v>
      </c>
      <c r="I18" s="51">
        <v>10.143700000000001</v>
      </c>
      <c r="J18" s="51">
        <v>18.517600000000002</v>
      </c>
      <c r="K18" s="51">
        <v>5.7728999999999999</v>
      </c>
      <c r="L18" s="51">
        <v>18.858899999999998</v>
      </c>
      <c r="M18" s="50">
        <v>11.19</v>
      </c>
      <c r="N18" s="51">
        <v>23.56</v>
      </c>
      <c r="O18" s="50">
        <v>0.51900000000000002</v>
      </c>
      <c r="P18" s="51">
        <v>957.92</v>
      </c>
      <c r="Q18" s="50">
        <f t="shared" si="0"/>
        <v>1.1000000000000001</v>
      </c>
      <c r="R18" s="50" t="s">
        <v>587</v>
      </c>
      <c r="S18" s="50" t="s">
        <v>716</v>
      </c>
      <c r="T18" s="50" t="s">
        <v>1285</v>
      </c>
      <c r="U18" s="50" t="s">
        <v>590</v>
      </c>
      <c r="V18" s="53" t="s">
        <v>266</v>
      </c>
    </row>
    <row r="19" spans="1:22" ht="15" customHeight="1" x14ac:dyDescent="0.25">
      <c r="A19" s="50" t="s">
        <v>1304</v>
      </c>
      <c r="B19" s="50" t="s">
        <v>1305</v>
      </c>
      <c r="C19" s="50" t="s">
        <v>1267</v>
      </c>
      <c r="D19" s="50" t="s">
        <v>1284</v>
      </c>
      <c r="E19" s="50" t="s">
        <v>1306</v>
      </c>
      <c r="F19" s="50" t="s">
        <v>1246</v>
      </c>
      <c r="G19" s="51">
        <v>300.27</v>
      </c>
      <c r="H19" s="51">
        <v>323.12</v>
      </c>
      <c r="I19" s="51">
        <v>13.088200000000001</v>
      </c>
      <c r="J19" s="51">
        <v>29.872599999999998</v>
      </c>
      <c r="K19" s="51">
        <v>7.0544000000000002</v>
      </c>
      <c r="L19" s="51">
        <v>24.869499999999999</v>
      </c>
      <c r="M19" s="50">
        <v>3.25</v>
      </c>
      <c r="N19" s="51">
        <v>9.76</v>
      </c>
      <c r="O19" s="50">
        <v>-0.88500000000000001</v>
      </c>
      <c r="P19" s="51">
        <v>522.08000000000004</v>
      </c>
      <c r="Q19" s="50">
        <f t="shared" si="0"/>
        <v>2.5</v>
      </c>
      <c r="R19" s="50" t="s">
        <v>587</v>
      </c>
      <c r="S19" s="50" t="s">
        <v>716</v>
      </c>
      <c r="T19" s="50" t="s">
        <v>1257</v>
      </c>
      <c r="U19" s="50" t="s">
        <v>590</v>
      </c>
      <c r="V19" s="53" t="s">
        <v>266</v>
      </c>
    </row>
    <row r="20" spans="1:22" ht="15" customHeight="1" x14ac:dyDescent="0.25">
      <c r="A20" s="50" t="s">
        <v>1307</v>
      </c>
      <c r="B20" s="50" t="s">
        <v>1308</v>
      </c>
      <c r="C20" s="50" t="s">
        <v>1300</v>
      </c>
      <c r="D20" s="50" t="s">
        <v>1251</v>
      </c>
      <c r="E20" s="50" t="s">
        <v>1245</v>
      </c>
      <c r="F20" s="50" t="s">
        <v>1263</v>
      </c>
      <c r="G20" s="51">
        <v>368.43</v>
      </c>
      <c r="H20" s="51">
        <v>385.78</v>
      </c>
      <c r="I20" s="51">
        <v>6.0491000000000001</v>
      </c>
      <c r="J20" s="51">
        <v>9.9003999999999994</v>
      </c>
      <c r="K20" s="51">
        <v>4.2221000000000002</v>
      </c>
      <c r="L20" s="51">
        <v>10.133699999999999</v>
      </c>
      <c r="M20" s="50">
        <v>2.91</v>
      </c>
      <c r="N20" s="51">
        <v>10.72</v>
      </c>
      <c r="O20" s="50">
        <v>0.74099999999999999</v>
      </c>
      <c r="P20" s="51">
        <v>1371.09</v>
      </c>
      <c r="Q20" s="50">
        <f t="shared" si="0"/>
        <v>0.4</v>
      </c>
      <c r="R20" s="50" t="s">
        <v>587</v>
      </c>
      <c r="S20" s="50" t="s">
        <v>575</v>
      </c>
      <c r="T20" s="50" t="s">
        <v>1257</v>
      </c>
      <c r="U20" s="50" t="s">
        <v>590</v>
      </c>
      <c r="V20" s="53" t="s">
        <v>266</v>
      </c>
    </row>
    <row r="21" spans="1:22" ht="15" customHeight="1" x14ac:dyDescent="0.25">
      <c r="A21" s="50" t="s">
        <v>1309</v>
      </c>
      <c r="B21" s="50" t="s">
        <v>1310</v>
      </c>
      <c r="C21" s="50" t="s">
        <v>1243</v>
      </c>
      <c r="D21" s="50" t="s">
        <v>1284</v>
      </c>
      <c r="E21" s="50" t="s">
        <v>1306</v>
      </c>
      <c r="F21" s="50" t="s">
        <v>1253</v>
      </c>
      <c r="G21" s="51">
        <v>90.56</v>
      </c>
      <c r="H21" s="51">
        <v>83.81</v>
      </c>
      <c r="I21" s="51">
        <v>0.92849999999999999</v>
      </c>
      <c r="J21" s="51">
        <v>2.4369000000000001</v>
      </c>
      <c r="K21" s="51">
        <v>0.95069999999999999</v>
      </c>
      <c r="L21" s="51">
        <v>1.2734000000000001</v>
      </c>
      <c r="M21" s="50">
        <v>3.55</v>
      </c>
      <c r="N21" s="51">
        <v>3.21</v>
      </c>
      <c r="O21" s="50">
        <v>-0.55000000000000004</v>
      </c>
      <c r="P21" s="51">
        <v>186.36</v>
      </c>
      <c r="Q21" s="50">
        <f t="shared" si="0"/>
        <v>0.5</v>
      </c>
      <c r="R21" s="50" t="s">
        <v>587</v>
      </c>
      <c r="S21" s="50" t="s">
        <v>602</v>
      </c>
      <c r="T21" s="50" t="s">
        <v>1285</v>
      </c>
      <c r="U21" s="50" t="s">
        <v>590</v>
      </c>
      <c r="V21" s="53" t="s">
        <v>266</v>
      </c>
    </row>
    <row r="22" spans="1:22" ht="15" customHeight="1" x14ac:dyDescent="0.25">
      <c r="A22" s="50" t="s">
        <v>1311</v>
      </c>
      <c r="B22" s="50" t="s">
        <v>603</v>
      </c>
      <c r="C22" s="50" t="s">
        <v>1243</v>
      </c>
      <c r="D22" s="50" t="s">
        <v>1267</v>
      </c>
      <c r="E22" s="50" t="s">
        <v>1312</v>
      </c>
      <c r="F22" s="50" t="s">
        <v>1290</v>
      </c>
      <c r="G22" s="51">
        <v>463.74</v>
      </c>
      <c r="H22" s="51">
        <v>482.4</v>
      </c>
      <c r="I22" s="51">
        <v>4.1123000000000003</v>
      </c>
      <c r="J22" s="51">
        <v>7.8251999999999997</v>
      </c>
      <c r="K22" s="51">
        <v>4.2934999999999999</v>
      </c>
      <c r="L22" s="51">
        <v>5.9397000000000002</v>
      </c>
      <c r="M22" s="50">
        <v>14.52</v>
      </c>
      <c r="N22" s="51">
        <v>67.34</v>
      </c>
      <c r="O22" s="50">
        <v>0.28499999999999998</v>
      </c>
      <c r="P22" s="51">
        <v>1439.16</v>
      </c>
      <c r="Q22" s="50">
        <f t="shared" si="0"/>
        <v>0.3</v>
      </c>
      <c r="R22" s="50" t="s">
        <v>587</v>
      </c>
      <c r="S22" s="50" t="s">
        <v>602</v>
      </c>
      <c r="T22" s="50" t="s">
        <v>1257</v>
      </c>
      <c r="U22" s="50" t="s">
        <v>590</v>
      </c>
      <c r="V22" s="53" t="s">
        <v>266</v>
      </c>
    </row>
    <row r="23" spans="1:22" ht="15" customHeight="1" x14ac:dyDescent="0.25">
      <c r="A23" s="50" t="s">
        <v>1313</v>
      </c>
      <c r="B23" s="50" t="s">
        <v>1314</v>
      </c>
      <c r="C23" s="50" t="s">
        <v>1300</v>
      </c>
      <c r="D23" s="50" t="s">
        <v>1292</v>
      </c>
      <c r="E23" s="50" t="s">
        <v>1312</v>
      </c>
      <c r="F23" s="50" t="s">
        <v>1295</v>
      </c>
      <c r="G23" s="51">
        <v>483.72</v>
      </c>
      <c r="H23" s="51">
        <v>524.77</v>
      </c>
      <c r="I23" s="51">
        <v>17.119800000000001</v>
      </c>
      <c r="J23" s="51">
        <v>29.493600000000001</v>
      </c>
      <c r="K23" s="51">
        <v>13.8535</v>
      </c>
      <c r="L23" s="51">
        <v>29.615300000000001</v>
      </c>
      <c r="M23" s="50">
        <v>12.7</v>
      </c>
      <c r="N23" s="51">
        <v>61.43</v>
      </c>
      <c r="O23" s="50">
        <v>-0.252</v>
      </c>
      <c r="P23" s="51">
        <v>1976.13</v>
      </c>
      <c r="Q23" s="50">
        <f t="shared" si="0"/>
        <v>0.9</v>
      </c>
      <c r="R23" s="50" t="s">
        <v>587</v>
      </c>
      <c r="S23" s="50" t="s">
        <v>586</v>
      </c>
      <c r="T23" s="50" t="s">
        <v>1315</v>
      </c>
      <c r="U23" s="50" t="s">
        <v>590</v>
      </c>
      <c r="V23" s="53" t="s">
        <v>266</v>
      </c>
    </row>
    <row r="24" spans="1:22" ht="15" customHeight="1" x14ac:dyDescent="0.25">
      <c r="A24" s="50" t="s">
        <v>1316</v>
      </c>
      <c r="B24" s="50" t="s">
        <v>1317</v>
      </c>
      <c r="C24" s="50" t="s">
        <v>1273</v>
      </c>
      <c r="D24" s="50" t="s">
        <v>1244</v>
      </c>
      <c r="E24" s="50" t="s">
        <v>1268</v>
      </c>
      <c r="F24" s="50" t="s">
        <v>1295</v>
      </c>
      <c r="G24" s="51">
        <v>459.2</v>
      </c>
      <c r="H24" s="51">
        <v>501.58</v>
      </c>
      <c r="I24" s="51">
        <v>12.133800000000001</v>
      </c>
      <c r="J24" s="51">
        <v>29.768000000000001</v>
      </c>
      <c r="K24" s="51">
        <v>13.5158</v>
      </c>
      <c r="L24" s="51">
        <v>17.460899999999999</v>
      </c>
      <c r="M24" s="50">
        <v>2.5</v>
      </c>
      <c r="N24" s="51">
        <v>11.48</v>
      </c>
      <c r="O24" s="50">
        <v>0.53100000000000003</v>
      </c>
      <c r="P24" s="51">
        <v>2331.8000000000002</v>
      </c>
      <c r="Q24" s="50">
        <f t="shared" si="0"/>
        <v>0.5</v>
      </c>
      <c r="R24" s="50" t="s">
        <v>587</v>
      </c>
      <c r="S24" s="50" t="s">
        <v>602</v>
      </c>
      <c r="T24" s="50" t="s">
        <v>1247</v>
      </c>
      <c r="U24" s="50" t="s">
        <v>590</v>
      </c>
      <c r="V24" s="53" t="s">
        <v>266</v>
      </c>
    </row>
    <row r="25" spans="1:22" ht="15" customHeight="1" x14ac:dyDescent="0.25">
      <c r="A25" s="50" t="s">
        <v>1318</v>
      </c>
      <c r="B25" s="50" t="s">
        <v>1259</v>
      </c>
      <c r="C25" s="50" t="s">
        <v>1250</v>
      </c>
      <c r="D25" s="50" t="s">
        <v>1274</v>
      </c>
      <c r="E25" s="50" t="s">
        <v>1306</v>
      </c>
      <c r="F25" s="50" t="s">
        <v>1269</v>
      </c>
      <c r="G25" s="51">
        <v>469.12</v>
      </c>
      <c r="H25" s="51">
        <v>525.17999999999995</v>
      </c>
      <c r="I25" s="51">
        <v>12.6487</v>
      </c>
      <c r="J25" s="51">
        <v>26.591100000000001</v>
      </c>
      <c r="K25" s="51">
        <v>8.9884000000000004</v>
      </c>
      <c r="L25" s="51">
        <v>15.5358</v>
      </c>
      <c r="M25" s="50">
        <v>10.71</v>
      </c>
      <c r="N25" s="51">
        <v>50.24</v>
      </c>
      <c r="O25" s="50">
        <v>0.14399999999999999</v>
      </c>
      <c r="P25" s="51">
        <v>1136.8599999999999</v>
      </c>
      <c r="Q25" s="50">
        <f t="shared" si="0"/>
        <v>1.1000000000000001</v>
      </c>
      <c r="R25" s="50" t="s">
        <v>587</v>
      </c>
      <c r="S25" s="50" t="s">
        <v>609</v>
      </c>
      <c r="T25" s="50" t="s">
        <v>1247</v>
      </c>
      <c r="U25" s="50" t="s">
        <v>590</v>
      </c>
      <c r="V25" s="53" t="s">
        <v>266</v>
      </c>
    </row>
    <row r="26" spans="1:22" ht="15" customHeight="1" x14ac:dyDescent="0.25">
      <c r="A26" s="50" t="s">
        <v>1319</v>
      </c>
      <c r="B26" s="50" t="s">
        <v>1320</v>
      </c>
      <c r="C26" s="50" t="s">
        <v>1250</v>
      </c>
      <c r="D26" s="50" t="s">
        <v>1289</v>
      </c>
      <c r="E26" s="50" t="s">
        <v>1306</v>
      </c>
      <c r="F26" s="50" t="s">
        <v>1295</v>
      </c>
      <c r="G26" s="51">
        <v>369.9</v>
      </c>
      <c r="H26" s="51">
        <v>402.85</v>
      </c>
      <c r="I26" s="51">
        <v>24.219200000000001</v>
      </c>
      <c r="J26" s="51">
        <v>64.224299999999999</v>
      </c>
      <c r="K26" s="51">
        <v>13.1973</v>
      </c>
      <c r="L26" s="51">
        <v>30.9541</v>
      </c>
      <c r="M26" s="50">
        <v>2.1800000000000002</v>
      </c>
      <c r="N26" s="51">
        <v>8.06</v>
      </c>
      <c r="O26" s="50">
        <v>-0.48299999999999998</v>
      </c>
      <c r="P26" s="51">
        <v>1744.02</v>
      </c>
      <c r="Q26" s="50">
        <f t="shared" si="0"/>
        <v>1.4</v>
      </c>
      <c r="R26" s="50" t="s">
        <v>587</v>
      </c>
      <c r="S26" s="50" t="s">
        <v>638</v>
      </c>
      <c r="T26" s="50" t="s">
        <v>1247</v>
      </c>
      <c r="U26" s="50" t="s">
        <v>590</v>
      </c>
      <c r="V26" s="53" t="s">
        <v>266</v>
      </c>
    </row>
    <row r="27" spans="1:22" ht="15" customHeight="1" x14ac:dyDescent="0.25">
      <c r="A27" s="50" t="s">
        <v>1321</v>
      </c>
      <c r="B27" s="50" t="s">
        <v>963</v>
      </c>
      <c r="C27" s="50" t="s">
        <v>1250</v>
      </c>
      <c r="D27" s="50" t="s">
        <v>1244</v>
      </c>
      <c r="E27" s="50" t="s">
        <v>1252</v>
      </c>
      <c r="F27" s="50" t="s">
        <v>1295</v>
      </c>
      <c r="G27" s="51">
        <v>179.63</v>
      </c>
      <c r="H27" s="51">
        <v>196.57</v>
      </c>
      <c r="I27" s="51">
        <v>6.6970000000000001</v>
      </c>
      <c r="J27" s="51">
        <v>17.842199999999998</v>
      </c>
      <c r="K27" s="51">
        <v>4.6700999999999997</v>
      </c>
      <c r="L27" s="51">
        <v>11.1737</v>
      </c>
      <c r="M27" s="50">
        <v>7.12</v>
      </c>
      <c r="N27" s="51">
        <v>12.79</v>
      </c>
      <c r="O27" s="50">
        <v>-0.76400000000000001</v>
      </c>
      <c r="P27" s="51">
        <v>331.78</v>
      </c>
      <c r="Q27" s="50">
        <f t="shared" si="0"/>
        <v>2</v>
      </c>
      <c r="R27" s="50" t="s">
        <v>587</v>
      </c>
      <c r="S27" s="50" t="s">
        <v>647</v>
      </c>
      <c r="T27" s="50" t="s">
        <v>1281</v>
      </c>
      <c r="U27" s="50" t="s">
        <v>590</v>
      </c>
      <c r="V27" s="53" t="s">
        <v>266</v>
      </c>
    </row>
    <row r="28" spans="1:22" ht="15" customHeight="1" x14ac:dyDescent="0.25">
      <c r="A28" s="50" t="s">
        <v>1322</v>
      </c>
      <c r="B28" s="50" t="s">
        <v>1323</v>
      </c>
      <c r="C28" s="50" t="s">
        <v>1288</v>
      </c>
      <c r="D28" s="50" t="s">
        <v>1244</v>
      </c>
      <c r="E28" s="50" t="s">
        <v>1245</v>
      </c>
      <c r="F28" s="50" t="s">
        <v>1253</v>
      </c>
      <c r="G28" s="51">
        <v>285.72000000000003</v>
      </c>
      <c r="H28" s="51">
        <v>279.91000000000003</v>
      </c>
      <c r="I28" s="51">
        <v>3.1775000000000002</v>
      </c>
      <c r="J28" s="51">
        <v>8.3412000000000006</v>
      </c>
      <c r="K28" s="51">
        <v>1.6202000000000001</v>
      </c>
      <c r="L28" s="51">
        <v>4.3221999999999996</v>
      </c>
      <c r="M28" s="50">
        <v>6.32</v>
      </c>
      <c r="N28" s="51">
        <v>18.059999999999999</v>
      </c>
      <c r="O28" s="50">
        <v>0.13900000000000001</v>
      </c>
      <c r="P28" s="51">
        <v>1308.07</v>
      </c>
      <c r="Q28" s="50">
        <f t="shared" si="0"/>
        <v>0.2</v>
      </c>
      <c r="R28" s="50" t="s">
        <v>587</v>
      </c>
      <c r="S28" s="50" t="s">
        <v>618</v>
      </c>
      <c r="T28" s="50" t="s">
        <v>1254</v>
      </c>
      <c r="U28" s="50" t="s">
        <v>590</v>
      </c>
      <c r="V28" s="53" t="s">
        <v>266</v>
      </c>
    </row>
    <row r="29" spans="1:22" ht="15" customHeight="1" x14ac:dyDescent="0.25">
      <c r="A29" s="50" t="s">
        <v>1324</v>
      </c>
      <c r="B29" s="50" t="s">
        <v>1325</v>
      </c>
      <c r="C29" s="50" t="s">
        <v>1243</v>
      </c>
      <c r="D29" s="50" t="s">
        <v>1274</v>
      </c>
      <c r="E29" s="50" t="s">
        <v>1245</v>
      </c>
      <c r="F29" s="50" t="s">
        <v>1269</v>
      </c>
      <c r="G29" s="51">
        <v>356.68</v>
      </c>
      <c r="H29" s="51">
        <v>373.16</v>
      </c>
      <c r="I29" s="51">
        <v>7.0762999999999998</v>
      </c>
      <c r="J29" s="51">
        <v>16.71</v>
      </c>
      <c r="K29" s="51">
        <v>2.8572000000000002</v>
      </c>
      <c r="L29" s="51">
        <v>10.039999999999999</v>
      </c>
      <c r="M29" s="50">
        <v>11.49</v>
      </c>
      <c r="N29" s="51">
        <v>40.98</v>
      </c>
      <c r="O29" s="50">
        <v>-0.66300000000000003</v>
      </c>
      <c r="P29" s="51">
        <v>1558.2</v>
      </c>
      <c r="Q29" s="50">
        <f t="shared" si="0"/>
        <v>0.5</v>
      </c>
      <c r="R29" s="50" t="s">
        <v>587</v>
      </c>
      <c r="S29" s="50" t="s">
        <v>618</v>
      </c>
      <c r="T29" s="50" t="s">
        <v>1276</v>
      </c>
      <c r="U29" s="50" t="s">
        <v>590</v>
      </c>
      <c r="V29" s="53" t="s">
        <v>266</v>
      </c>
    </row>
    <row r="30" spans="1:22" ht="15" customHeight="1" x14ac:dyDescent="0.25">
      <c r="A30" s="50" t="s">
        <v>1326</v>
      </c>
      <c r="B30" s="50" t="s">
        <v>957</v>
      </c>
      <c r="C30" s="50" t="s">
        <v>1288</v>
      </c>
      <c r="D30" s="50" t="s">
        <v>1250</v>
      </c>
      <c r="E30" s="50" t="s">
        <v>1306</v>
      </c>
      <c r="F30" s="50" t="s">
        <v>1263</v>
      </c>
      <c r="G30" s="51">
        <v>300.27</v>
      </c>
      <c r="H30" s="51">
        <v>334.22</v>
      </c>
      <c r="I30" s="51">
        <v>10.6167</v>
      </c>
      <c r="J30" s="51">
        <v>17.467300000000002</v>
      </c>
      <c r="K30" s="51">
        <v>5.9404000000000003</v>
      </c>
      <c r="L30" s="51">
        <v>15.908899999999999</v>
      </c>
      <c r="M30" s="50">
        <v>0.51</v>
      </c>
      <c r="N30" s="51">
        <v>1.53</v>
      </c>
      <c r="O30" s="50">
        <v>-0.35599999999999998</v>
      </c>
      <c r="P30" s="51">
        <v>1476.02</v>
      </c>
      <c r="Q30" s="50">
        <f t="shared" si="0"/>
        <v>0.7</v>
      </c>
      <c r="R30" s="50" t="s">
        <v>587</v>
      </c>
      <c r="S30" s="50" t="s">
        <v>609</v>
      </c>
      <c r="T30" s="50" t="s">
        <v>1264</v>
      </c>
      <c r="U30" s="50" t="s">
        <v>590</v>
      </c>
      <c r="V30" s="53" t="s">
        <v>266</v>
      </c>
    </row>
    <row r="31" spans="1:22" ht="15" customHeight="1" x14ac:dyDescent="0.25">
      <c r="A31" s="50" t="s">
        <v>1327</v>
      </c>
      <c r="B31" s="50" t="s">
        <v>1328</v>
      </c>
      <c r="C31" s="50" t="s">
        <v>1250</v>
      </c>
      <c r="D31" s="50" t="s">
        <v>1292</v>
      </c>
      <c r="E31" s="50" t="s">
        <v>1252</v>
      </c>
      <c r="F31" s="50" t="s">
        <v>1253</v>
      </c>
      <c r="G31" s="51">
        <v>617.58000000000004</v>
      </c>
      <c r="H31" s="51">
        <v>606.72</v>
      </c>
      <c r="I31" s="51">
        <v>8.7172999999999998</v>
      </c>
      <c r="J31" s="51">
        <v>19.213000000000001</v>
      </c>
      <c r="K31" s="51">
        <v>5.6216999999999997</v>
      </c>
      <c r="L31" s="51">
        <v>10.9161</v>
      </c>
      <c r="M31" s="50">
        <v>0.97</v>
      </c>
      <c r="N31" s="51">
        <v>5.99</v>
      </c>
      <c r="O31" s="50">
        <v>0.89700000000000002</v>
      </c>
      <c r="P31" s="51">
        <v>1878.25</v>
      </c>
      <c r="Q31" s="50">
        <f t="shared" si="0"/>
        <v>0.5</v>
      </c>
      <c r="R31" s="50" t="s">
        <v>587</v>
      </c>
      <c r="S31" s="50" t="s">
        <v>628</v>
      </c>
      <c r="T31" s="50" t="s">
        <v>1329</v>
      </c>
      <c r="U31" s="50" t="s">
        <v>590</v>
      </c>
      <c r="V31" s="53" t="s">
        <v>266</v>
      </c>
    </row>
    <row r="32" spans="1:22" ht="15" customHeight="1" x14ac:dyDescent="0.25">
      <c r="A32" s="50" t="s">
        <v>1330</v>
      </c>
      <c r="B32" s="50" t="s">
        <v>1331</v>
      </c>
      <c r="C32" s="50" t="s">
        <v>1300</v>
      </c>
      <c r="D32" s="50" t="s">
        <v>1250</v>
      </c>
      <c r="E32" s="50" t="s">
        <v>1306</v>
      </c>
      <c r="F32" s="50" t="s">
        <v>1290</v>
      </c>
      <c r="G32" s="51">
        <v>259.63</v>
      </c>
      <c r="H32" s="51">
        <v>285.66000000000003</v>
      </c>
      <c r="I32" s="51">
        <v>8.6478999999999999</v>
      </c>
      <c r="J32" s="51">
        <v>15.792</v>
      </c>
      <c r="K32" s="51">
        <v>10.0183</v>
      </c>
      <c r="L32" s="51">
        <v>16.729900000000001</v>
      </c>
      <c r="M32" s="50">
        <v>6.23</v>
      </c>
      <c r="N32" s="51">
        <v>16.170000000000002</v>
      </c>
      <c r="O32" s="50">
        <v>-0.54300000000000004</v>
      </c>
      <c r="P32" s="51">
        <v>1155.52</v>
      </c>
      <c r="Q32" s="50">
        <f t="shared" si="0"/>
        <v>0.7</v>
      </c>
      <c r="R32" s="50" t="s">
        <v>587</v>
      </c>
      <c r="S32" s="50" t="s">
        <v>638</v>
      </c>
      <c r="T32" s="50" t="s">
        <v>1332</v>
      </c>
      <c r="U32" s="50" t="s">
        <v>590</v>
      </c>
      <c r="V32" s="53" t="s">
        <v>266</v>
      </c>
    </row>
    <row r="33" spans="1:22" ht="15" customHeight="1" x14ac:dyDescent="0.25">
      <c r="A33" s="50" t="s">
        <v>1333</v>
      </c>
      <c r="B33" s="50" t="s">
        <v>717</v>
      </c>
      <c r="C33" s="50" t="s">
        <v>1288</v>
      </c>
      <c r="D33" s="50" t="s">
        <v>1279</v>
      </c>
      <c r="E33" s="50" t="s">
        <v>1252</v>
      </c>
      <c r="F33" s="50" t="s">
        <v>1269</v>
      </c>
      <c r="G33" s="51">
        <v>275.62</v>
      </c>
      <c r="H33" s="51">
        <v>289.43</v>
      </c>
      <c r="I33" s="51">
        <v>2.9859</v>
      </c>
      <c r="J33" s="51">
        <v>7.9181999999999997</v>
      </c>
      <c r="K33" s="51">
        <v>1.8053999999999999</v>
      </c>
      <c r="L33" s="51">
        <v>4.8604000000000003</v>
      </c>
      <c r="M33" s="50">
        <v>1.01</v>
      </c>
      <c r="N33" s="51">
        <v>2.78</v>
      </c>
      <c r="O33" s="50">
        <v>0.98899999999999999</v>
      </c>
      <c r="P33" s="51">
        <v>1104.72</v>
      </c>
      <c r="Q33" s="50">
        <f t="shared" si="0"/>
        <v>0.3</v>
      </c>
      <c r="R33" s="50" t="s">
        <v>587</v>
      </c>
      <c r="S33" s="50" t="s">
        <v>716</v>
      </c>
      <c r="T33" s="50" t="s">
        <v>1264</v>
      </c>
      <c r="U33" s="50" t="s">
        <v>590</v>
      </c>
      <c r="V33" s="53" t="s">
        <v>266</v>
      </c>
    </row>
    <row r="34" spans="1:22" ht="15" customHeight="1" x14ac:dyDescent="0.25">
      <c r="A34" s="50" t="s">
        <v>1334</v>
      </c>
      <c r="B34" s="50" t="s">
        <v>1335</v>
      </c>
      <c r="C34" s="50" t="s">
        <v>1273</v>
      </c>
      <c r="D34" s="50" t="s">
        <v>1289</v>
      </c>
      <c r="E34" s="50" t="s">
        <v>1312</v>
      </c>
      <c r="F34" s="50" t="s">
        <v>1269</v>
      </c>
      <c r="G34" s="51">
        <v>396.68</v>
      </c>
      <c r="H34" s="51">
        <v>402.58</v>
      </c>
      <c r="I34" s="51">
        <v>7.0427</v>
      </c>
      <c r="J34" s="51">
        <v>17.143599999999999</v>
      </c>
      <c r="K34" s="51">
        <v>6.3684000000000003</v>
      </c>
      <c r="L34" s="51">
        <v>10.1478</v>
      </c>
      <c r="M34" s="50">
        <v>10.029999999999999</v>
      </c>
      <c r="N34" s="51">
        <v>39.79</v>
      </c>
      <c r="O34" s="50">
        <v>0.32500000000000001</v>
      </c>
      <c r="P34" s="51">
        <v>984.28</v>
      </c>
      <c r="Q34" s="50">
        <f t="shared" si="0"/>
        <v>0.7</v>
      </c>
      <c r="R34" s="50" t="s">
        <v>587</v>
      </c>
      <c r="S34" s="50" t="s">
        <v>638</v>
      </c>
      <c r="T34" s="50" t="s">
        <v>1260</v>
      </c>
      <c r="U34" s="50" t="s">
        <v>590</v>
      </c>
      <c r="V34" s="53" t="s">
        <v>266</v>
      </c>
    </row>
    <row r="35" spans="1:22" ht="15" customHeight="1" x14ac:dyDescent="0.25">
      <c r="A35" s="50" t="s">
        <v>1336</v>
      </c>
      <c r="B35" s="50" t="s">
        <v>1081</v>
      </c>
      <c r="C35" s="50" t="s">
        <v>1288</v>
      </c>
      <c r="D35" s="50" t="s">
        <v>1244</v>
      </c>
      <c r="E35" s="50" t="s">
        <v>1268</v>
      </c>
      <c r="F35" s="50" t="s">
        <v>1269</v>
      </c>
      <c r="G35" s="51">
        <v>555.79</v>
      </c>
      <c r="H35" s="51">
        <v>566.65</v>
      </c>
      <c r="I35" s="51">
        <v>25.928799999999999</v>
      </c>
      <c r="J35" s="51">
        <v>65.691900000000004</v>
      </c>
      <c r="K35" s="51">
        <v>27.619299999999999</v>
      </c>
      <c r="L35" s="51">
        <v>51.3</v>
      </c>
      <c r="M35" s="50">
        <v>5.56</v>
      </c>
      <c r="N35" s="51">
        <v>30.9</v>
      </c>
      <c r="O35" s="50">
        <v>-0.18</v>
      </c>
      <c r="P35" s="51">
        <v>1168.04</v>
      </c>
      <c r="Q35" s="50">
        <f t="shared" ref="Q35:Q66" si="1">ROUND(I35/P35*100,1)</f>
        <v>2.2000000000000002</v>
      </c>
      <c r="R35" s="50" t="s">
        <v>587</v>
      </c>
      <c r="S35" s="50" t="s">
        <v>628</v>
      </c>
      <c r="T35" s="50" t="s">
        <v>1281</v>
      </c>
      <c r="U35" s="50" t="s">
        <v>590</v>
      </c>
      <c r="V35" s="53" t="s">
        <v>266</v>
      </c>
    </row>
    <row r="36" spans="1:22" ht="15" customHeight="1" x14ac:dyDescent="0.25">
      <c r="A36" s="50" t="s">
        <v>1337</v>
      </c>
      <c r="B36" s="50" t="s">
        <v>1338</v>
      </c>
      <c r="C36" s="50" t="s">
        <v>1250</v>
      </c>
      <c r="D36" s="50" t="s">
        <v>1289</v>
      </c>
      <c r="E36" s="50" t="s">
        <v>1268</v>
      </c>
      <c r="F36" s="50" t="s">
        <v>1290</v>
      </c>
      <c r="G36" s="51">
        <v>31.83</v>
      </c>
      <c r="H36" s="51">
        <v>33.56</v>
      </c>
      <c r="I36" s="51">
        <v>2.1554000000000002</v>
      </c>
      <c r="J36" s="51">
        <v>5.609</v>
      </c>
      <c r="K36" s="51">
        <v>2.0158</v>
      </c>
      <c r="L36" s="51">
        <v>2.8437000000000001</v>
      </c>
      <c r="M36" s="50">
        <v>1.62</v>
      </c>
      <c r="N36" s="51">
        <v>0.52</v>
      </c>
      <c r="O36" s="50">
        <v>2.3E-2</v>
      </c>
      <c r="P36" s="51">
        <v>135.33000000000001</v>
      </c>
      <c r="Q36" s="50">
        <f t="shared" si="1"/>
        <v>1.6</v>
      </c>
      <c r="R36" s="50" t="s">
        <v>587</v>
      </c>
      <c r="S36" s="50" t="s">
        <v>647</v>
      </c>
      <c r="T36" s="50" t="s">
        <v>1315</v>
      </c>
      <c r="U36" s="50" t="s">
        <v>590</v>
      </c>
      <c r="V36" s="53" t="s">
        <v>266</v>
      </c>
    </row>
    <row r="37" spans="1:22" ht="15" customHeight="1" x14ac:dyDescent="0.25">
      <c r="A37" s="50" t="s">
        <v>1339</v>
      </c>
      <c r="B37" s="50" t="s">
        <v>1340</v>
      </c>
      <c r="C37" s="50" t="s">
        <v>1273</v>
      </c>
      <c r="D37" s="50" t="s">
        <v>1284</v>
      </c>
      <c r="E37" s="50" t="s">
        <v>1268</v>
      </c>
      <c r="F37" s="50" t="s">
        <v>1263</v>
      </c>
      <c r="G37" s="51">
        <v>63.55</v>
      </c>
      <c r="H37" s="51">
        <v>68.8</v>
      </c>
      <c r="I37" s="51">
        <v>4.2790999999999997</v>
      </c>
      <c r="J37" s="51">
        <v>11.222799999999999</v>
      </c>
      <c r="K37" s="51">
        <v>2.9447999999999999</v>
      </c>
      <c r="L37" s="51">
        <v>7.4516999999999998</v>
      </c>
      <c r="M37" s="50">
        <v>6.56</v>
      </c>
      <c r="N37" s="51">
        <v>4.17</v>
      </c>
      <c r="O37" s="50">
        <v>-0.76800000000000002</v>
      </c>
      <c r="P37" s="51">
        <v>308.18</v>
      </c>
      <c r="Q37" s="50">
        <f t="shared" si="1"/>
        <v>1.4</v>
      </c>
      <c r="R37" s="50" t="s">
        <v>587</v>
      </c>
      <c r="S37" s="50" t="s">
        <v>716</v>
      </c>
      <c r="T37" s="50" t="s">
        <v>1264</v>
      </c>
      <c r="U37" s="50" t="s">
        <v>590</v>
      </c>
      <c r="V37" s="53" t="s">
        <v>266</v>
      </c>
    </row>
    <row r="38" spans="1:22" ht="15" customHeight="1" x14ac:dyDescent="0.25">
      <c r="A38" s="50" t="s">
        <v>1341</v>
      </c>
      <c r="B38" s="50" t="s">
        <v>1342</v>
      </c>
      <c r="C38" s="50" t="s">
        <v>1250</v>
      </c>
      <c r="D38" s="50" t="s">
        <v>1274</v>
      </c>
      <c r="E38" s="50" t="s">
        <v>1268</v>
      </c>
      <c r="F38" s="50" t="s">
        <v>1295</v>
      </c>
      <c r="G38" s="51">
        <v>629.33000000000004</v>
      </c>
      <c r="H38" s="51">
        <v>699.2</v>
      </c>
      <c r="I38" s="51">
        <v>17.224900000000002</v>
      </c>
      <c r="J38" s="51">
        <v>42.712299999999999</v>
      </c>
      <c r="K38" s="51">
        <v>12.024699999999999</v>
      </c>
      <c r="L38" s="51">
        <v>25.392600000000002</v>
      </c>
      <c r="M38" s="50">
        <v>1.97</v>
      </c>
      <c r="N38" s="51">
        <v>12.4</v>
      </c>
      <c r="O38" s="50">
        <v>-0.19900000000000001</v>
      </c>
      <c r="P38" s="51">
        <v>2166.04</v>
      </c>
      <c r="Q38" s="50">
        <f t="shared" si="1"/>
        <v>0.8</v>
      </c>
      <c r="R38" s="50" t="s">
        <v>587</v>
      </c>
      <c r="S38" s="50" t="s">
        <v>602</v>
      </c>
      <c r="T38" s="50" t="s">
        <v>1270</v>
      </c>
      <c r="U38" s="50" t="s">
        <v>590</v>
      </c>
      <c r="V38" s="53" t="s">
        <v>266</v>
      </c>
    </row>
    <row r="39" spans="1:22" ht="15" customHeight="1" x14ac:dyDescent="0.25">
      <c r="A39" s="50" t="s">
        <v>1343</v>
      </c>
      <c r="B39" s="50" t="s">
        <v>1344</v>
      </c>
      <c r="C39" s="50" t="s">
        <v>1243</v>
      </c>
      <c r="D39" s="50" t="s">
        <v>1250</v>
      </c>
      <c r="E39" s="50" t="s">
        <v>1306</v>
      </c>
      <c r="F39" s="50" t="s">
        <v>1290</v>
      </c>
      <c r="G39" s="51">
        <v>105.75</v>
      </c>
      <c r="H39" s="51">
        <v>112.01</v>
      </c>
      <c r="I39" s="51">
        <v>1.3033999999999999</v>
      </c>
      <c r="J39" s="51">
        <v>3.5594999999999999</v>
      </c>
      <c r="K39" s="51">
        <v>0.68759999999999999</v>
      </c>
      <c r="L39" s="51">
        <v>1.9979</v>
      </c>
      <c r="M39" s="50">
        <v>8.98</v>
      </c>
      <c r="N39" s="51">
        <v>9.5</v>
      </c>
      <c r="O39" s="50">
        <v>0.60499999999999998</v>
      </c>
      <c r="P39" s="51">
        <v>433.97</v>
      </c>
      <c r="Q39" s="50">
        <f t="shared" si="1"/>
        <v>0.3</v>
      </c>
      <c r="R39" s="50" t="s">
        <v>587</v>
      </c>
      <c r="S39" s="50" t="s">
        <v>638</v>
      </c>
      <c r="T39" s="50" t="s">
        <v>1329</v>
      </c>
      <c r="U39" s="50" t="s">
        <v>590</v>
      </c>
      <c r="V39" s="53" t="s">
        <v>266</v>
      </c>
    </row>
    <row r="40" spans="1:22" ht="15" customHeight="1" x14ac:dyDescent="0.25">
      <c r="A40" s="50" t="s">
        <v>1345</v>
      </c>
      <c r="B40" s="50" t="s">
        <v>1346</v>
      </c>
      <c r="C40" s="50" t="s">
        <v>1243</v>
      </c>
      <c r="D40" s="50" t="s">
        <v>1251</v>
      </c>
      <c r="E40" s="50" t="s">
        <v>1275</v>
      </c>
      <c r="F40" s="50" t="s">
        <v>1269</v>
      </c>
      <c r="G40" s="51">
        <v>607.92999999999995</v>
      </c>
      <c r="H40" s="51">
        <v>666.29</v>
      </c>
      <c r="I40" s="51">
        <v>35.374200000000002</v>
      </c>
      <c r="J40" s="51">
        <v>94.453199999999995</v>
      </c>
      <c r="K40" s="51">
        <v>27.820499999999999</v>
      </c>
      <c r="L40" s="51">
        <v>56.262599999999999</v>
      </c>
      <c r="M40" s="50">
        <v>13.35</v>
      </c>
      <c r="N40" s="51">
        <v>81.16</v>
      </c>
      <c r="O40" s="50">
        <v>-0.11899999999999999</v>
      </c>
      <c r="P40" s="51">
        <v>1147.1400000000001</v>
      </c>
      <c r="Q40" s="50">
        <f t="shared" si="1"/>
        <v>3.1</v>
      </c>
      <c r="R40" s="50" t="s">
        <v>587</v>
      </c>
      <c r="S40" s="50" t="s">
        <v>575</v>
      </c>
      <c r="T40" s="50" t="s">
        <v>1264</v>
      </c>
      <c r="U40" s="50" t="s">
        <v>590</v>
      </c>
      <c r="V40" s="53" t="s">
        <v>266</v>
      </c>
    </row>
    <row r="41" spans="1:22" ht="15" customHeight="1" x14ac:dyDescent="0.25">
      <c r="A41" s="50" t="s">
        <v>1347</v>
      </c>
      <c r="B41" s="50" t="s">
        <v>1348</v>
      </c>
      <c r="C41" s="50" t="s">
        <v>1243</v>
      </c>
      <c r="D41" s="50" t="s">
        <v>1292</v>
      </c>
      <c r="E41" s="50" t="s">
        <v>1306</v>
      </c>
      <c r="F41" s="50" t="s">
        <v>1295</v>
      </c>
      <c r="G41" s="51">
        <v>377.8</v>
      </c>
      <c r="H41" s="51">
        <v>399.58</v>
      </c>
      <c r="I41" s="51">
        <v>18.512899999999998</v>
      </c>
      <c r="J41" s="51">
        <v>39.236600000000003</v>
      </c>
      <c r="K41" s="51">
        <v>18.167100000000001</v>
      </c>
      <c r="L41" s="51">
        <v>29.353000000000002</v>
      </c>
      <c r="M41" s="50">
        <v>10.06</v>
      </c>
      <c r="N41" s="51">
        <v>38.01</v>
      </c>
      <c r="O41" s="50">
        <v>0.28299999999999997</v>
      </c>
      <c r="P41" s="51">
        <v>807.27</v>
      </c>
      <c r="Q41" s="50">
        <f t="shared" si="1"/>
        <v>2.2999999999999998</v>
      </c>
      <c r="R41" s="50" t="s">
        <v>587</v>
      </c>
      <c r="S41" s="50" t="s">
        <v>628</v>
      </c>
      <c r="T41" s="50" t="s">
        <v>1329</v>
      </c>
      <c r="U41" s="50" t="s">
        <v>590</v>
      </c>
      <c r="V41" s="53" t="s">
        <v>266</v>
      </c>
    </row>
    <row r="42" spans="1:22" ht="15" customHeight="1" x14ac:dyDescent="0.25">
      <c r="A42" s="50" t="s">
        <v>1349</v>
      </c>
      <c r="B42" s="50" t="s">
        <v>1350</v>
      </c>
      <c r="C42" s="50" t="s">
        <v>1267</v>
      </c>
      <c r="D42" s="50" t="s">
        <v>1274</v>
      </c>
      <c r="E42" s="50" t="s">
        <v>1275</v>
      </c>
      <c r="F42" s="50" t="s">
        <v>1263</v>
      </c>
      <c r="G42" s="51">
        <v>600.75</v>
      </c>
      <c r="H42" s="51">
        <v>657.15</v>
      </c>
      <c r="I42" s="51">
        <v>8.3074999999999992</v>
      </c>
      <c r="J42" s="51">
        <v>18.193200000000001</v>
      </c>
      <c r="K42" s="51">
        <v>4.9240000000000004</v>
      </c>
      <c r="L42" s="51">
        <v>16.416599999999999</v>
      </c>
      <c r="M42" s="50">
        <v>1.04</v>
      </c>
      <c r="N42" s="51">
        <v>6.25</v>
      </c>
      <c r="O42" s="50">
        <v>-0.55500000000000005</v>
      </c>
      <c r="P42" s="51">
        <v>2465.37</v>
      </c>
      <c r="Q42" s="50">
        <f t="shared" si="1"/>
        <v>0.3</v>
      </c>
      <c r="R42" s="50" t="s">
        <v>587</v>
      </c>
      <c r="S42" s="50" t="s">
        <v>602</v>
      </c>
      <c r="T42" s="50" t="s">
        <v>1332</v>
      </c>
      <c r="U42" s="50" t="s">
        <v>590</v>
      </c>
      <c r="V42" s="53" t="s">
        <v>266</v>
      </c>
    </row>
    <row r="43" spans="1:22" ht="15" customHeight="1" x14ac:dyDescent="0.25">
      <c r="A43" s="50" t="s">
        <v>1351</v>
      </c>
      <c r="B43" s="50" t="s">
        <v>1352</v>
      </c>
      <c r="C43" s="50" t="s">
        <v>1273</v>
      </c>
      <c r="D43" s="50" t="s">
        <v>1289</v>
      </c>
      <c r="E43" s="50" t="s">
        <v>1245</v>
      </c>
      <c r="F43" s="50" t="s">
        <v>1246</v>
      </c>
      <c r="G43" s="51">
        <v>330.23</v>
      </c>
      <c r="H43" s="51">
        <v>360.39</v>
      </c>
      <c r="I43" s="51">
        <v>12.8725</v>
      </c>
      <c r="J43" s="51">
        <v>22.4297</v>
      </c>
      <c r="K43" s="51">
        <v>10.271000000000001</v>
      </c>
      <c r="L43" s="51">
        <v>22.1754</v>
      </c>
      <c r="M43" s="50">
        <v>1.81</v>
      </c>
      <c r="N43" s="51">
        <v>5.98</v>
      </c>
      <c r="O43" s="50">
        <v>-0.17499999999999999</v>
      </c>
      <c r="P43" s="51">
        <v>1243.33</v>
      </c>
      <c r="Q43" s="50">
        <f t="shared" si="1"/>
        <v>1</v>
      </c>
      <c r="R43" s="50" t="s">
        <v>587</v>
      </c>
      <c r="S43" s="50" t="s">
        <v>716</v>
      </c>
      <c r="T43" s="50" t="s">
        <v>1276</v>
      </c>
      <c r="U43" s="50" t="s">
        <v>590</v>
      </c>
      <c r="V43" s="53" t="s">
        <v>266</v>
      </c>
    </row>
    <row r="44" spans="1:22" ht="15" customHeight="1" x14ac:dyDescent="0.25">
      <c r="A44" s="50" t="s">
        <v>1353</v>
      </c>
      <c r="B44" s="50" t="s">
        <v>1354</v>
      </c>
      <c r="C44" s="50" t="s">
        <v>1288</v>
      </c>
      <c r="D44" s="50" t="s">
        <v>1279</v>
      </c>
      <c r="E44" s="50" t="s">
        <v>1252</v>
      </c>
      <c r="F44" s="50" t="s">
        <v>1253</v>
      </c>
      <c r="G44" s="51">
        <v>479.89</v>
      </c>
      <c r="H44" s="51">
        <v>532.71</v>
      </c>
      <c r="I44" s="51">
        <v>16.2622</v>
      </c>
      <c r="J44" s="51">
        <v>27.078700000000001</v>
      </c>
      <c r="K44" s="51">
        <v>9.4049999999999994</v>
      </c>
      <c r="L44" s="51">
        <v>25.427099999999999</v>
      </c>
      <c r="M44" s="50">
        <v>8.5299999999999994</v>
      </c>
      <c r="N44" s="51">
        <v>40.93</v>
      </c>
      <c r="O44" s="50">
        <v>0.24</v>
      </c>
      <c r="P44" s="51">
        <v>1681.22</v>
      </c>
      <c r="Q44" s="50">
        <f t="shared" si="1"/>
        <v>1</v>
      </c>
      <c r="R44" s="50" t="s">
        <v>587</v>
      </c>
      <c r="S44" s="50" t="s">
        <v>575</v>
      </c>
      <c r="T44" s="50" t="s">
        <v>1270</v>
      </c>
      <c r="U44" s="50" t="s">
        <v>590</v>
      </c>
      <c r="V44" s="53" t="s">
        <v>266</v>
      </c>
    </row>
    <row r="45" spans="1:22" ht="15" customHeight="1" x14ac:dyDescent="0.25">
      <c r="A45" s="50" t="s">
        <v>1355</v>
      </c>
      <c r="B45" s="50" t="s">
        <v>1356</v>
      </c>
      <c r="C45" s="50" t="s">
        <v>1267</v>
      </c>
      <c r="D45" s="50" t="s">
        <v>1244</v>
      </c>
      <c r="E45" s="50" t="s">
        <v>1245</v>
      </c>
      <c r="F45" s="50" t="s">
        <v>1253</v>
      </c>
      <c r="G45" s="51">
        <v>178.57</v>
      </c>
      <c r="H45" s="51">
        <v>176.48</v>
      </c>
      <c r="I45" s="51">
        <v>10.4922</v>
      </c>
      <c r="J45" s="51">
        <v>28.930399999999999</v>
      </c>
      <c r="K45" s="51">
        <v>6.6477000000000004</v>
      </c>
      <c r="L45" s="51">
        <v>16.972100000000001</v>
      </c>
      <c r="M45" s="50">
        <v>10.62</v>
      </c>
      <c r="N45" s="51">
        <v>18.96</v>
      </c>
      <c r="O45" s="50">
        <v>-0.90800000000000003</v>
      </c>
      <c r="P45" s="51">
        <v>366.12</v>
      </c>
      <c r="Q45" s="50">
        <f t="shared" si="1"/>
        <v>2.9</v>
      </c>
      <c r="R45" s="50" t="s">
        <v>587</v>
      </c>
      <c r="S45" s="50" t="s">
        <v>638</v>
      </c>
      <c r="T45" s="50" t="s">
        <v>1270</v>
      </c>
      <c r="U45" s="50" t="s">
        <v>590</v>
      </c>
      <c r="V45" s="53" t="s">
        <v>266</v>
      </c>
    </row>
    <row r="46" spans="1:22" ht="15" customHeight="1" x14ac:dyDescent="0.25">
      <c r="A46" s="50" t="s">
        <v>1357</v>
      </c>
      <c r="B46" s="50" t="s">
        <v>1358</v>
      </c>
      <c r="C46" s="50" t="s">
        <v>1267</v>
      </c>
      <c r="D46" s="50" t="s">
        <v>1284</v>
      </c>
      <c r="E46" s="50" t="s">
        <v>1275</v>
      </c>
      <c r="F46" s="50" t="s">
        <v>1290</v>
      </c>
      <c r="G46" s="51">
        <v>155.65</v>
      </c>
      <c r="H46" s="51">
        <v>172.16</v>
      </c>
      <c r="I46" s="51">
        <v>5.5709999999999997</v>
      </c>
      <c r="J46" s="51">
        <v>11.968999999999999</v>
      </c>
      <c r="K46" s="51">
        <v>5.7110000000000003</v>
      </c>
      <c r="L46" s="51">
        <v>9.8797999999999995</v>
      </c>
      <c r="M46" s="50">
        <v>1.88</v>
      </c>
      <c r="N46" s="51">
        <v>2.93</v>
      </c>
      <c r="O46" s="50">
        <v>-0.17100000000000001</v>
      </c>
      <c r="P46" s="51">
        <v>816.59</v>
      </c>
      <c r="Q46" s="50">
        <f t="shared" si="1"/>
        <v>0.7</v>
      </c>
      <c r="R46" s="50" t="s">
        <v>587</v>
      </c>
      <c r="S46" s="50" t="s">
        <v>647</v>
      </c>
      <c r="T46" s="50" t="s">
        <v>1281</v>
      </c>
      <c r="U46" s="50" t="s">
        <v>590</v>
      </c>
      <c r="V46" s="53" t="s">
        <v>266</v>
      </c>
    </row>
    <row r="47" spans="1:22" ht="15" customHeight="1" x14ac:dyDescent="0.25">
      <c r="A47" s="50" t="s">
        <v>1359</v>
      </c>
      <c r="B47" s="50" t="s">
        <v>1360</v>
      </c>
      <c r="C47" s="50" t="s">
        <v>1250</v>
      </c>
      <c r="D47" s="50" t="s">
        <v>1279</v>
      </c>
      <c r="E47" s="50" t="s">
        <v>1252</v>
      </c>
      <c r="F47" s="50" t="s">
        <v>1263</v>
      </c>
      <c r="G47" s="51">
        <v>32.909999999999997</v>
      </c>
      <c r="H47" s="51">
        <v>35.119999999999997</v>
      </c>
      <c r="I47" s="51">
        <v>1.4856</v>
      </c>
      <c r="J47" s="51">
        <v>3.1484999999999999</v>
      </c>
      <c r="K47" s="51">
        <v>1.2896000000000001</v>
      </c>
      <c r="L47" s="51">
        <v>2.8813</v>
      </c>
      <c r="M47" s="50">
        <v>11.78</v>
      </c>
      <c r="N47" s="51">
        <v>3.88</v>
      </c>
      <c r="O47" s="50">
        <v>0.82</v>
      </c>
      <c r="P47" s="51">
        <v>137.72</v>
      </c>
      <c r="Q47" s="50">
        <f t="shared" si="1"/>
        <v>1.1000000000000001</v>
      </c>
      <c r="R47" s="50" t="s">
        <v>587</v>
      </c>
      <c r="S47" s="50" t="s">
        <v>638</v>
      </c>
      <c r="T47" s="50" t="s">
        <v>1270</v>
      </c>
      <c r="U47" s="50" t="s">
        <v>590</v>
      </c>
      <c r="V47" s="53" t="s">
        <v>266</v>
      </c>
    </row>
    <row r="48" spans="1:22" ht="15" customHeight="1" x14ac:dyDescent="0.25">
      <c r="A48" s="50" t="s">
        <v>1361</v>
      </c>
      <c r="B48" s="50" t="s">
        <v>1362</v>
      </c>
      <c r="C48" s="50" t="s">
        <v>1267</v>
      </c>
      <c r="D48" s="50" t="s">
        <v>1250</v>
      </c>
      <c r="E48" s="50" t="s">
        <v>1306</v>
      </c>
      <c r="F48" s="50" t="s">
        <v>1246</v>
      </c>
      <c r="G48" s="51">
        <v>436.13</v>
      </c>
      <c r="H48" s="51">
        <v>429.31</v>
      </c>
      <c r="I48" s="51">
        <v>26.894600000000001</v>
      </c>
      <c r="J48" s="51">
        <v>56.543100000000003</v>
      </c>
      <c r="K48" s="51">
        <v>23.860800000000001</v>
      </c>
      <c r="L48" s="51">
        <v>47.173499999999997</v>
      </c>
      <c r="M48" s="50">
        <v>3.95</v>
      </c>
      <c r="N48" s="51">
        <v>17.23</v>
      </c>
      <c r="O48" s="50">
        <v>-0.20399999999999999</v>
      </c>
      <c r="P48" s="51">
        <v>1159.1400000000001</v>
      </c>
      <c r="Q48" s="50">
        <f t="shared" si="1"/>
        <v>2.2999999999999998</v>
      </c>
      <c r="R48" s="50" t="s">
        <v>587</v>
      </c>
      <c r="S48" s="50" t="s">
        <v>586</v>
      </c>
      <c r="T48" s="50" t="s">
        <v>1281</v>
      </c>
      <c r="U48" s="50" t="s">
        <v>590</v>
      </c>
      <c r="V48" s="53" t="s">
        <v>266</v>
      </c>
    </row>
    <row r="49" spans="1:22" ht="15" customHeight="1" x14ac:dyDescent="0.25">
      <c r="A49" s="50" t="s">
        <v>1363</v>
      </c>
      <c r="B49" s="50" t="s">
        <v>1364</v>
      </c>
      <c r="C49" s="50" t="s">
        <v>1244</v>
      </c>
      <c r="D49" s="50" t="s">
        <v>1250</v>
      </c>
      <c r="E49" s="50" t="s">
        <v>1275</v>
      </c>
      <c r="F49" s="50" t="s">
        <v>1253</v>
      </c>
      <c r="G49" s="51">
        <v>623.91</v>
      </c>
      <c r="H49" s="51">
        <v>637.91999999999996</v>
      </c>
      <c r="I49" s="51">
        <v>38.447800000000001</v>
      </c>
      <c r="J49" s="51">
        <v>86.790800000000004</v>
      </c>
      <c r="K49" s="51">
        <v>25.034500000000001</v>
      </c>
      <c r="L49" s="51">
        <v>68.800600000000003</v>
      </c>
      <c r="M49" s="50">
        <v>8.44</v>
      </c>
      <c r="N49" s="51">
        <v>52.66</v>
      </c>
      <c r="O49" s="50">
        <v>-0.56499999999999995</v>
      </c>
      <c r="P49" s="51">
        <v>1425.11</v>
      </c>
      <c r="Q49" s="50">
        <f t="shared" si="1"/>
        <v>2.7</v>
      </c>
      <c r="R49" s="50" t="s">
        <v>587</v>
      </c>
      <c r="S49" s="50" t="s">
        <v>586</v>
      </c>
      <c r="T49" s="50" t="s">
        <v>1247</v>
      </c>
      <c r="U49" s="50" t="s">
        <v>590</v>
      </c>
      <c r="V49" s="53" t="s">
        <v>266</v>
      </c>
    </row>
    <row r="50" spans="1:22" ht="15" customHeight="1" x14ac:dyDescent="0.25">
      <c r="A50" s="50" t="s">
        <v>1365</v>
      </c>
      <c r="B50" s="50" t="s">
        <v>1366</v>
      </c>
      <c r="C50" s="50" t="s">
        <v>1250</v>
      </c>
      <c r="D50" s="50" t="s">
        <v>1274</v>
      </c>
      <c r="E50" s="50" t="s">
        <v>1306</v>
      </c>
      <c r="F50" s="50" t="s">
        <v>1253</v>
      </c>
      <c r="G50" s="51">
        <v>683.37</v>
      </c>
      <c r="H50" s="51">
        <v>653</v>
      </c>
      <c r="I50" s="51">
        <v>27.1873</v>
      </c>
      <c r="J50" s="51">
        <v>64.277699999999996</v>
      </c>
      <c r="K50" s="51">
        <v>26.324999999999999</v>
      </c>
      <c r="L50" s="51">
        <v>49.171500000000002</v>
      </c>
      <c r="M50" s="50">
        <v>8.57</v>
      </c>
      <c r="N50" s="51">
        <v>58.56</v>
      </c>
      <c r="O50" s="50">
        <v>0.16600000000000001</v>
      </c>
      <c r="P50" s="51">
        <v>3133.98</v>
      </c>
      <c r="Q50" s="50">
        <f t="shared" si="1"/>
        <v>0.9</v>
      </c>
      <c r="R50" s="50" t="s">
        <v>587</v>
      </c>
      <c r="S50" s="50" t="s">
        <v>602</v>
      </c>
      <c r="T50" s="50" t="s">
        <v>1247</v>
      </c>
      <c r="U50" s="50" t="s">
        <v>590</v>
      </c>
      <c r="V50" s="53" t="s">
        <v>266</v>
      </c>
    </row>
    <row r="51" spans="1:22" ht="15" customHeight="1" x14ac:dyDescent="0.25">
      <c r="A51" s="50" t="s">
        <v>1367</v>
      </c>
      <c r="B51" s="50" t="s">
        <v>1087</v>
      </c>
      <c r="C51" s="50" t="s">
        <v>1300</v>
      </c>
      <c r="D51" s="50" t="s">
        <v>1250</v>
      </c>
      <c r="E51" s="50" t="s">
        <v>1245</v>
      </c>
      <c r="F51" s="50" t="s">
        <v>1269</v>
      </c>
      <c r="G51" s="51">
        <v>380.23</v>
      </c>
      <c r="H51" s="51">
        <v>351.73</v>
      </c>
      <c r="I51" s="51">
        <v>5.9829999999999997</v>
      </c>
      <c r="J51" s="51">
        <v>14.385</v>
      </c>
      <c r="K51" s="51">
        <v>3.35</v>
      </c>
      <c r="L51" s="51">
        <v>10.770300000000001</v>
      </c>
      <c r="M51" s="50">
        <v>2.67</v>
      </c>
      <c r="N51" s="51">
        <v>10.15</v>
      </c>
      <c r="O51" s="50">
        <v>-0.42699999999999999</v>
      </c>
      <c r="P51" s="51">
        <v>836.05</v>
      </c>
      <c r="Q51" s="50">
        <f t="shared" si="1"/>
        <v>0.7</v>
      </c>
      <c r="R51" s="50" t="s">
        <v>587</v>
      </c>
      <c r="S51" s="50" t="s">
        <v>716</v>
      </c>
      <c r="T51" s="50" t="s">
        <v>1270</v>
      </c>
      <c r="U51" s="50" t="s">
        <v>590</v>
      </c>
      <c r="V51" s="53" t="s">
        <v>266</v>
      </c>
    </row>
    <row r="52" spans="1:22" ht="15" customHeight="1" x14ac:dyDescent="0.25">
      <c r="A52" s="50" t="s">
        <v>1368</v>
      </c>
      <c r="B52" s="50" t="s">
        <v>1369</v>
      </c>
      <c r="C52" s="50" t="s">
        <v>1244</v>
      </c>
      <c r="D52" s="50" t="s">
        <v>1279</v>
      </c>
      <c r="E52" s="50" t="s">
        <v>1301</v>
      </c>
      <c r="F52" s="50" t="s">
        <v>1295</v>
      </c>
      <c r="G52" s="51">
        <v>575.4</v>
      </c>
      <c r="H52" s="51">
        <v>541.16</v>
      </c>
      <c r="I52" s="51">
        <v>33.453499999999998</v>
      </c>
      <c r="J52" s="51">
        <v>83.2119</v>
      </c>
      <c r="K52" s="51">
        <v>36.527000000000001</v>
      </c>
      <c r="L52" s="51">
        <v>60.013199999999998</v>
      </c>
      <c r="M52" s="50">
        <v>8.5500000000000007</v>
      </c>
      <c r="N52" s="51">
        <v>49.2</v>
      </c>
      <c r="O52" s="50">
        <v>-0.52500000000000002</v>
      </c>
      <c r="P52" s="51">
        <v>2297.2600000000002</v>
      </c>
      <c r="Q52" s="50">
        <f t="shared" si="1"/>
        <v>1.5</v>
      </c>
      <c r="R52" s="50" t="s">
        <v>587</v>
      </c>
      <c r="S52" s="50" t="s">
        <v>586</v>
      </c>
      <c r="T52" s="50" t="s">
        <v>1270</v>
      </c>
      <c r="U52" s="50" t="s">
        <v>590</v>
      </c>
      <c r="V52" s="53" t="s">
        <v>266</v>
      </c>
    </row>
    <row r="53" spans="1:22" ht="15" customHeight="1" x14ac:dyDescent="0.25">
      <c r="A53" s="50" t="s">
        <v>1370</v>
      </c>
      <c r="B53" s="50" t="s">
        <v>860</v>
      </c>
      <c r="C53" s="50" t="s">
        <v>1273</v>
      </c>
      <c r="D53" s="50" t="s">
        <v>1250</v>
      </c>
      <c r="E53" s="50" t="s">
        <v>1312</v>
      </c>
      <c r="F53" s="50" t="s">
        <v>1253</v>
      </c>
      <c r="G53" s="51">
        <v>239.48</v>
      </c>
      <c r="H53" s="51">
        <v>246.77</v>
      </c>
      <c r="I53" s="51">
        <v>2.1724999999999999</v>
      </c>
      <c r="J53" s="51">
        <v>4.1311999999999998</v>
      </c>
      <c r="K53" s="51">
        <v>1.9475</v>
      </c>
      <c r="L53" s="51">
        <v>3.9641999999999999</v>
      </c>
      <c r="M53" s="50">
        <v>13.09</v>
      </c>
      <c r="N53" s="51">
        <v>31.35</v>
      </c>
      <c r="O53" s="50">
        <v>0.66</v>
      </c>
      <c r="P53" s="51">
        <v>1157.4000000000001</v>
      </c>
      <c r="Q53" s="50">
        <f t="shared" si="1"/>
        <v>0.2</v>
      </c>
      <c r="R53" s="50" t="s">
        <v>587</v>
      </c>
      <c r="S53" s="50" t="s">
        <v>575</v>
      </c>
      <c r="T53" s="50" t="s">
        <v>1329</v>
      </c>
      <c r="U53" s="50" t="s">
        <v>590</v>
      </c>
      <c r="V53" s="53" t="s">
        <v>266</v>
      </c>
    </row>
    <row r="54" spans="1:22" ht="15" customHeight="1" x14ac:dyDescent="0.25">
      <c r="A54" s="50" t="s">
        <v>1371</v>
      </c>
      <c r="B54" s="50" t="s">
        <v>1372</v>
      </c>
      <c r="C54" s="50" t="s">
        <v>1243</v>
      </c>
      <c r="D54" s="50" t="s">
        <v>1292</v>
      </c>
      <c r="E54" s="50" t="s">
        <v>1268</v>
      </c>
      <c r="F54" s="50" t="s">
        <v>1263</v>
      </c>
      <c r="G54" s="51">
        <v>148.88</v>
      </c>
      <c r="H54" s="51">
        <v>157.30000000000001</v>
      </c>
      <c r="I54" s="51">
        <v>3.0819000000000001</v>
      </c>
      <c r="J54" s="51">
        <v>5.5738000000000003</v>
      </c>
      <c r="K54" s="51">
        <v>2.4996999999999998</v>
      </c>
      <c r="L54" s="51">
        <v>4.6283000000000003</v>
      </c>
      <c r="M54" s="50">
        <v>6.6</v>
      </c>
      <c r="N54" s="51">
        <v>9.83</v>
      </c>
      <c r="O54" s="50">
        <v>0.113</v>
      </c>
      <c r="P54" s="51">
        <v>307.56</v>
      </c>
      <c r="Q54" s="50">
        <f t="shared" si="1"/>
        <v>1</v>
      </c>
      <c r="R54" s="50" t="s">
        <v>587</v>
      </c>
      <c r="S54" s="50" t="s">
        <v>586</v>
      </c>
      <c r="T54" s="50" t="s">
        <v>1264</v>
      </c>
      <c r="U54" s="50" t="s">
        <v>590</v>
      </c>
      <c r="V54" s="53" t="s">
        <v>266</v>
      </c>
    </row>
    <row r="55" spans="1:22" ht="15" customHeight="1" x14ac:dyDescent="0.25">
      <c r="A55" s="50" t="s">
        <v>1373</v>
      </c>
      <c r="B55" s="50" t="s">
        <v>1374</v>
      </c>
      <c r="C55" s="50" t="s">
        <v>1273</v>
      </c>
      <c r="D55" s="50" t="s">
        <v>1274</v>
      </c>
      <c r="E55" s="50" t="s">
        <v>1301</v>
      </c>
      <c r="F55" s="50" t="s">
        <v>1290</v>
      </c>
      <c r="G55" s="51">
        <v>652.17999999999995</v>
      </c>
      <c r="H55" s="51">
        <v>677.86</v>
      </c>
      <c r="I55" s="51">
        <v>37.937800000000003</v>
      </c>
      <c r="J55" s="51">
        <v>89.170500000000004</v>
      </c>
      <c r="K55" s="51">
        <v>40.764600000000002</v>
      </c>
      <c r="L55" s="51">
        <v>54.665500000000002</v>
      </c>
      <c r="M55" s="50">
        <v>11.91</v>
      </c>
      <c r="N55" s="51">
        <v>77.67</v>
      </c>
      <c r="O55" s="50">
        <v>0.1</v>
      </c>
      <c r="P55" s="51">
        <v>1189.7</v>
      </c>
      <c r="Q55" s="50">
        <f t="shared" si="1"/>
        <v>3.2</v>
      </c>
      <c r="R55" s="50" t="s">
        <v>587</v>
      </c>
      <c r="S55" s="50" t="s">
        <v>575</v>
      </c>
      <c r="T55" s="50" t="s">
        <v>1285</v>
      </c>
      <c r="U55" s="50" t="s">
        <v>590</v>
      </c>
      <c r="V55" s="53" t="s">
        <v>266</v>
      </c>
    </row>
    <row r="56" spans="1:22" ht="15" customHeight="1" x14ac:dyDescent="0.25">
      <c r="A56" s="50" t="s">
        <v>1375</v>
      </c>
      <c r="B56" s="50" t="s">
        <v>1376</v>
      </c>
      <c r="C56" s="50" t="s">
        <v>1244</v>
      </c>
      <c r="D56" s="50" t="s">
        <v>1279</v>
      </c>
      <c r="E56" s="50" t="s">
        <v>1301</v>
      </c>
      <c r="F56" s="50" t="s">
        <v>1246</v>
      </c>
      <c r="G56" s="51">
        <v>136.78</v>
      </c>
      <c r="H56" s="51">
        <v>140.69</v>
      </c>
      <c r="I56" s="51">
        <v>4.6444000000000001</v>
      </c>
      <c r="J56" s="51">
        <v>9.3783999999999992</v>
      </c>
      <c r="K56" s="51">
        <v>5.14</v>
      </c>
      <c r="L56" s="51">
        <v>8.0379000000000005</v>
      </c>
      <c r="M56" s="50">
        <v>5.17</v>
      </c>
      <c r="N56" s="51">
        <v>7.07</v>
      </c>
      <c r="O56" s="50">
        <v>-0.41299999999999998</v>
      </c>
      <c r="P56" s="51">
        <v>678.98</v>
      </c>
      <c r="Q56" s="50">
        <f t="shared" si="1"/>
        <v>0.7</v>
      </c>
      <c r="R56" s="50" t="s">
        <v>587</v>
      </c>
      <c r="S56" s="50" t="s">
        <v>628</v>
      </c>
      <c r="T56" s="50" t="s">
        <v>1281</v>
      </c>
      <c r="U56" s="50" t="s">
        <v>590</v>
      </c>
      <c r="V56" s="53" t="s">
        <v>266</v>
      </c>
    </row>
    <row r="57" spans="1:22" ht="15" customHeight="1" x14ac:dyDescent="0.25">
      <c r="A57" s="50" t="s">
        <v>1377</v>
      </c>
      <c r="B57" s="50" t="s">
        <v>629</v>
      </c>
      <c r="C57" s="50" t="s">
        <v>1267</v>
      </c>
      <c r="D57" s="50" t="s">
        <v>1251</v>
      </c>
      <c r="E57" s="50" t="s">
        <v>1312</v>
      </c>
      <c r="F57" s="50" t="s">
        <v>1290</v>
      </c>
      <c r="G57" s="51">
        <v>636.01</v>
      </c>
      <c r="H57" s="51">
        <v>663.19</v>
      </c>
      <c r="I57" s="51">
        <v>30.845099999999999</v>
      </c>
      <c r="J57" s="51">
        <v>84.844899999999996</v>
      </c>
      <c r="K57" s="51">
        <v>29.180700000000002</v>
      </c>
      <c r="L57" s="51">
        <v>44.933599999999998</v>
      </c>
      <c r="M57" s="50">
        <v>13.76</v>
      </c>
      <c r="N57" s="51">
        <v>87.51</v>
      </c>
      <c r="O57" s="50">
        <v>0.89</v>
      </c>
      <c r="P57" s="51">
        <v>1890.47</v>
      </c>
      <c r="Q57" s="50">
        <f t="shared" si="1"/>
        <v>1.6</v>
      </c>
      <c r="R57" s="50" t="s">
        <v>587</v>
      </c>
      <c r="S57" s="50" t="s">
        <v>628</v>
      </c>
      <c r="T57" s="50" t="s">
        <v>1270</v>
      </c>
      <c r="U57" s="50" t="s">
        <v>590</v>
      </c>
      <c r="V57" s="53" t="s">
        <v>266</v>
      </c>
    </row>
    <row r="58" spans="1:22" ht="15" customHeight="1" x14ac:dyDescent="0.25">
      <c r="A58" s="50" t="s">
        <v>1378</v>
      </c>
      <c r="B58" s="50" t="s">
        <v>1379</v>
      </c>
      <c r="C58" s="50" t="s">
        <v>1267</v>
      </c>
      <c r="D58" s="50" t="s">
        <v>1279</v>
      </c>
      <c r="E58" s="50" t="s">
        <v>1245</v>
      </c>
      <c r="F58" s="50" t="s">
        <v>1295</v>
      </c>
      <c r="G58" s="51">
        <v>374.59</v>
      </c>
      <c r="H58" s="51">
        <v>382.74</v>
      </c>
      <c r="I58" s="51">
        <v>14.6137</v>
      </c>
      <c r="J58" s="51">
        <v>28.580300000000001</v>
      </c>
      <c r="K58" s="51">
        <v>13.4625</v>
      </c>
      <c r="L58" s="51">
        <v>21.281199999999998</v>
      </c>
      <c r="M58" s="50">
        <v>1.51</v>
      </c>
      <c r="N58" s="51">
        <v>5.66</v>
      </c>
      <c r="O58" s="50">
        <v>-0.80800000000000005</v>
      </c>
      <c r="P58" s="51">
        <v>1875.69</v>
      </c>
      <c r="Q58" s="50">
        <f t="shared" si="1"/>
        <v>0.8</v>
      </c>
      <c r="R58" s="50" t="s">
        <v>587</v>
      </c>
      <c r="S58" s="50" t="s">
        <v>628</v>
      </c>
      <c r="T58" s="50" t="s">
        <v>1285</v>
      </c>
      <c r="U58" s="50" t="s">
        <v>590</v>
      </c>
      <c r="V58" s="53" t="s">
        <v>266</v>
      </c>
    </row>
    <row r="59" spans="1:22" ht="15" customHeight="1" x14ac:dyDescent="0.25">
      <c r="A59" s="50" t="s">
        <v>1380</v>
      </c>
      <c r="B59" s="50" t="s">
        <v>1218</v>
      </c>
      <c r="C59" s="50" t="s">
        <v>1250</v>
      </c>
      <c r="D59" s="50" t="s">
        <v>1244</v>
      </c>
      <c r="E59" s="50" t="s">
        <v>1252</v>
      </c>
      <c r="F59" s="50" t="s">
        <v>1253</v>
      </c>
      <c r="G59" s="51">
        <v>451.77</v>
      </c>
      <c r="H59" s="51">
        <v>434.89</v>
      </c>
      <c r="I59" s="51">
        <v>21.959800000000001</v>
      </c>
      <c r="J59" s="51">
        <v>57.1569</v>
      </c>
      <c r="K59" s="51">
        <v>12.3955</v>
      </c>
      <c r="L59" s="51">
        <v>40.911099999999998</v>
      </c>
      <c r="M59" s="50">
        <v>13.22</v>
      </c>
      <c r="N59" s="51">
        <v>59.72</v>
      </c>
      <c r="O59" s="50">
        <v>0.48299999999999998</v>
      </c>
      <c r="P59" s="51">
        <v>1314.82</v>
      </c>
      <c r="Q59" s="50">
        <f t="shared" si="1"/>
        <v>1.7</v>
      </c>
      <c r="R59" s="50" t="s">
        <v>587</v>
      </c>
      <c r="S59" s="50" t="s">
        <v>647</v>
      </c>
      <c r="T59" s="50" t="s">
        <v>1270</v>
      </c>
      <c r="U59" s="50" t="s">
        <v>590</v>
      </c>
      <c r="V59" s="53" t="s">
        <v>266</v>
      </c>
    </row>
    <row r="60" spans="1:22" ht="15" customHeight="1" x14ac:dyDescent="0.25">
      <c r="A60" s="50" t="s">
        <v>1381</v>
      </c>
      <c r="B60" s="50" t="s">
        <v>1382</v>
      </c>
      <c r="C60" s="50" t="s">
        <v>1267</v>
      </c>
      <c r="D60" s="50" t="s">
        <v>1289</v>
      </c>
      <c r="E60" s="50" t="s">
        <v>1306</v>
      </c>
      <c r="F60" s="50" t="s">
        <v>1295</v>
      </c>
      <c r="G60" s="51">
        <v>55.38</v>
      </c>
      <c r="H60" s="51">
        <v>51.76</v>
      </c>
      <c r="I60" s="51">
        <v>0.98529999999999995</v>
      </c>
      <c r="J60" s="51">
        <v>1.8743000000000001</v>
      </c>
      <c r="K60" s="51">
        <v>0.4496</v>
      </c>
      <c r="L60" s="51">
        <v>1.83</v>
      </c>
      <c r="M60" s="50">
        <v>13.69</v>
      </c>
      <c r="N60" s="51">
        <v>7.58</v>
      </c>
      <c r="O60" s="50">
        <v>-0.185</v>
      </c>
      <c r="P60" s="51">
        <v>159.37</v>
      </c>
      <c r="Q60" s="50">
        <f t="shared" si="1"/>
        <v>0.6</v>
      </c>
      <c r="R60" s="50" t="s">
        <v>587</v>
      </c>
      <c r="S60" s="50" t="s">
        <v>602</v>
      </c>
      <c r="T60" s="50" t="s">
        <v>1260</v>
      </c>
      <c r="U60" s="50" t="s">
        <v>590</v>
      </c>
      <c r="V60" s="53" t="s">
        <v>266</v>
      </c>
    </row>
    <row r="61" spans="1:22" ht="15" customHeight="1" x14ac:dyDescent="0.25">
      <c r="A61" s="50" t="s">
        <v>1383</v>
      </c>
      <c r="B61" s="50" t="s">
        <v>1325</v>
      </c>
      <c r="C61" s="50" t="s">
        <v>1267</v>
      </c>
      <c r="D61" s="50" t="s">
        <v>1250</v>
      </c>
      <c r="E61" s="50" t="s">
        <v>1306</v>
      </c>
      <c r="F61" s="50" t="s">
        <v>1269</v>
      </c>
      <c r="G61" s="51">
        <v>388.34</v>
      </c>
      <c r="H61" s="51">
        <v>407.09</v>
      </c>
      <c r="I61" s="51">
        <v>18.863600000000002</v>
      </c>
      <c r="J61" s="51">
        <v>47.293900000000001</v>
      </c>
      <c r="K61" s="51">
        <v>16.3828</v>
      </c>
      <c r="L61" s="51">
        <v>33.213200000000001</v>
      </c>
      <c r="M61" s="50">
        <v>1.37</v>
      </c>
      <c r="N61" s="51">
        <v>5.32</v>
      </c>
      <c r="O61" s="50">
        <v>0.85599999999999998</v>
      </c>
      <c r="P61" s="51">
        <v>761.86</v>
      </c>
      <c r="Q61" s="50">
        <f t="shared" si="1"/>
        <v>2.5</v>
      </c>
      <c r="R61" s="50" t="s">
        <v>587</v>
      </c>
      <c r="S61" s="50" t="s">
        <v>586</v>
      </c>
      <c r="T61" s="50" t="s">
        <v>1329</v>
      </c>
      <c r="U61" s="50" t="s">
        <v>590</v>
      </c>
      <c r="V61" s="53" t="s">
        <v>266</v>
      </c>
    </row>
    <row r="62" spans="1:22" ht="15" customHeight="1" x14ac:dyDescent="0.25">
      <c r="A62" s="50" t="s">
        <v>1384</v>
      </c>
      <c r="B62" s="50" t="s">
        <v>1385</v>
      </c>
      <c r="C62" s="50" t="s">
        <v>1300</v>
      </c>
      <c r="D62" s="50" t="s">
        <v>1289</v>
      </c>
      <c r="E62" s="50" t="s">
        <v>1312</v>
      </c>
      <c r="F62" s="50" t="s">
        <v>1263</v>
      </c>
      <c r="G62" s="51">
        <v>580.82000000000005</v>
      </c>
      <c r="H62" s="51">
        <v>537.92999999999995</v>
      </c>
      <c r="I62" s="51">
        <v>9.5170999999999992</v>
      </c>
      <c r="J62" s="51">
        <v>17.738299999999999</v>
      </c>
      <c r="K62" s="51">
        <v>9.4923999999999999</v>
      </c>
      <c r="L62" s="51">
        <v>17.486899999999999</v>
      </c>
      <c r="M62" s="50">
        <v>12.79</v>
      </c>
      <c r="N62" s="51">
        <v>74.290000000000006</v>
      </c>
      <c r="O62" s="50">
        <v>-0.41</v>
      </c>
      <c r="P62" s="51">
        <v>2000.65</v>
      </c>
      <c r="Q62" s="50">
        <f t="shared" si="1"/>
        <v>0.5</v>
      </c>
      <c r="R62" s="50" t="s">
        <v>587</v>
      </c>
      <c r="S62" s="50" t="s">
        <v>586</v>
      </c>
      <c r="T62" s="50" t="s">
        <v>1247</v>
      </c>
      <c r="U62" s="50" t="s">
        <v>590</v>
      </c>
      <c r="V62" s="53" t="s">
        <v>266</v>
      </c>
    </row>
    <row r="63" spans="1:22" ht="15" customHeight="1" x14ac:dyDescent="0.25">
      <c r="A63" s="50" t="s">
        <v>1386</v>
      </c>
      <c r="B63" s="50" t="s">
        <v>767</v>
      </c>
      <c r="C63" s="50" t="s">
        <v>1267</v>
      </c>
      <c r="D63" s="50" t="s">
        <v>1279</v>
      </c>
      <c r="E63" s="50" t="s">
        <v>1245</v>
      </c>
      <c r="F63" s="50" t="s">
        <v>1246</v>
      </c>
      <c r="G63" s="51">
        <v>124.72</v>
      </c>
      <c r="H63" s="51">
        <v>115.78</v>
      </c>
      <c r="I63" s="51">
        <v>5.0373999999999999</v>
      </c>
      <c r="J63" s="51">
        <v>10.442</v>
      </c>
      <c r="K63" s="51">
        <v>4.2214</v>
      </c>
      <c r="L63" s="51">
        <v>6.3879000000000001</v>
      </c>
      <c r="M63" s="50">
        <v>3.39</v>
      </c>
      <c r="N63" s="51">
        <v>4.2300000000000004</v>
      </c>
      <c r="O63" s="50">
        <v>0.48299999999999998</v>
      </c>
      <c r="P63" s="51">
        <v>467.84</v>
      </c>
      <c r="Q63" s="50">
        <f t="shared" si="1"/>
        <v>1.1000000000000001</v>
      </c>
      <c r="R63" s="50" t="s">
        <v>587</v>
      </c>
      <c r="S63" s="50" t="s">
        <v>609</v>
      </c>
      <c r="T63" s="50" t="s">
        <v>1260</v>
      </c>
      <c r="U63" s="50" t="s">
        <v>590</v>
      </c>
      <c r="V63" s="53" t="s">
        <v>266</v>
      </c>
    </row>
    <row r="64" spans="1:22" ht="15" customHeight="1" x14ac:dyDescent="0.25">
      <c r="A64" s="50" t="s">
        <v>1387</v>
      </c>
      <c r="B64" s="50" t="s">
        <v>1388</v>
      </c>
      <c r="C64" s="50" t="s">
        <v>1244</v>
      </c>
      <c r="D64" s="50" t="s">
        <v>1274</v>
      </c>
      <c r="E64" s="50" t="s">
        <v>1252</v>
      </c>
      <c r="F64" s="50" t="s">
        <v>1290</v>
      </c>
      <c r="G64" s="51">
        <v>443.31</v>
      </c>
      <c r="H64" s="51">
        <v>430.25</v>
      </c>
      <c r="I64" s="51">
        <v>6.4996</v>
      </c>
      <c r="J64" s="51">
        <v>15.6327</v>
      </c>
      <c r="K64" s="51">
        <v>5.5495999999999999</v>
      </c>
      <c r="L64" s="51">
        <v>8.0823</v>
      </c>
      <c r="M64" s="50">
        <v>11.34</v>
      </c>
      <c r="N64" s="51">
        <v>50.27</v>
      </c>
      <c r="O64" s="50">
        <v>0.98</v>
      </c>
      <c r="P64" s="51">
        <v>1471.88</v>
      </c>
      <c r="Q64" s="50">
        <f t="shared" si="1"/>
        <v>0.4</v>
      </c>
      <c r="R64" s="50" t="s">
        <v>587</v>
      </c>
      <c r="S64" s="50" t="s">
        <v>628</v>
      </c>
      <c r="T64" s="50" t="s">
        <v>1276</v>
      </c>
      <c r="U64" s="50" t="s">
        <v>590</v>
      </c>
      <c r="V64" s="53" t="s">
        <v>266</v>
      </c>
    </row>
    <row r="65" spans="1:22" ht="15" customHeight="1" x14ac:dyDescent="0.25">
      <c r="A65" s="50" t="s">
        <v>1389</v>
      </c>
      <c r="B65" s="50" t="s">
        <v>991</v>
      </c>
      <c r="C65" s="50" t="s">
        <v>1250</v>
      </c>
      <c r="D65" s="50" t="s">
        <v>1244</v>
      </c>
      <c r="E65" s="50" t="s">
        <v>1268</v>
      </c>
      <c r="F65" s="50" t="s">
        <v>1269</v>
      </c>
      <c r="G65" s="51">
        <v>162.27000000000001</v>
      </c>
      <c r="H65" s="51">
        <v>168.13</v>
      </c>
      <c r="I65" s="51">
        <v>11.2639</v>
      </c>
      <c r="J65" s="51">
        <v>22.849599999999999</v>
      </c>
      <c r="K65" s="51">
        <v>10.5547</v>
      </c>
      <c r="L65" s="51">
        <v>15.630100000000001</v>
      </c>
      <c r="M65" s="50">
        <v>4.49</v>
      </c>
      <c r="N65" s="51">
        <v>7.29</v>
      </c>
      <c r="O65" s="50">
        <v>-0.86</v>
      </c>
      <c r="P65" s="51">
        <v>366.06</v>
      </c>
      <c r="Q65" s="50">
        <f t="shared" si="1"/>
        <v>3.1</v>
      </c>
      <c r="R65" s="50" t="s">
        <v>587</v>
      </c>
      <c r="S65" s="50" t="s">
        <v>618</v>
      </c>
      <c r="T65" s="50" t="s">
        <v>1281</v>
      </c>
      <c r="U65" s="50" t="s">
        <v>590</v>
      </c>
      <c r="V65" s="53" t="s">
        <v>266</v>
      </c>
    </row>
    <row r="66" spans="1:22" ht="15" customHeight="1" x14ac:dyDescent="0.25">
      <c r="A66" s="50" t="s">
        <v>1390</v>
      </c>
      <c r="B66" s="50" t="s">
        <v>1391</v>
      </c>
      <c r="C66" s="50" t="s">
        <v>1288</v>
      </c>
      <c r="D66" s="50" t="s">
        <v>1284</v>
      </c>
      <c r="E66" s="50" t="s">
        <v>1306</v>
      </c>
      <c r="F66" s="50" t="s">
        <v>1246</v>
      </c>
      <c r="G66" s="51">
        <v>132.1</v>
      </c>
      <c r="H66" s="51">
        <v>136.51</v>
      </c>
      <c r="I66" s="51">
        <v>7.9280999999999997</v>
      </c>
      <c r="J66" s="51">
        <v>21.805399999999999</v>
      </c>
      <c r="K66" s="51">
        <v>4.2408000000000001</v>
      </c>
      <c r="L66" s="51">
        <v>11.500299999999999</v>
      </c>
      <c r="M66" s="50">
        <v>11.85</v>
      </c>
      <c r="N66" s="51">
        <v>15.65</v>
      </c>
      <c r="O66" s="50">
        <v>0.42399999999999999</v>
      </c>
      <c r="P66" s="51">
        <v>510.95</v>
      </c>
      <c r="Q66" s="50">
        <f t="shared" si="1"/>
        <v>1.6</v>
      </c>
      <c r="R66" s="50" t="s">
        <v>587</v>
      </c>
      <c r="S66" s="50" t="s">
        <v>586</v>
      </c>
      <c r="T66" s="50" t="s">
        <v>1257</v>
      </c>
      <c r="U66" s="50" t="s">
        <v>590</v>
      </c>
      <c r="V66" s="53" t="s">
        <v>266</v>
      </c>
    </row>
    <row r="67" spans="1:22" ht="15" customHeight="1" x14ac:dyDescent="0.25">
      <c r="A67" s="50" t="s">
        <v>1392</v>
      </c>
      <c r="B67" s="50" t="s">
        <v>1393</v>
      </c>
      <c r="C67" s="50" t="s">
        <v>1250</v>
      </c>
      <c r="D67" s="50" t="s">
        <v>1251</v>
      </c>
      <c r="E67" s="50" t="s">
        <v>1312</v>
      </c>
      <c r="F67" s="50" t="s">
        <v>1263</v>
      </c>
      <c r="G67" s="51">
        <v>328.39</v>
      </c>
      <c r="H67" s="51">
        <v>353</v>
      </c>
      <c r="I67" s="51">
        <v>13.4819</v>
      </c>
      <c r="J67" s="51">
        <v>23.331800000000001</v>
      </c>
      <c r="K67" s="51">
        <v>12.355399999999999</v>
      </c>
      <c r="L67" s="51">
        <v>17.0624</v>
      </c>
      <c r="M67" s="50">
        <v>4.43</v>
      </c>
      <c r="N67" s="51">
        <v>14.55</v>
      </c>
      <c r="O67" s="50">
        <v>0.65300000000000002</v>
      </c>
      <c r="P67" s="51">
        <v>1630.7</v>
      </c>
      <c r="Q67" s="50">
        <f t="shared" ref="Q67:Q98" si="2">ROUND(I67/P67*100,1)</f>
        <v>0.8</v>
      </c>
      <c r="R67" s="50" t="s">
        <v>587</v>
      </c>
      <c r="S67" s="50" t="s">
        <v>609</v>
      </c>
      <c r="T67" s="50" t="s">
        <v>1315</v>
      </c>
      <c r="U67" s="50" t="s">
        <v>590</v>
      </c>
      <c r="V67" s="53" t="s">
        <v>266</v>
      </c>
    </row>
    <row r="68" spans="1:22" ht="15" customHeight="1" x14ac:dyDescent="0.25">
      <c r="A68" s="50" t="s">
        <v>1394</v>
      </c>
      <c r="B68" s="50" t="s">
        <v>1073</v>
      </c>
      <c r="C68" s="50" t="s">
        <v>1250</v>
      </c>
      <c r="D68" s="50" t="s">
        <v>1244</v>
      </c>
      <c r="E68" s="50" t="s">
        <v>1301</v>
      </c>
      <c r="F68" s="50" t="s">
        <v>1246</v>
      </c>
      <c r="G68" s="51">
        <v>453.19</v>
      </c>
      <c r="H68" s="51">
        <v>490.59</v>
      </c>
      <c r="I68" s="51">
        <v>21.532900000000001</v>
      </c>
      <c r="J68" s="51">
        <v>54.328400000000002</v>
      </c>
      <c r="K68" s="51">
        <v>12.2782</v>
      </c>
      <c r="L68" s="51">
        <v>26.4709</v>
      </c>
      <c r="M68" s="50">
        <v>4.13</v>
      </c>
      <c r="N68" s="51">
        <v>18.72</v>
      </c>
      <c r="O68" s="50">
        <v>0.78800000000000003</v>
      </c>
      <c r="P68" s="51">
        <v>1662.55</v>
      </c>
      <c r="Q68" s="50">
        <f t="shared" si="2"/>
        <v>1.3</v>
      </c>
      <c r="R68" s="50" t="s">
        <v>587</v>
      </c>
      <c r="S68" s="50" t="s">
        <v>638</v>
      </c>
      <c r="T68" s="50" t="s">
        <v>1257</v>
      </c>
      <c r="U68" s="50" t="s">
        <v>590</v>
      </c>
      <c r="V68" s="53" t="s">
        <v>266</v>
      </c>
    </row>
    <row r="69" spans="1:22" ht="15" customHeight="1" x14ac:dyDescent="0.25">
      <c r="A69" s="50" t="s">
        <v>1395</v>
      </c>
      <c r="B69" s="50" t="s">
        <v>1396</v>
      </c>
      <c r="C69" s="50" t="s">
        <v>1244</v>
      </c>
      <c r="D69" s="50" t="s">
        <v>1284</v>
      </c>
      <c r="E69" s="50" t="s">
        <v>1252</v>
      </c>
      <c r="F69" s="50" t="s">
        <v>1263</v>
      </c>
      <c r="G69" s="51">
        <v>365.75</v>
      </c>
      <c r="H69" s="51">
        <v>343.11</v>
      </c>
      <c r="I69" s="51">
        <v>10.485300000000001</v>
      </c>
      <c r="J69" s="51">
        <v>16.909700000000001</v>
      </c>
      <c r="K69" s="51">
        <v>6.1978999999999997</v>
      </c>
      <c r="L69" s="51">
        <v>20.668600000000001</v>
      </c>
      <c r="M69" s="50">
        <v>14.73</v>
      </c>
      <c r="N69" s="51">
        <v>53.87</v>
      </c>
      <c r="O69" s="50">
        <v>0.36799999999999999</v>
      </c>
      <c r="P69" s="51">
        <v>1423.98</v>
      </c>
      <c r="Q69" s="50">
        <f t="shared" si="2"/>
        <v>0.7</v>
      </c>
      <c r="R69" s="50" t="s">
        <v>587</v>
      </c>
      <c r="S69" s="50" t="s">
        <v>638</v>
      </c>
      <c r="T69" s="50" t="s">
        <v>1281</v>
      </c>
      <c r="U69" s="50" t="s">
        <v>590</v>
      </c>
      <c r="V69" s="53" t="s">
        <v>266</v>
      </c>
    </row>
    <row r="70" spans="1:22" ht="15" customHeight="1" x14ac:dyDescent="0.25">
      <c r="A70" s="50" t="s">
        <v>1397</v>
      </c>
      <c r="B70" s="50" t="s">
        <v>1398</v>
      </c>
      <c r="C70" s="50" t="s">
        <v>1244</v>
      </c>
      <c r="D70" s="50" t="s">
        <v>1274</v>
      </c>
      <c r="E70" s="50" t="s">
        <v>1306</v>
      </c>
      <c r="F70" s="50" t="s">
        <v>1253</v>
      </c>
      <c r="G70" s="51">
        <v>353.95</v>
      </c>
      <c r="H70" s="51">
        <v>351.03</v>
      </c>
      <c r="I70" s="51">
        <v>7.5705999999999998</v>
      </c>
      <c r="J70" s="51">
        <v>16.543099999999999</v>
      </c>
      <c r="K70" s="51">
        <v>3.4089999999999998</v>
      </c>
      <c r="L70" s="51">
        <v>11.3222</v>
      </c>
      <c r="M70" s="50">
        <v>0.93</v>
      </c>
      <c r="N70" s="51">
        <v>3.29</v>
      </c>
      <c r="O70" s="50">
        <v>-0.58599999999999997</v>
      </c>
      <c r="P70" s="51">
        <v>1641.78</v>
      </c>
      <c r="Q70" s="50">
        <f t="shared" si="2"/>
        <v>0.5</v>
      </c>
      <c r="R70" s="50" t="s">
        <v>587</v>
      </c>
      <c r="S70" s="50" t="s">
        <v>575</v>
      </c>
      <c r="T70" s="50" t="s">
        <v>1260</v>
      </c>
      <c r="U70" s="50" t="s">
        <v>590</v>
      </c>
      <c r="V70" s="53" t="s">
        <v>266</v>
      </c>
    </row>
    <row r="71" spans="1:22" ht="15" customHeight="1" x14ac:dyDescent="0.25">
      <c r="A71" s="50" t="s">
        <v>1399</v>
      </c>
      <c r="B71" s="50" t="s">
        <v>1400</v>
      </c>
      <c r="C71" s="50" t="s">
        <v>1273</v>
      </c>
      <c r="D71" s="50" t="s">
        <v>1267</v>
      </c>
      <c r="E71" s="50" t="s">
        <v>1301</v>
      </c>
      <c r="F71" s="50" t="s">
        <v>1253</v>
      </c>
      <c r="G71" s="51">
        <v>247.13</v>
      </c>
      <c r="H71" s="51">
        <v>262.14</v>
      </c>
      <c r="I71" s="51">
        <v>10.5708</v>
      </c>
      <c r="J71" s="51">
        <v>27.4373</v>
      </c>
      <c r="K71" s="51">
        <v>11.288500000000001</v>
      </c>
      <c r="L71" s="51">
        <v>14.9117</v>
      </c>
      <c r="M71" s="50">
        <v>8.3000000000000007</v>
      </c>
      <c r="N71" s="51">
        <v>20.51</v>
      </c>
      <c r="O71" s="50">
        <v>-0.65200000000000002</v>
      </c>
      <c r="P71" s="51">
        <v>992.95</v>
      </c>
      <c r="Q71" s="50">
        <f t="shared" si="2"/>
        <v>1.1000000000000001</v>
      </c>
      <c r="R71" s="50" t="s">
        <v>587</v>
      </c>
      <c r="S71" s="50" t="s">
        <v>575</v>
      </c>
      <c r="T71" s="50" t="s">
        <v>1329</v>
      </c>
      <c r="U71" s="50" t="s">
        <v>590</v>
      </c>
      <c r="V71" s="53" t="s">
        <v>266</v>
      </c>
    </row>
    <row r="72" spans="1:22" ht="15" customHeight="1" x14ac:dyDescent="0.25">
      <c r="A72" s="50" t="s">
        <v>1401</v>
      </c>
      <c r="B72" s="50" t="s">
        <v>1402</v>
      </c>
      <c r="C72" s="50" t="s">
        <v>1288</v>
      </c>
      <c r="D72" s="50" t="s">
        <v>1284</v>
      </c>
      <c r="E72" s="50" t="s">
        <v>1312</v>
      </c>
      <c r="F72" s="50" t="s">
        <v>1290</v>
      </c>
      <c r="G72" s="51">
        <v>375.97</v>
      </c>
      <c r="H72" s="51">
        <v>372.43</v>
      </c>
      <c r="I72" s="51">
        <v>23.015699999999999</v>
      </c>
      <c r="J72" s="51">
        <v>50.271700000000003</v>
      </c>
      <c r="K72" s="51">
        <v>18.083200000000001</v>
      </c>
      <c r="L72" s="51">
        <v>38.743899999999996</v>
      </c>
      <c r="M72" s="50">
        <v>7.68</v>
      </c>
      <c r="N72" s="51">
        <v>28.87</v>
      </c>
      <c r="O72" s="50">
        <v>-0.72199999999999998</v>
      </c>
      <c r="P72" s="51">
        <v>774.51</v>
      </c>
      <c r="Q72" s="50">
        <f t="shared" si="2"/>
        <v>3</v>
      </c>
      <c r="R72" s="50" t="s">
        <v>587</v>
      </c>
      <c r="S72" s="50" t="s">
        <v>647</v>
      </c>
      <c r="T72" s="50" t="s">
        <v>1285</v>
      </c>
      <c r="U72" s="50" t="s">
        <v>590</v>
      </c>
      <c r="V72" s="53" t="s">
        <v>266</v>
      </c>
    </row>
    <row r="73" spans="1:22" ht="15" customHeight="1" x14ac:dyDescent="0.25">
      <c r="A73" s="50" t="s">
        <v>1403</v>
      </c>
      <c r="B73" s="50" t="s">
        <v>1404</v>
      </c>
      <c r="C73" s="50" t="s">
        <v>1244</v>
      </c>
      <c r="D73" s="50" t="s">
        <v>1274</v>
      </c>
      <c r="E73" s="50" t="s">
        <v>1252</v>
      </c>
      <c r="F73" s="50" t="s">
        <v>1290</v>
      </c>
      <c r="G73" s="51">
        <v>272.69</v>
      </c>
      <c r="H73" s="51">
        <v>290</v>
      </c>
      <c r="I73" s="51">
        <v>4.4476000000000004</v>
      </c>
      <c r="J73" s="51">
        <v>8.3454999999999995</v>
      </c>
      <c r="K73" s="51">
        <v>4.6653000000000002</v>
      </c>
      <c r="L73" s="51">
        <v>7.8997999999999999</v>
      </c>
      <c r="M73" s="50">
        <v>7.38</v>
      </c>
      <c r="N73" s="51">
        <v>20.12</v>
      </c>
      <c r="O73" s="50">
        <v>-4.2000000000000003E-2</v>
      </c>
      <c r="P73" s="51">
        <v>648.86</v>
      </c>
      <c r="Q73" s="50">
        <f t="shared" si="2"/>
        <v>0.7</v>
      </c>
      <c r="R73" s="50" t="s">
        <v>587</v>
      </c>
      <c r="S73" s="50" t="s">
        <v>638</v>
      </c>
      <c r="T73" s="50" t="s">
        <v>1247</v>
      </c>
      <c r="U73" s="50" t="s">
        <v>590</v>
      </c>
      <c r="V73" s="53" t="s">
        <v>266</v>
      </c>
    </row>
    <row r="74" spans="1:22" ht="15" customHeight="1" x14ac:dyDescent="0.25">
      <c r="A74" s="50" t="s">
        <v>1405</v>
      </c>
      <c r="B74" s="50" t="s">
        <v>1406</v>
      </c>
      <c r="C74" s="50" t="s">
        <v>1267</v>
      </c>
      <c r="D74" s="50" t="s">
        <v>1292</v>
      </c>
      <c r="E74" s="50" t="s">
        <v>1301</v>
      </c>
      <c r="F74" s="50" t="s">
        <v>1290</v>
      </c>
      <c r="G74" s="51">
        <v>414.24</v>
      </c>
      <c r="H74" s="51">
        <v>394.45</v>
      </c>
      <c r="I74" s="51">
        <v>18.551600000000001</v>
      </c>
      <c r="J74" s="51">
        <v>30.555</v>
      </c>
      <c r="K74" s="51">
        <v>15.9138</v>
      </c>
      <c r="L74" s="51">
        <v>23.091699999999999</v>
      </c>
      <c r="M74" s="50">
        <v>4.0999999999999996</v>
      </c>
      <c r="N74" s="51">
        <v>16.98</v>
      </c>
      <c r="O74" s="50">
        <v>-0.64</v>
      </c>
      <c r="P74" s="51">
        <v>1914.59</v>
      </c>
      <c r="Q74" s="50">
        <f t="shared" si="2"/>
        <v>1</v>
      </c>
      <c r="R74" s="50" t="s">
        <v>587</v>
      </c>
      <c r="S74" s="50" t="s">
        <v>716</v>
      </c>
      <c r="T74" s="50" t="s">
        <v>1270</v>
      </c>
      <c r="U74" s="50" t="s">
        <v>590</v>
      </c>
      <c r="V74" s="53" t="s">
        <v>266</v>
      </c>
    </row>
    <row r="75" spans="1:22" ht="15" customHeight="1" x14ac:dyDescent="0.25">
      <c r="A75" s="50" t="s">
        <v>1407</v>
      </c>
      <c r="B75" s="50" t="s">
        <v>931</v>
      </c>
      <c r="C75" s="50" t="s">
        <v>1267</v>
      </c>
      <c r="D75" s="50" t="s">
        <v>1292</v>
      </c>
      <c r="E75" s="50" t="s">
        <v>1312</v>
      </c>
      <c r="F75" s="50" t="s">
        <v>1246</v>
      </c>
      <c r="G75" s="51">
        <v>695.16</v>
      </c>
      <c r="H75" s="51">
        <v>760.13</v>
      </c>
      <c r="I75" s="51">
        <v>14.1195</v>
      </c>
      <c r="J75" s="51">
        <v>36.660400000000003</v>
      </c>
      <c r="K75" s="51">
        <v>12.4346</v>
      </c>
      <c r="L75" s="51">
        <v>25.9191</v>
      </c>
      <c r="M75" s="50">
        <v>12.36</v>
      </c>
      <c r="N75" s="51">
        <v>85.92</v>
      </c>
      <c r="O75" s="50">
        <v>-0.63600000000000001</v>
      </c>
      <c r="P75" s="51">
        <v>2895.16</v>
      </c>
      <c r="Q75" s="50">
        <f t="shared" si="2"/>
        <v>0.5</v>
      </c>
      <c r="R75" s="50" t="s">
        <v>587</v>
      </c>
      <c r="S75" s="50" t="s">
        <v>586</v>
      </c>
      <c r="T75" s="50" t="s">
        <v>1254</v>
      </c>
      <c r="U75" s="50" t="s">
        <v>590</v>
      </c>
      <c r="V75" s="53" t="s">
        <v>266</v>
      </c>
    </row>
    <row r="76" spans="1:22" ht="15" customHeight="1" x14ac:dyDescent="0.25">
      <c r="A76" s="50" t="s">
        <v>1408</v>
      </c>
      <c r="B76" s="50" t="s">
        <v>1409</v>
      </c>
      <c r="C76" s="50" t="s">
        <v>1273</v>
      </c>
      <c r="D76" s="50" t="s">
        <v>1244</v>
      </c>
      <c r="E76" s="50" t="s">
        <v>1252</v>
      </c>
      <c r="F76" s="50" t="s">
        <v>1263</v>
      </c>
      <c r="G76" s="51">
        <v>288.26</v>
      </c>
      <c r="H76" s="51">
        <v>271.45999999999998</v>
      </c>
      <c r="I76" s="51">
        <v>5.5773000000000001</v>
      </c>
      <c r="J76" s="51">
        <v>14.6767</v>
      </c>
      <c r="K76" s="51">
        <v>4.4813000000000001</v>
      </c>
      <c r="L76" s="51">
        <v>8.5657999999999994</v>
      </c>
      <c r="M76" s="50">
        <v>2.5</v>
      </c>
      <c r="N76" s="51">
        <v>7.21</v>
      </c>
      <c r="O76" s="50">
        <v>-0.80700000000000005</v>
      </c>
      <c r="P76" s="51">
        <v>859.32</v>
      </c>
      <c r="Q76" s="50">
        <f t="shared" si="2"/>
        <v>0.6</v>
      </c>
      <c r="R76" s="50" t="s">
        <v>587</v>
      </c>
      <c r="S76" s="50" t="s">
        <v>716</v>
      </c>
      <c r="T76" s="50" t="s">
        <v>1285</v>
      </c>
      <c r="U76" s="50" t="s">
        <v>590</v>
      </c>
      <c r="V76" s="53" t="s">
        <v>266</v>
      </c>
    </row>
    <row r="77" spans="1:22" ht="15" customHeight="1" x14ac:dyDescent="0.25">
      <c r="A77" s="50" t="s">
        <v>1410</v>
      </c>
      <c r="B77" s="50" t="s">
        <v>1411</v>
      </c>
      <c r="C77" s="50" t="s">
        <v>1243</v>
      </c>
      <c r="D77" s="50" t="s">
        <v>1244</v>
      </c>
      <c r="E77" s="50" t="s">
        <v>1301</v>
      </c>
      <c r="F77" s="50" t="s">
        <v>1263</v>
      </c>
      <c r="G77" s="51">
        <v>471.79</v>
      </c>
      <c r="H77" s="51">
        <v>519.16</v>
      </c>
      <c r="I77" s="51">
        <v>21.511800000000001</v>
      </c>
      <c r="J77" s="51">
        <v>34.4499</v>
      </c>
      <c r="K77" s="51">
        <v>24.742599999999999</v>
      </c>
      <c r="L77" s="51">
        <v>37.491799999999998</v>
      </c>
      <c r="M77" s="50">
        <v>6.64</v>
      </c>
      <c r="N77" s="51">
        <v>31.33</v>
      </c>
      <c r="O77" s="50">
        <v>-0.159</v>
      </c>
      <c r="P77" s="51">
        <v>2368.35</v>
      </c>
      <c r="Q77" s="50">
        <f t="shared" si="2"/>
        <v>0.9</v>
      </c>
      <c r="R77" s="50" t="s">
        <v>587</v>
      </c>
      <c r="S77" s="50" t="s">
        <v>628</v>
      </c>
      <c r="T77" s="50" t="s">
        <v>1260</v>
      </c>
      <c r="U77" s="50" t="s">
        <v>590</v>
      </c>
      <c r="V77" s="53" t="s">
        <v>266</v>
      </c>
    </row>
    <row r="78" spans="1:22" ht="15" customHeight="1" x14ac:dyDescent="0.25">
      <c r="A78" s="50" t="s">
        <v>1412</v>
      </c>
      <c r="B78" s="50" t="s">
        <v>1413</v>
      </c>
      <c r="C78" s="50" t="s">
        <v>1243</v>
      </c>
      <c r="D78" s="50" t="s">
        <v>1289</v>
      </c>
      <c r="E78" s="50" t="s">
        <v>1245</v>
      </c>
      <c r="F78" s="50" t="s">
        <v>1263</v>
      </c>
      <c r="G78" s="51">
        <v>264.85000000000002</v>
      </c>
      <c r="H78" s="51">
        <v>286.27999999999997</v>
      </c>
      <c r="I78" s="51">
        <v>18.404199999999999</v>
      </c>
      <c r="J78" s="51">
        <v>47.936100000000003</v>
      </c>
      <c r="K78" s="51">
        <v>15.844099999999999</v>
      </c>
      <c r="L78" s="51">
        <v>28.349699999999999</v>
      </c>
      <c r="M78" s="50">
        <v>4.04</v>
      </c>
      <c r="N78" s="51">
        <v>10.7</v>
      </c>
      <c r="O78" s="50">
        <v>0.53200000000000003</v>
      </c>
      <c r="P78" s="51">
        <v>1341.31</v>
      </c>
      <c r="Q78" s="50">
        <f t="shared" si="2"/>
        <v>1.4</v>
      </c>
      <c r="R78" s="50" t="s">
        <v>587</v>
      </c>
      <c r="S78" s="50" t="s">
        <v>647</v>
      </c>
      <c r="T78" s="50" t="s">
        <v>1315</v>
      </c>
      <c r="U78" s="50" t="s">
        <v>590</v>
      </c>
      <c r="V78" s="53" t="s">
        <v>266</v>
      </c>
    </row>
    <row r="79" spans="1:22" ht="15" customHeight="1" x14ac:dyDescent="0.25">
      <c r="A79" s="50" t="s">
        <v>1414</v>
      </c>
      <c r="B79" s="50" t="s">
        <v>1415</v>
      </c>
      <c r="C79" s="50" t="s">
        <v>1300</v>
      </c>
      <c r="D79" s="50" t="s">
        <v>1292</v>
      </c>
      <c r="E79" s="50" t="s">
        <v>1301</v>
      </c>
      <c r="F79" s="50" t="s">
        <v>1253</v>
      </c>
      <c r="G79" s="51">
        <v>528.24</v>
      </c>
      <c r="H79" s="51">
        <v>486.73</v>
      </c>
      <c r="I79" s="51">
        <v>19.662700000000001</v>
      </c>
      <c r="J79" s="51">
        <v>43.724200000000003</v>
      </c>
      <c r="K79" s="51">
        <v>13.7644</v>
      </c>
      <c r="L79" s="51">
        <v>26.826499999999999</v>
      </c>
      <c r="M79" s="50">
        <v>12.12</v>
      </c>
      <c r="N79" s="51">
        <v>64.02</v>
      </c>
      <c r="O79" s="50">
        <v>-0.182</v>
      </c>
      <c r="P79" s="51">
        <v>911.67</v>
      </c>
      <c r="Q79" s="50">
        <f t="shared" si="2"/>
        <v>2.2000000000000002</v>
      </c>
      <c r="R79" s="50" t="s">
        <v>587</v>
      </c>
      <c r="S79" s="50" t="s">
        <v>602</v>
      </c>
      <c r="T79" s="50" t="s">
        <v>1247</v>
      </c>
      <c r="U79" s="50" t="s">
        <v>590</v>
      </c>
      <c r="V79" s="53" t="s">
        <v>266</v>
      </c>
    </row>
    <row r="80" spans="1:22" ht="15" customHeight="1" x14ac:dyDescent="0.25">
      <c r="A80" s="50" t="s">
        <v>1416</v>
      </c>
      <c r="B80" s="50" t="s">
        <v>1417</v>
      </c>
      <c r="C80" s="50" t="s">
        <v>1300</v>
      </c>
      <c r="D80" s="50" t="s">
        <v>1279</v>
      </c>
      <c r="E80" s="50" t="s">
        <v>1312</v>
      </c>
      <c r="F80" s="50" t="s">
        <v>1246</v>
      </c>
      <c r="G80" s="51">
        <v>274.98</v>
      </c>
      <c r="H80" s="51">
        <v>268.14</v>
      </c>
      <c r="I80" s="51">
        <v>13.46</v>
      </c>
      <c r="J80" s="51">
        <v>33.7303</v>
      </c>
      <c r="K80" s="51">
        <v>9.8336000000000006</v>
      </c>
      <c r="L80" s="51">
        <v>24.591799999999999</v>
      </c>
      <c r="M80" s="50">
        <v>7.39</v>
      </c>
      <c r="N80" s="51">
        <v>20.32</v>
      </c>
      <c r="O80" s="50">
        <v>-0.26</v>
      </c>
      <c r="P80" s="51">
        <v>922.99</v>
      </c>
      <c r="Q80" s="50">
        <f t="shared" si="2"/>
        <v>1.5</v>
      </c>
      <c r="R80" s="50" t="s">
        <v>587</v>
      </c>
      <c r="S80" s="50" t="s">
        <v>586</v>
      </c>
      <c r="T80" s="50" t="s">
        <v>1315</v>
      </c>
      <c r="U80" s="50" t="s">
        <v>590</v>
      </c>
      <c r="V80" s="53" t="s">
        <v>266</v>
      </c>
    </row>
    <row r="81" spans="1:22" ht="15" customHeight="1" x14ac:dyDescent="0.25">
      <c r="A81" s="50" t="s">
        <v>1418</v>
      </c>
      <c r="B81" s="50" t="s">
        <v>791</v>
      </c>
      <c r="C81" s="50" t="s">
        <v>1243</v>
      </c>
      <c r="D81" s="50" t="s">
        <v>1250</v>
      </c>
      <c r="E81" s="50" t="s">
        <v>1306</v>
      </c>
      <c r="F81" s="50" t="s">
        <v>1290</v>
      </c>
      <c r="G81" s="51">
        <v>602.85</v>
      </c>
      <c r="H81" s="51">
        <v>634.11</v>
      </c>
      <c r="I81" s="51">
        <v>34.473100000000002</v>
      </c>
      <c r="J81" s="51">
        <v>73.631600000000006</v>
      </c>
      <c r="K81" s="51">
        <v>33.075200000000002</v>
      </c>
      <c r="L81" s="51">
        <v>45.829799999999999</v>
      </c>
      <c r="M81" s="50">
        <v>3.45</v>
      </c>
      <c r="N81" s="51">
        <v>20.8</v>
      </c>
      <c r="O81" s="50">
        <v>-0.19900000000000001</v>
      </c>
      <c r="P81" s="51">
        <v>1702.29</v>
      </c>
      <c r="Q81" s="50">
        <f t="shared" si="2"/>
        <v>2</v>
      </c>
      <c r="R81" s="50" t="s">
        <v>587</v>
      </c>
      <c r="S81" s="50" t="s">
        <v>628</v>
      </c>
      <c r="T81" s="50" t="s">
        <v>1329</v>
      </c>
      <c r="U81" s="50" t="s">
        <v>590</v>
      </c>
      <c r="V81" s="53" t="s">
        <v>266</v>
      </c>
    </row>
    <row r="82" spans="1:22" ht="15" customHeight="1" x14ac:dyDescent="0.25">
      <c r="A82" s="50" t="s">
        <v>1419</v>
      </c>
      <c r="B82" s="50" t="s">
        <v>1420</v>
      </c>
      <c r="C82" s="50" t="s">
        <v>1244</v>
      </c>
      <c r="D82" s="50" t="s">
        <v>1250</v>
      </c>
      <c r="E82" s="50" t="s">
        <v>1306</v>
      </c>
      <c r="F82" s="50" t="s">
        <v>1269</v>
      </c>
      <c r="G82" s="51">
        <v>568.92999999999995</v>
      </c>
      <c r="H82" s="51">
        <v>617.09</v>
      </c>
      <c r="I82" s="51">
        <v>22.982600000000001</v>
      </c>
      <c r="J82" s="51">
        <v>53.3264</v>
      </c>
      <c r="K82" s="51">
        <v>10.813599999999999</v>
      </c>
      <c r="L82" s="51">
        <v>32.416400000000003</v>
      </c>
      <c r="M82" s="50">
        <v>5.75</v>
      </c>
      <c r="N82" s="51">
        <v>32.71</v>
      </c>
      <c r="O82" s="50">
        <v>0.218</v>
      </c>
      <c r="P82" s="51">
        <v>2490.41</v>
      </c>
      <c r="Q82" s="50">
        <f t="shared" si="2"/>
        <v>0.9</v>
      </c>
      <c r="R82" s="50" t="s">
        <v>587</v>
      </c>
      <c r="S82" s="50" t="s">
        <v>602</v>
      </c>
      <c r="T82" s="50" t="s">
        <v>1329</v>
      </c>
      <c r="U82" s="50" t="s">
        <v>590</v>
      </c>
      <c r="V82" s="53" t="s">
        <v>266</v>
      </c>
    </row>
    <row r="83" spans="1:22" ht="15" customHeight="1" x14ac:dyDescent="0.25">
      <c r="A83" s="50" t="s">
        <v>1421</v>
      </c>
      <c r="B83" s="50" t="s">
        <v>648</v>
      </c>
      <c r="C83" s="50" t="s">
        <v>1300</v>
      </c>
      <c r="D83" s="50" t="s">
        <v>1267</v>
      </c>
      <c r="E83" s="50" t="s">
        <v>1245</v>
      </c>
      <c r="F83" s="50" t="s">
        <v>1290</v>
      </c>
      <c r="G83" s="51">
        <v>459</v>
      </c>
      <c r="H83" s="51">
        <v>462.58</v>
      </c>
      <c r="I83" s="51">
        <v>9.4855999999999998</v>
      </c>
      <c r="J83" s="51">
        <v>22.6541</v>
      </c>
      <c r="K83" s="51">
        <v>9.8947000000000003</v>
      </c>
      <c r="L83" s="51">
        <v>13.553100000000001</v>
      </c>
      <c r="M83" s="50">
        <v>0.79</v>
      </c>
      <c r="N83" s="51">
        <v>3.63</v>
      </c>
      <c r="O83" s="50">
        <v>0.19900000000000001</v>
      </c>
      <c r="P83" s="51">
        <v>1528.99</v>
      </c>
      <c r="Q83" s="50">
        <f t="shared" si="2"/>
        <v>0.6</v>
      </c>
      <c r="R83" s="50" t="s">
        <v>587</v>
      </c>
      <c r="S83" s="50" t="s">
        <v>609</v>
      </c>
      <c r="T83" s="50" t="s">
        <v>1329</v>
      </c>
      <c r="U83" s="50" t="s">
        <v>590</v>
      </c>
      <c r="V83" s="53" t="s">
        <v>266</v>
      </c>
    </row>
    <row r="84" spans="1:22" ht="15" customHeight="1" x14ac:dyDescent="0.25">
      <c r="A84" s="50" t="s">
        <v>1422</v>
      </c>
      <c r="B84" s="50" t="s">
        <v>1423</v>
      </c>
      <c r="C84" s="50" t="s">
        <v>1250</v>
      </c>
      <c r="D84" s="50" t="s">
        <v>1267</v>
      </c>
      <c r="E84" s="50" t="s">
        <v>1268</v>
      </c>
      <c r="F84" s="50" t="s">
        <v>1290</v>
      </c>
      <c r="G84" s="51">
        <v>468.86</v>
      </c>
      <c r="H84" s="51">
        <v>522.84</v>
      </c>
      <c r="I84" s="51">
        <v>6.9977999999999998</v>
      </c>
      <c r="J84" s="51">
        <v>13.5136</v>
      </c>
      <c r="K84" s="51">
        <v>5.0351999999999997</v>
      </c>
      <c r="L84" s="51">
        <v>12.1463</v>
      </c>
      <c r="M84" s="50">
        <v>6.26</v>
      </c>
      <c r="N84" s="51">
        <v>29.35</v>
      </c>
      <c r="O84" s="50">
        <v>-0.59899999999999998</v>
      </c>
      <c r="P84" s="51">
        <v>812.38</v>
      </c>
      <c r="Q84" s="50">
        <f t="shared" si="2"/>
        <v>0.9</v>
      </c>
      <c r="R84" s="50" t="s">
        <v>587</v>
      </c>
      <c r="S84" s="50" t="s">
        <v>647</v>
      </c>
      <c r="T84" s="50" t="s">
        <v>1276</v>
      </c>
      <c r="U84" s="50" t="s">
        <v>590</v>
      </c>
      <c r="V84" s="53" t="s">
        <v>266</v>
      </c>
    </row>
    <row r="85" spans="1:22" ht="15" customHeight="1" x14ac:dyDescent="0.25">
      <c r="A85" s="50" t="s">
        <v>1424</v>
      </c>
      <c r="B85" s="50" t="s">
        <v>1065</v>
      </c>
      <c r="C85" s="50" t="s">
        <v>1250</v>
      </c>
      <c r="D85" s="50" t="s">
        <v>1279</v>
      </c>
      <c r="E85" s="50" t="s">
        <v>1275</v>
      </c>
      <c r="F85" s="50" t="s">
        <v>1295</v>
      </c>
      <c r="G85" s="51">
        <v>262.81</v>
      </c>
      <c r="H85" s="51">
        <v>284.64999999999998</v>
      </c>
      <c r="I85" s="51">
        <v>6.2709000000000001</v>
      </c>
      <c r="J85" s="51">
        <v>17.2805</v>
      </c>
      <c r="K85" s="51">
        <v>4.7897999999999996</v>
      </c>
      <c r="L85" s="51">
        <v>9.5516000000000005</v>
      </c>
      <c r="M85" s="50">
        <v>0.37</v>
      </c>
      <c r="N85" s="51">
        <v>0.97</v>
      </c>
      <c r="O85" s="50">
        <v>-0.65</v>
      </c>
      <c r="P85" s="51">
        <v>931.33</v>
      </c>
      <c r="Q85" s="50">
        <f t="shared" si="2"/>
        <v>0.7</v>
      </c>
      <c r="R85" s="50" t="s">
        <v>587</v>
      </c>
      <c r="S85" s="50" t="s">
        <v>628</v>
      </c>
      <c r="T85" s="50" t="s">
        <v>1276</v>
      </c>
      <c r="U85" s="50" t="s">
        <v>590</v>
      </c>
      <c r="V85" s="53" t="s">
        <v>266</v>
      </c>
    </row>
    <row r="86" spans="1:22" ht="15" customHeight="1" x14ac:dyDescent="0.25">
      <c r="A86" s="50" t="s">
        <v>1425</v>
      </c>
      <c r="B86" s="50" t="s">
        <v>1411</v>
      </c>
      <c r="C86" s="50" t="s">
        <v>1300</v>
      </c>
      <c r="D86" s="50" t="s">
        <v>1251</v>
      </c>
      <c r="E86" s="50" t="s">
        <v>1301</v>
      </c>
      <c r="F86" s="50" t="s">
        <v>1246</v>
      </c>
      <c r="G86" s="51">
        <v>671</v>
      </c>
      <c r="H86" s="51">
        <v>734.89</v>
      </c>
      <c r="I86" s="51">
        <v>42.928699999999999</v>
      </c>
      <c r="J86" s="51">
        <v>98.301299999999998</v>
      </c>
      <c r="K86" s="51">
        <v>41.012099999999997</v>
      </c>
      <c r="L86" s="51">
        <v>84.691599999999994</v>
      </c>
      <c r="M86" s="50">
        <v>8.58</v>
      </c>
      <c r="N86" s="51">
        <v>57.57</v>
      </c>
      <c r="O86" s="50">
        <v>0.54</v>
      </c>
      <c r="P86" s="51">
        <v>3050.64</v>
      </c>
      <c r="Q86" s="50">
        <f t="shared" si="2"/>
        <v>1.4</v>
      </c>
      <c r="R86" s="50" t="s">
        <v>587</v>
      </c>
      <c r="S86" s="50" t="s">
        <v>618</v>
      </c>
      <c r="T86" s="50" t="s">
        <v>1247</v>
      </c>
      <c r="U86" s="50" t="s">
        <v>590</v>
      </c>
      <c r="V86" s="53" t="s">
        <v>266</v>
      </c>
    </row>
    <row r="87" spans="1:22" ht="15" customHeight="1" x14ac:dyDescent="0.25">
      <c r="A87" s="50" t="s">
        <v>1426</v>
      </c>
      <c r="B87" s="50" t="s">
        <v>934</v>
      </c>
      <c r="C87" s="50" t="s">
        <v>1288</v>
      </c>
      <c r="D87" s="50" t="s">
        <v>1267</v>
      </c>
      <c r="E87" s="50" t="s">
        <v>1312</v>
      </c>
      <c r="F87" s="50" t="s">
        <v>1269</v>
      </c>
      <c r="G87" s="51">
        <v>202.74</v>
      </c>
      <c r="H87" s="51">
        <v>202.04</v>
      </c>
      <c r="I87" s="51">
        <v>11.4954</v>
      </c>
      <c r="J87" s="51">
        <v>21.432700000000001</v>
      </c>
      <c r="K87" s="51">
        <v>11.0464</v>
      </c>
      <c r="L87" s="51">
        <v>21.152999999999999</v>
      </c>
      <c r="M87" s="50">
        <v>6.36</v>
      </c>
      <c r="N87" s="51">
        <v>12.89</v>
      </c>
      <c r="O87" s="50">
        <v>-0.29399999999999998</v>
      </c>
      <c r="P87" s="51">
        <v>681.84</v>
      </c>
      <c r="Q87" s="50">
        <f t="shared" si="2"/>
        <v>1.7</v>
      </c>
      <c r="R87" s="50" t="s">
        <v>587</v>
      </c>
      <c r="S87" s="50" t="s">
        <v>586</v>
      </c>
      <c r="T87" s="50" t="s">
        <v>1332</v>
      </c>
      <c r="U87" s="50" t="s">
        <v>590</v>
      </c>
      <c r="V87" s="53" t="s">
        <v>266</v>
      </c>
    </row>
    <row r="88" spans="1:22" ht="15" customHeight="1" x14ac:dyDescent="0.25">
      <c r="A88" s="50" t="s">
        <v>1427</v>
      </c>
      <c r="B88" s="50" t="s">
        <v>1428</v>
      </c>
      <c r="C88" s="50" t="s">
        <v>1267</v>
      </c>
      <c r="D88" s="50" t="s">
        <v>1250</v>
      </c>
      <c r="E88" s="50" t="s">
        <v>1306</v>
      </c>
      <c r="F88" s="50" t="s">
        <v>1253</v>
      </c>
      <c r="G88" s="51">
        <v>580.12</v>
      </c>
      <c r="H88" s="51">
        <v>542.53</v>
      </c>
      <c r="I88" s="51">
        <v>35.669499999999999</v>
      </c>
      <c r="J88" s="51">
        <v>77.469399999999993</v>
      </c>
      <c r="K88" s="51">
        <v>24.356200000000001</v>
      </c>
      <c r="L88" s="51">
        <v>68.323300000000003</v>
      </c>
      <c r="M88" s="50">
        <v>4.26</v>
      </c>
      <c r="N88" s="51">
        <v>24.71</v>
      </c>
      <c r="O88" s="50">
        <v>0.89400000000000002</v>
      </c>
      <c r="P88" s="51">
        <v>2110.92</v>
      </c>
      <c r="Q88" s="50">
        <f t="shared" si="2"/>
        <v>1.7</v>
      </c>
      <c r="R88" s="50" t="s">
        <v>587</v>
      </c>
      <c r="S88" s="50" t="s">
        <v>609</v>
      </c>
      <c r="T88" s="50" t="s">
        <v>1281</v>
      </c>
      <c r="U88" s="50" t="s">
        <v>590</v>
      </c>
      <c r="V88" s="53" t="s">
        <v>266</v>
      </c>
    </row>
    <row r="89" spans="1:22" ht="15" customHeight="1" x14ac:dyDescent="0.25">
      <c r="A89" s="50" t="s">
        <v>1429</v>
      </c>
      <c r="B89" s="50" t="s">
        <v>577</v>
      </c>
      <c r="C89" s="50" t="s">
        <v>1244</v>
      </c>
      <c r="D89" s="50" t="s">
        <v>1292</v>
      </c>
      <c r="E89" s="50" t="s">
        <v>1245</v>
      </c>
      <c r="F89" s="50" t="s">
        <v>1295</v>
      </c>
      <c r="G89" s="51">
        <v>168.54</v>
      </c>
      <c r="H89" s="51">
        <v>161.88999999999999</v>
      </c>
      <c r="I89" s="51">
        <v>3.8014000000000001</v>
      </c>
      <c r="J89" s="51">
        <v>8.9040999999999997</v>
      </c>
      <c r="K89" s="51">
        <v>1.9950000000000001</v>
      </c>
      <c r="L89" s="51">
        <v>4.8860999999999999</v>
      </c>
      <c r="M89" s="50">
        <v>13.83</v>
      </c>
      <c r="N89" s="51">
        <v>23.31</v>
      </c>
      <c r="O89" s="50">
        <v>0.35199999999999998</v>
      </c>
      <c r="P89" s="51">
        <v>618.74</v>
      </c>
      <c r="Q89" s="50">
        <f t="shared" si="2"/>
        <v>0.6</v>
      </c>
      <c r="R89" s="50" t="s">
        <v>587</v>
      </c>
      <c r="S89" s="50" t="s">
        <v>716</v>
      </c>
      <c r="T89" s="50" t="s">
        <v>1285</v>
      </c>
      <c r="U89" s="50" t="s">
        <v>590</v>
      </c>
      <c r="V89" s="53" t="s">
        <v>266</v>
      </c>
    </row>
    <row r="90" spans="1:22" ht="15" customHeight="1" x14ac:dyDescent="0.25">
      <c r="A90" s="50" t="s">
        <v>1430</v>
      </c>
      <c r="B90" s="50" t="s">
        <v>1431</v>
      </c>
      <c r="C90" s="50" t="s">
        <v>1243</v>
      </c>
      <c r="D90" s="50" t="s">
        <v>1289</v>
      </c>
      <c r="E90" s="50" t="s">
        <v>1268</v>
      </c>
      <c r="F90" s="50" t="s">
        <v>1246</v>
      </c>
      <c r="G90" s="51">
        <v>241.33</v>
      </c>
      <c r="H90" s="51">
        <v>265.37</v>
      </c>
      <c r="I90" s="51">
        <v>16.617799999999999</v>
      </c>
      <c r="J90" s="51">
        <v>38.045200000000001</v>
      </c>
      <c r="K90" s="51">
        <v>10.2995</v>
      </c>
      <c r="L90" s="51">
        <v>22.372499999999999</v>
      </c>
      <c r="M90" s="50">
        <v>11.53</v>
      </c>
      <c r="N90" s="51">
        <v>27.83</v>
      </c>
      <c r="O90" s="50">
        <v>2.1999999999999999E-2</v>
      </c>
      <c r="P90" s="51">
        <v>767.6</v>
      </c>
      <c r="Q90" s="50">
        <f t="shared" si="2"/>
        <v>2.2000000000000002</v>
      </c>
      <c r="R90" s="50" t="s">
        <v>587</v>
      </c>
      <c r="S90" s="50" t="s">
        <v>638</v>
      </c>
      <c r="T90" s="50" t="s">
        <v>1264</v>
      </c>
      <c r="U90" s="50" t="s">
        <v>590</v>
      </c>
      <c r="V90" s="53" t="s">
        <v>266</v>
      </c>
    </row>
    <row r="91" spans="1:22" ht="15" customHeight="1" x14ac:dyDescent="0.25">
      <c r="A91" s="50" t="s">
        <v>1432</v>
      </c>
      <c r="B91" s="50" t="s">
        <v>1433</v>
      </c>
      <c r="C91" s="50" t="s">
        <v>1243</v>
      </c>
      <c r="D91" s="50" t="s">
        <v>1250</v>
      </c>
      <c r="E91" s="50" t="s">
        <v>1312</v>
      </c>
      <c r="F91" s="50" t="s">
        <v>1246</v>
      </c>
      <c r="G91" s="51">
        <v>51.82</v>
      </c>
      <c r="H91" s="51">
        <v>51.27</v>
      </c>
      <c r="I91" s="51">
        <v>3.1450999999999998</v>
      </c>
      <c r="J91" s="51">
        <v>7.9604999999999997</v>
      </c>
      <c r="K91" s="51">
        <v>2.4083999999999999</v>
      </c>
      <c r="L91" s="51">
        <v>4.077</v>
      </c>
      <c r="M91" s="50">
        <v>7.92</v>
      </c>
      <c r="N91" s="51">
        <v>4.0999999999999996</v>
      </c>
      <c r="O91" s="50">
        <v>-0.36899999999999999</v>
      </c>
      <c r="P91" s="51">
        <v>78.42</v>
      </c>
      <c r="Q91" s="50">
        <f t="shared" si="2"/>
        <v>4</v>
      </c>
      <c r="R91" s="50" t="s">
        <v>587</v>
      </c>
      <c r="S91" s="50" t="s">
        <v>609</v>
      </c>
      <c r="T91" s="50" t="s">
        <v>1260</v>
      </c>
      <c r="U91" s="50" t="s">
        <v>590</v>
      </c>
      <c r="V91" s="53" t="s">
        <v>266</v>
      </c>
    </row>
    <row r="92" spans="1:22" ht="15" customHeight="1" x14ac:dyDescent="0.25">
      <c r="A92" s="50" t="s">
        <v>1434</v>
      </c>
      <c r="B92" s="50" t="s">
        <v>1297</v>
      </c>
      <c r="C92" s="50" t="s">
        <v>1300</v>
      </c>
      <c r="D92" s="50" t="s">
        <v>1251</v>
      </c>
      <c r="E92" s="50" t="s">
        <v>1275</v>
      </c>
      <c r="F92" s="50" t="s">
        <v>1295</v>
      </c>
      <c r="G92" s="51">
        <v>155.38999999999999</v>
      </c>
      <c r="H92" s="51">
        <v>151.13</v>
      </c>
      <c r="I92" s="51">
        <v>3.7334000000000001</v>
      </c>
      <c r="J92" s="51">
        <v>10.2677</v>
      </c>
      <c r="K92" s="51">
        <v>2.5181</v>
      </c>
      <c r="L92" s="51">
        <v>5.0293999999999999</v>
      </c>
      <c r="M92" s="50">
        <v>6.53</v>
      </c>
      <c r="N92" s="51">
        <v>10.15</v>
      </c>
      <c r="O92" s="50">
        <v>-0.16200000000000001</v>
      </c>
      <c r="P92" s="51">
        <v>624.57000000000005</v>
      </c>
      <c r="Q92" s="50">
        <f t="shared" si="2"/>
        <v>0.6</v>
      </c>
      <c r="R92" s="50" t="s">
        <v>587</v>
      </c>
      <c r="S92" s="50" t="s">
        <v>575</v>
      </c>
      <c r="T92" s="50" t="s">
        <v>1260</v>
      </c>
      <c r="U92" s="50" t="s">
        <v>590</v>
      </c>
      <c r="V92" s="53" t="s">
        <v>266</v>
      </c>
    </row>
    <row r="93" spans="1:22" ht="15" customHeight="1" x14ac:dyDescent="0.25">
      <c r="A93" s="50" t="s">
        <v>1435</v>
      </c>
      <c r="B93" s="50" t="s">
        <v>1436</v>
      </c>
      <c r="C93" s="50" t="s">
        <v>1273</v>
      </c>
      <c r="D93" s="50" t="s">
        <v>1274</v>
      </c>
      <c r="E93" s="50" t="s">
        <v>1275</v>
      </c>
      <c r="F93" s="50" t="s">
        <v>1290</v>
      </c>
      <c r="G93" s="51">
        <v>686.11</v>
      </c>
      <c r="H93" s="51">
        <v>725.36</v>
      </c>
      <c r="I93" s="51">
        <v>42.418900000000001</v>
      </c>
      <c r="J93" s="51">
        <v>104.5617</v>
      </c>
      <c r="K93" s="51">
        <v>44.254399999999997</v>
      </c>
      <c r="L93" s="51">
        <v>69.748199999999997</v>
      </c>
      <c r="M93" s="50">
        <v>12.89</v>
      </c>
      <c r="N93" s="51">
        <v>88.44</v>
      </c>
      <c r="O93" s="50">
        <v>-0.60799999999999998</v>
      </c>
      <c r="P93" s="51">
        <v>3119.14</v>
      </c>
      <c r="Q93" s="50">
        <f t="shared" si="2"/>
        <v>1.4</v>
      </c>
      <c r="R93" s="50" t="s">
        <v>587</v>
      </c>
      <c r="S93" s="50" t="s">
        <v>638</v>
      </c>
      <c r="T93" s="50" t="s">
        <v>1281</v>
      </c>
      <c r="U93" s="50" t="s">
        <v>590</v>
      </c>
      <c r="V93" s="53" t="s">
        <v>266</v>
      </c>
    </row>
    <row r="94" spans="1:22" ht="15" customHeight="1" x14ac:dyDescent="0.25">
      <c r="A94" s="50" t="s">
        <v>1437</v>
      </c>
      <c r="B94" s="50" t="s">
        <v>629</v>
      </c>
      <c r="C94" s="50" t="s">
        <v>1244</v>
      </c>
      <c r="D94" s="50" t="s">
        <v>1250</v>
      </c>
      <c r="E94" s="50" t="s">
        <v>1312</v>
      </c>
      <c r="F94" s="50" t="s">
        <v>1290</v>
      </c>
      <c r="G94" s="51">
        <v>697.03</v>
      </c>
      <c r="H94" s="51">
        <v>759.68</v>
      </c>
      <c r="I94" s="51">
        <v>30.428599999999999</v>
      </c>
      <c r="J94" s="51">
        <v>74.996499999999997</v>
      </c>
      <c r="K94" s="51">
        <v>31.288699999999999</v>
      </c>
      <c r="L94" s="51">
        <v>43.817999999999998</v>
      </c>
      <c r="M94" s="50">
        <v>8.56</v>
      </c>
      <c r="N94" s="51">
        <v>59.67</v>
      </c>
      <c r="O94" s="50">
        <v>0.13600000000000001</v>
      </c>
      <c r="P94" s="51">
        <v>2198.8200000000002</v>
      </c>
      <c r="Q94" s="50">
        <f t="shared" si="2"/>
        <v>1.4</v>
      </c>
      <c r="R94" s="50" t="s">
        <v>587</v>
      </c>
      <c r="S94" s="50" t="s">
        <v>638</v>
      </c>
      <c r="T94" s="50" t="s">
        <v>1264</v>
      </c>
      <c r="U94" s="50" t="s">
        <v>590</v>
      </c>
      <c r="V94" s="53" t="s">
        <v>266</v>
      </c>
    </row>
    <row r="95" spans="1:22" ht="15" customHeight="1" x14ac:dyDescent="0.25">
      <c r="A95" s="50" t="s">
        <v>1438</v>
      </c>
      <c r="B95" s="50" t="s">
        <v>731</v>
      </c>
      <c r="C95" s="50" t="s">
        <v>1243</v>
      </c>
      <c r="D95" s="50" t="s">
        <v>1284</v>
      </c>
      <c r="E95" s="50" t="s">
        <v>1312</v>
      </c>
      <c r="F95" s="50" t="s">
        <v>1253</v>
      </c>
      <c r="G95" s="51">
        <v>94.52</v>
      </c>
      <c r="H95" s="51">
        <v>101.03</v>
      </c>
      <c r="I95" s="51">
        <v>2.4354</v>
      </c>
      <c r="J95" s="51">
        <v>4.9496000000000002</v>
      </c>
      <c r="K95" s="51">
        <v>2.0602999999999998</v>
      </c>
      <c r="L95" s="51">
        <v>4.5007000000000001</v>
      </c>
      <c r="M95" s="50">
        <v>5.36</v>
      </c>
      <c r="N95" s="51">
        <v>5.07</v>
      </c>
      <c r="O95" s="50">
        <v>-0.17599999999999999</v>
      </c>
      <c r="P95" s="51">
        <v>275.69</v>
      </c>
      <c r="Q95" s="50">
        <f t="shared" si="2"/>
        <v>0.9</v>
      </c>
      <c r="R95" s="50" t="s">
        <v>587</v>
      </c>
      <c r="S95" s="50" t="s">
        <v>609</v>
      </c>
      <c r="T95" s="50" t="s">
        <v>1329</v>
      </c>
      <c r="U95" s="50" t="s">
        <v>590</v>
      </c>
      <c r="V95" s="53" t="s">
        <v>266</v>
      </c>
    </row>
    <row r="96" spans="1:22" ht="15" customHeight="1" x14ac:dyDescent="0.25">
      <c r="A96" s="50" t="s">
        <v>1439</v>
      </c>
      <c r="B96" s="50" t="s">
        <v>1440</v>
      </c>
      <c r="C96" s="50" t="s">
        <v>1243</v>
      </c>
      <c r="D96" s="50" t="s">
        <v>1284</v>
      </c>
      <c r="E96" s="50" t="s">
        <v>1268</v>
      </c>
      <c r="F96" s="50" t="s">
        <v>1295</v>
      </c>
      <c r="G96" s="51">
        <v>481.04</v>
      </c>
      <c r="H96" s="51">
        <v>489.46</v>
      </c>
      <c r="I96" s="51">
        <v>26.2667</v>
      </c>
      <c r="J96" s="51">
        <v>70.067999999999998</v>
      </c>
      <c r="K96" s="51">
        <v>18.514299999999999</v>
      </c>
      <c r="L96" s="51">
        <v>37.540900000000001</v>
      </c>
      <c r="M96" s="50">
        <v>9.59</v>
      </c>
      <c r="N96" s="51">
        <v>46.13</v>
      </c>
      <c r="O96" s="50">
        <v>-0.71</v>
      </c>
      <c r="P96" s="51">
        <v>1021.27</v>
      </c>
      <c r="Q96" s="50">
        <f t="shared" si="2"/>
        <v>2.6</v>
      </c>
      <c r="R96" s="50" t="s">
        <v>587</v>
      </c>
      <c r="S96" s="50" t="s">
        <v>575</v>
      </c>
      <c r="T96" s="50" t="s">
        <v>1260</v>
      </c>
      <c r="U96" s="50" t="s">
        <v>590</v>
      </c>
      <c r="V96" s="53" t="s">
        <v>266</v>
      </c>
    </row>
    <row r="97" spans="1:22" ht="15" customHeight="1" x14ac:dyDescent="0.25">
      <c r="A97" s="50" t="s">
        <v>1441</v>
      </c>
      <c r="B97" s="50" t="s">
        <v>1442</v>
      </c>
      <c r="C97" s="50" t="s">
        <v>1243</v>
      </c>
      <c r="D97" s="50" t="s">
        <v>1244</v>
      </c>
      <c r="E97" s="50" t="s">
        <v>1301</v>
      </c>
      <c r="F97" s="50" t="s">
        <v>1290</v>
      </c>
      <c r="G97" s="51">
        <v>260.23</v>
      </c>
      <c r="H97" s="51">
        <v>255.73</v>
      </c>
      <c r="I97" s="51">
        <v>12.3995</v>
      </c>
      <c r="J97" s="51">
        <v>30.41</v>
      </c>
      <c r="K97" s="51">
        <v>10.965</v>
      </c>
      <c r="L97" s="51">
        <v>18.802199999999999</v>
      </c>
      <c r="M97" s="50">
        <v>13.35</v>
      </c>
      <c r="N97" s="51">
        <v>34.74</v>
      </c>
      <c r="O97" s="50">
        <v>0.56200000000000006</v>
      </c>
      <c r="P97" s="51">
        <v>1223.8499999999999</v>
      </c>
      <c r="Q97" s="50">
        <f t="shared" si="2"/>
        <v>1</v>
      </c>
      <c r="R97" s="50" t="s">
        <v>587</v>
      </c>
      <c r="S97" s="50" t="s">
        <v>628</v>
      </c>
      <c r="T97" s="50" t="s">
        <v>1281</v>
      </c>
      <c r="U97" s="50" t="s">
        <v>590</v>
      </c>
      <c r="V97" s="53" t="s">
        <v>266</v>
      </c>
    </row>
    <row r="98" spans="1:22" ht="15" customHeight="1" x14ac:dyDescent="0.25">
      <c r="A98" s="50" t="s">
        <v>1443</v>
      </c>
      <c r="B98" s="50" t="s">
        <v>1444</v>
      </c>
      <c r="C98" s="50" t="s">
        <v>1244</v>
      </c>
      <c r="D98" s="50" t="s">
        <v>1274</v>
      </c>
      <c r="E98" s="50" t="s">
        <v>1245</v>
      </c>
      <c r="F98" s="50" t="s">
        <v>1269</v>
      </c>
      <c r="G98" s="51">
        <v>113.78</v>
      </c>
      <c r="H98" s="51">
        <v>110.02</v>
      </c>
      <c r="I98" s="51">
        <v>2.5966999999999998</v>
      </c>
      <c r="J98" s="51">
        <v>6.4726999999999997</v>
      </c>
      <c r="K98" s="51">
        <v>2.5962000000000001</v>
      </c>
      <c r="L98" s="51">
        <v>3.5535000000000001</v>
      </c>
      <c r="M98" s="50">
        <v>6.14</v>
      </c>
      <c r="N98" s="51">
        <v>6.99</v>
      </c>
      <c r="O98" s="50">
        <v>-0.80900000000000005</v>
      </c>
      <c r="P98" s="51">
        <v>525.76</v>
      </c>
      <c r="Q98" s="50">
        <f t="shared" si="2"/>
        <v>0.5</v>
      </c>
      <c r="R98" s="50" t="s">
        <v>587</v>
      </c>
      <c r="S98" s="50" t="s">
        <v>618</v>
      </c>
      <c r="T98" s="50" t="s">
        <v>1285</v>
      </c>
      <c r="U98" s="50" t="s">
        <v>590</v>
      </c>
      <c r="V98" s="53" t="s">
        <v>266</v>
      </c>
    </row>
    <row r="99" spans="1:22" ht="15" customHeight="1" x14ac:dyDescent="0.25">
      <c r="A99" s="50" t="s">
        <v>1445</v>
      </c>
      <c r="B99" s="50" t="s">
        <v>1350</v>
      </c>
      <c r="C99" s="50" t="s">
        <v>1267</v>
      </c>
      <c r="D99" s="50" t="s">
        <v>1250</v>
      </c>
      <c r="E99" s="50" t="s">
        <v>1275</v>
      </c>
      <c r="F99" s="50" t="s">
        <v>1269</v>
      </c>
      <c r="G99" s="51">
        <v>99.63</v>
      </c>
      <c r="H99" s="51">
        <v>103.98</v>
      </c>
      <c r="I99" s="51">
        <v>1.3754</v>
      </c>
      <c r="J99" s="51">
        <v>3.7382</v>
      </c>
      <c r="K99" s="51">
        <v>0.97909999999999997</v>
      </c>
      <c r="L99" s="51">
        <v>1.9028</v>
      </c>
      <c r="M99" s="50">
        <v>11.14</v>
      </c>
      <c r="N99" s="51">
        <v>11.1</v>
      </c>
      <c r="O99" s="50">
        <v>-0.114</v>
      </c>
      <c r="P99" s="51">
        <v>201.98</v>
      </c>
      <c r="Q99" s="50">
        <f t="shared" ref="Q99:Q130" si="3">ROUND(I99/P99*100,1)</f>
        <v>0.7</v>
      </c>
      <c r="R99" s="50" t="s">
        <v>587</v>
      </c>
      <c r="S99" s="50" t="s">
        <v>628</v>
      </c>
      <c r="T99" s="50" t="s">
        <v>1254</v>
      </c>
      <c r="U99" s="50" t="s">
        <v>590</v>
      </c>
      <c r="V99" s="53" t="s">
        <v>266</v>
      </c>
    </row>
    <row r="100" spans="1:22" ht="15" customHeight="1" x14ac:dyDescent="0.25">
      <c r="A100" s="50" t="s">
        <v>1446</v>
      </c>
      <c r="B100" s="50" t="s">
        <v>1447</v>
      </c>
      <c r="C100" s="50" t="s">
        <v>1267</v>
      </c>
      <c r="D100" s="50" t="s">
        <v>1251</v>
      </c>
      <c r="E100" s="50" t="s">
        <v>1245</v>
      </c>
      <c r="F100" s="50" t="s">
        <v>1295</v>
      </c>
      <c r="G100" s="51">
        <v>609.04</v>
      </c>
      <c r="H100" s="51">
        <v>617.22</v>
      </c>
      <c r="I100" s="51">
        <v>38.265000000000001</v>
      </c>
      <c r="J100" s="51">
        <v>104.1508</v>
      </c>
      <c r="K100" s="51">
        <v>32.098100000000002</v>
      </c>
      <c r="L100" s="51">
        <v>50.054099999999998</v>
      </c>
      <c r="M100" s="50">
        <v>14.24</v>
      </c>
      <c r="N100" s="51">
        <v>86.73</v>
      </c>
      <c r="O100" s="50">
        <v>7.9000000000000001E-2</v>
      </c>
      <c r="P100" s="51">
        <v>2202.1799999999998</v>
      </c>
      <c r="Q100" s="50">
        <f t="shared" si="3"/>
        <v>1.7</v>
      </c>
      <c r="R100" s="50" t="s">
        <v>587</v>
      </c>
      <c r="S100" s="50" t="s">
        <v>618</v>
      </c>
      <c r="T100" s="50" t="s">
        <v>1247</v>
      </c>
      <c r="U100" s="50" t="s">
        <v>590</v>
      </c>
      <c r="V100" s="53" t="s">
        <v>266</v>
      </c>
    </row>
    <row r="101" spans="1:22" ht="15" customHeight="1" x14ac:dyDescent="0.25">
      <c r="A101" s="50" t="s">
        <v>1448</v>
      </c>
      <c r="B101" s="50" t="s">
        <v>1449</v>
      </c>
      <c r="C101" s="50" t="s">
        <v>1288</v>
      </c>
      <c r="D101" s="50" t="s">
        <v>1279</v>
      </c>
      <c r="E101" s="50" t="s">
        <v>1268</v>
      </c>
      <c r="F101" s="50" t="s">
        <v>1295</v>
      </c>
      <c r="G101" s="51">
        <v>352.71</v>
      </c>
      <c r="H101" s="51">
        <v>340.52</v>
      </c>
      <c r="I101" s="51">
        <v>4.6147999999999998</v>
      </c>
      <c r="J101" s="51">
        <v>9.0885999999999996</v>
      </c>
      <c r="K101" s="51">
        <v>3.3677000000000001</v>
      </c>
      <c r="L101" s="51">
        <v>6.1125999999999996</v>
      </c>
      <c r="M101" s="50">
        <v>0.46</v>
      </c>
      <c r="N101" s="51">
        <v>1.62</v>
      </c>
      <c r="O101" s="50">
        <v>4.7E-2</v>
      </c>
      <c r="P101" s="51">
        <v>1414.53</v>
      </c>
      <c r="Q101" s="50">
        <f t="shared" si="3"/>
        <v>0.3</v>
      </c>
      <c r="R101" s="50" t="s">
        <v>587</v>
      </c>
      <c r="S101" s="50" t="s">
        <v>638</v>
      </c>
      <c r="T101" s="50" t="s">
        <v>1257</v>
      </c>
      <c r="U101" s="50" t="s">
        <v>590</v>
      </c>
      <c r="V101" s="53" t="s">
        <v>266</v>
      </c>
    </row>
    <row r="102" spans="1:22" ht="15" customHeight="1" x14ac:dyDescent="0.25">
      <c r="A102" s="50" t="s">
        <v>1450</v>
      </c>
      <c r="B102" s="50" t="s">
        <v>1451</v>
      </c>
      <c r="C102" s="50" t="s">
        <v>1273</v>
      </c>
      <c r="D102" s="50" t="s">
        <v>1279</v>
      </c>
      <c r="E102" s="50" t="s">
        <v>1301</v>
      </c>
      <c r="F102" s="50" t="s">
        <v>1253</v>
      </c>
      <c r="G102" s="51">
        <v>647.79999999999995</v>
      </c>
      <c r="H102" s="51">
        <v>718.66</v>
      </c>
      <c r="I102" s="51">
        <v>27.0059</v>
      </c>
      <c r="J102" s="51">
        <v>43.505400000000002</v>
      </c>
      <c r="K102" s="51">
        <v>20.101800000000001</v>
      </c>
      <c r="L102" s="51">
        <v>38.735599999999998</v>
      </c>
      <c r="M102" s="50">
        <v>3.7</v>
      </c>
      <c r="N102" s="51">
        <v>23.97</v>
      </c>
      <c r="O102" s="50">
        <v>-0.98599999999999999</v>
      </c>
      <c r="P102" s="51">
        <v>2017.82</v>
      </c>
      <c r="Q102" s="50">
        <f t="shared" si="3"/>
        <v>1.3</v>
      </c>
      <c r="R102" s="50" t="s">
        <v>587</v>
      </c>
      <c r="S102" s="50" t="s">
        <v>602</v>
      </c>
      <c r="T102" s="50" t="s">
        <v>1285</v>
      </c>
      <c r="U102" s="50" t="s">
        <v>590</v>
      </c>
      <c r="V102" s="53" t="s">
        <v>266</v>
      </c>
    </row>
    <row r="103" spans="1:22" ht="15" customHeight="1" x14ac:dyDescent="0.25">
      <c r="A103" s="50" t="s">
        <v>1452</v>
      </c>
      <c r="B103" s="50" t="s">
        <v>1453</v>
      </c>
      <c r="C103" s="50" t="s">
        <v>1273</v>
      </c>
      <c r="D103" s="50" t="s">
        <v>1292</v>
      </c>
      <c r="E103" s="50" t="s">
        <v>1252</v>
      </c>
      <c r="F103" s="50" t="s">
        <v>1253</v>
      </c>
      <c r="G103" s="51">
        <v>523.87</v>
      </c>
      <c r="H103" s="51">
        <v>522.79</v>
      </c>
      <c r="I103" s="51">
        <v>16.446000000000002</v>
      </c>
      <c r="J103" s="51">
        <v>31.503599999999999</v>
      </c>
      <c r="K103" s="51">
        <v>12.133699999999999</v>
      </c>
      <c r="L103" s="51">
        <v>22.8871</v>
      </c>
      <c r="M103" s="50">
        <v>11.54</v>
      </c>
      <c r="N103" s="51">
        <v>60.45</v>
      </c>
      <c r="O103" s="50">
        <v>0.82</v>
      </c>
      <c r="P103" s="51">
        <v>2261.86</v>
      </c>
      <c r="Q103" s="50">
        <f t="shared" si="3"/>
        <v>0.7</v>
      </c>
      <c r="R103" s="50" t="s">
        <v>587</v>
      </c>
      <c r="S103" s="50" t="s">
        <v>586</v>
      </c>
      <c r="T103" s="50" t="s">
        <v>1315</v>
      </c>
      <c r="U103" s="50" t="s">
        <v>590</v>
      </c>
      <c r="V103" s="53" t="s">
        <v>266</v>
      </c>
    </row>
    <row r="104" spans="1:22" ht="15" customHeight="1" x14ac:dyDescent="0.25">
      <c r="A104" s="50" t="s">
        <v>1454</v>
      </c>
      <c r="B104" s="50" t="s">
        <v>1115</v>
      </c>
      <c r="C104" s="50" t="s">
        <v>1243</v>
      </c>
      <c r="D104" s="50" t="s">
        <v>1284</v>
      </c>
      <c r="E104" s="50" t="s">
        <v>1312</v>
      </c>
      <c r="F104" s="50" t="s">
        <v>1290</v>
      </c>
      <c r="G104" s="51">
        <v>601.83000000000004</v>
      </c>
      <c r="H104" s="51">
        <v>575.64</v>
      </c>
      <c r="I104" s="51">
        <v>14.9407</v>
      </c>
      <c r="J104" s="51">
        <v>35.323900000000002</v>
      </c>
      <c r="K104" s="51">
        <v>13.3597</v>
      </c>
      <c r="L104" s="51">
        <v>21.1815</v>
      </c>
      <c r="M104" s="50">
        <v>9.4499999999999993</v>
      </c>
      <c r="N104" s="51">
        <v>56.87</v>
      </c>
      <c r="O104" s="50">
        <v>-0.624</v>
      </c>
      <c r="P104" s="51">
        <v>902.54</v>
      </c>
      <c r="Q104" s="50">
        <f t="shared" si="3"/>
        <v>1.7</v>
      </c>
      <c r="R104" s="50" t="s">
        <v>587</v>
      </c>
      <c r="S104" s="50" t="s">
        <v>716</v>
      </c>
      <c r="T104" s="50" t="s">
        <v>1285</v>
      </c>
      <c r="U104" s="50" t="s">
        <v>590</v>
      </c>
      <c r="V104" s="53" t="s">
        <v>266</v>
      </c>
    </row>
    <row r="105" spans="1:22" ht="15" customHeight="1" x14ac:dyDescent="0.25">
      <c r="A105" s="50" t="s">
        <v>1455</v>
      </c>
      <c r="B105" s="50" t="s">
        <v>717</v>
      </c>
      <c r="C105" s="50" t="s">
        <v>1244</v>
      </c>
      <c r="D105" s="50" t="s">
        <v>1244</v>
      </c>
      <c r="E105" s="50" t="s">
        <v>1268</v>
      </c>
      <c r="F105" s="50" t="s">
        <v>1295</v>
      </c>
      <c r="G105" s="51">
        <v>113.78</v>
      </c>
      <c r="H105" s="51">
        <v>114.65</v>
      </c>
      <c r="I105" s="51">
        <v>0.97550000000000003</v>
      </c>
      <c r="J105" s="51">
        <v>1.6664000000000001</v>
      </c>
      <c r="K105" s="51">
        <v>0.4017</v>
      </c>
      <c r="L105" s="51">
        <v>1.3401000000000001</v>
      </c>
      <c r="M105" s="50">
        <v>6.48</v>
      </c>
      <c r="N105" s="51">
        <v>7.37</v>
      </c>
      <c r="O105" s="50">
        <v>0.57099999999999995</v>
      </c>
      <c r="P105" s="51">
        <v>371.97</v>
      </c>
      <c r="Q105" s="50">
        <f t="shared" si="3"/>
        <v>0.3</v>
      </c>
      <c r="R105" s="50" t="s">
        <v>587</v>
      </c>
      <c r="S105" s="50" t="s">
        <v>575</v>
      </c>
      <c r="T105" s="50" t="s">
        <v>1281</v>
      </c>
      <c r="U105" s="50" t="s">
        <v>590</v>
      </c>
      <c r="V105" s="53" t="s">
        <v>266</v>
      </c>
    </row>
    <row r="106" spans="1:22" ht="15" customHeight="1" x14ac:dyDescent="0.25">
      <c r="A106" s="50" t="s">
        <v>1456</v>
      </c>
      <c r="B106" s="50" t="s">
        <v>1457</v>
      </c>
      <c r="C106" s="50" t="s">
        <v>1300</v>
      </c>
      <c r="D106" s="50" t="s">
        <v>1244</v>
      </c>
      <c r="E106" s="50" t="s">
        <v>1245</v>
      </c>
      <c r="F106" s="50" t="s">
        <v>1290</v>
      </c>
      <c r="G106" s="51">
        <v>67.55</v>
      </c>
      <c r="H106" s="51">
        <v>72.63</v>
      </c>
      <c r="I106" s="51">
        <v>0.90249999999999997</v>
      </c>
      <c r="J106" s="51">
        <v>1.9532</v>
      </c>
      <c r="K106" s="51">
        <v>0.49980000000000002</v>
      </c>
      <c r="L106" s="51">
        <v>1.6906000000000001</v>
      </c>
      <c r="M106" s="50">
        <v>12.31</v>
      </c>
      <c r="N106" s="51">
        <v>8.32</v>
      </c>
      <c r="O106" s="50">
        <v>0.65700000000000003</v>
      </c>
      <c r="P106" s="51">
        <v>139.94999999999999</v>
      </c>
      <c r="Q106" s="50">
        <f t="shared" si="3"/>
        <v>0.6</v>
      </c>
      <c r="R106" s="50" t="s">
        <v>587</v>
      </c>
      <c r="S106" s="50" t="s">
        <v>609</v>
      </c>
      <c r="T106" s="50" t="s">
        <v>1260</v>
      </c>
      <c r="U106" s="50" t="s">
        <v>590</v>
      </c>
      <c r="V106" s="53" t="s">
        <v>266</v>
      </c>
    </row>
    <row r="107" spans="1:22" ht="15" customHeight="1" x14ac:dyDescent="0.25">
      <c r="A107" s="50" t="s">
        <v>1458</v>
      </c>
      <c r="B107" s="50" t="s">
        <v>1459</v>
      </c>
      <c r="C107" s="50" t="s">
        <v>1244</v>
      </c>
      <c r="D107" s="50" t="s">
        <v>1267</v>
      </c>
      <c r="E107" s="50" t="s">
        <v>1252</v>
      </c>
      <c r="F107" s="50" t="s">
        <v>1263</v>
      </c>
      <c r="G107" s="51">
        <v>522.66999999999996</v>
      </c>
      <c r="H107" s="51">
        <v>490.68</v>
      </c>
      <c r="I107" s="51">
        <v>24.186800000000002</v>
      </c>
      <c r="J107" s="51">
        <v>44.748899999999999</v>
      </c>
      <c r="K107" s="51">
        <v>17.204000000000001</v>
      </c>
      <c r="L107" s="51">
        <v>47.623100000000001</v>
      </c>
      <c r="M107" s="50">
        <v>14.06</v>
      </c>
      <c r="N107" s="51">
        <v>73.489999999999995</v>
      </c>
      <c r="O107" s="50">
        <v>-0.68300000000000005</v>
      </c>
      <c r="P107" s="51">
        <v>1986.68</v>
      </c>
      <c r="Q107" s="50">
        <f t="shared" si="3"/>
        <v>1.2</v>
      </c>
      <c r="R107" s="50" t="s">
        <v>587</v>
      </c>
      <c r="S107" s="50" t="s">
        <v>628</v>
      </c>
      <c r="T107" s="50" t="s">
        <v>1285</v>
      </c>
      <c r="U107" s="50" t="s">
        <v>590</v>
      </c>
      <c r="V107" s="53" t="s">
        <v>266</v>
      </c>
    </row>
    <row r="108" spans="1:22" ht="15" customHeight="1" x14ac:dyDescent="0.25">
      <c r="A108" s="50" t="s">
        <v>1460</v>
      </c>
      <c r="B108" s="50" t="s">
        <v>703</v>
      </c>
      <c r="C108" s="50" t="s">
        <v>1300</v>
      </c>
      <c r="D108" s="50" t="s">
        <v>1289</v>
      </c>
      <c r="E108" s="50" t="s">
        <v>1306</v>
      </c>
      <c r="F108" s="50" t="s">
        <v>1295</v>
      </c>
      <c r="G108" s="51">
        <v>163.13999999999999</v>
      </c>
      <c r="H108" s="51">
        <v>179.05</v>
      </c>
      <c r="I108" s="51">
        <v>11.02</v>
      </c>
      <c r="J108" s="51">
        <v>20.512</v>
      </c>
      <c r="K108" s="51">
        <v>5.4036</v>
      </c>
      <c r="L108" s="51">
        <v>18.803699999999999</v>
      </c>
      <c r="M108" s="50">
        <v>5.07</v>
      </c>
      <c r="N108" s="51">
        <v>8.27</v>
      </c>
      <c r="O108" s="50">
        <v>-0.66500000000000004</v>
      </c>
      <c r="P108" s="51">
        <v>441.6</v>
      </c>
      <c r="Q108" s="50">
        <f t="shared" si="3"/>
        <v>2.5</v>
      </c>
      <c r="R108" s="50" t="s">
        <v>587</v>
      </c>
      <c r="S108" s="50" t="s">
        <v>647</v>
      </c>
      <c r="T108" s="50" t="s">
        <v>1260</v>
      </c>
      <c r="U108" s="50" t="s">
        <v>590</v>
      </c>
      <c r="V108" s="53" t="s">
        <v>266</v>
      </c>
    </row>
    <row r="109" spans="1:22" ht="15" customHeight="1" x14ac:dyDescent="0.25">
      <c r="A109" s="50" t="s">
        <v>1461</v>
      </c>
      <c r="B109" s="50" t="s">
        <v>997</v>
      </c>
      <c r="C109" s="50" t="s">
        <v>1267</v>
      </c>
      <c r="D109" s="50" t="s">
        <v>1267</v>
      </c>
      <c r="E109" s="50" t="s">
        <v>1275</v>
      </c>
      <c r="F109" s="50" t="s">
        <v>1253</v>
      </c>
      <c r="G109" s="51">
        <v>348.43</v>
      </c>
      <c r="H109" s="51">
        <v>362.1</v>
      </c>
      <c r="I109" s="51">
        <v>11.2348</v>
      </c>
      <c r="J109" s="51">
        <v>19.181999999999999</v>
      </c>
      <c r="K109" s="51">
        <v>5.9112999999999998</v>
      </c>
      <c r="L109" s="51">
        <v>14.3033</v>
      </c>
      <c r="M109" s="50">
        <v>9.39</v>
      </c>
      <c r="N109" s="51">
        <v>32.72</v>
      </c>
      <c r="O109" s="50">
        <v>0.86199999999999999</v>
      </c>
      <c r="P109" s="51">
        <v>1806.66</v>
      </c>
      <c r="Q109" s="50">
        <f t="shared" si="3"/>
        <v>0.6</v>
      </c>
      <c r="R109" s="50" t="s">
        <v>587</v>
      </c>
      <c r="S109" s="50" t="s">
        <v>716</v>
      </c>
      <c r="T109" s="50" t="s">
        <v>1264</v>
      </c>
      <c r="U109" s="50" t="s">
        <v>590</v>
      </c>
      <c r="V109" s="53" t="s">
        <v>266</v>
      </c>
    </row>
    <row r="110" spans="1:22" ht="15" customHeight="1" x14ac:dyDescent="0.25">
      <c r="A110" s="50" t="s">
        <v>1462</v>
      </c>
      <c r="B110" s="50" t="s">
        <v>1463</v>
      </c>
      <c r="C110" s="50" t="s">
        <v>1250</v>
      </c>
      <c r="D110" s="50" t="s">
        <v>1274</v>
      </c>
      <c r="E110" s="50" t="s">
        <v>1306</v>
      </c>
      <c r="F110" s="50" t="s">
        <v>1246</v>
      </c>
      <c r="G110" s="51">
        <v>560.28</v>
      </c>
      <c r="H110" s="51">
        <v>529.55999999999995</v>
      </c>
      <c r="I110" s="51">
        <v>11.8758</v>
      </c>
      <c r="J110" s="51">
        <v>32.991100000000003</v>
      </c>
      <c r="K110" s="51">
        <v>12.2422</v>
      </c>
      <c r="L110" s="51">
        <v>21.440100000000001</v>
      </c>
      <c r="M110" s="50">
        <v>12.14</v>
      </c>
      <c r="N110" s="51">
        <v>68.02</v>
      </c>
      <c r="O110" s="50">
        <v>-0.123</v>
      </c>
      <c r="P110" s="51">
        <v>1151.99</v>
      </c>
      <c r="Q110" s="50">
        <f t="shared" si="3"/>
        <v>1</v>
      </c>
      <c r="R110" s="50" t="s">
        <v>587</v>
      </c>
      <c r="S110" s="50" t="s">
        <v>602</v>
      </c>
      <c r="T110" s="50" t="s">
        <v>1257</v>
      </c>
      <c r="U110" s="50" t="s">
        <v>590</v>
      </c>
      <c r="V110" s="53" t="s">
        <v>266</v>
      </c>
    </row>
    <row r="111" spans="1:22" ht="15" customHeight="1" x14ac:dyDescent="0.25">
      <c r="A111" s="50" t="s">
        <v>1464</v>
      </c>
      <c r="B111" s="50" t="s">
        <v>1393</v>
      </c>
      <c r="C111" s="50" t="s">
        <v>1300</v>
      </c>
      <c r="D111" s="50" t="s">
        <v>1267</v>
      </c>
      <c r="E111" s="50" t="s">
        <v>1312</v>
      </c>
      <c r="F111" s="50" t="s">
        <v>1253</v>
      </c>
      <c r="G111" s="51">
        <v>323.13</v>
      </c>
      <c r="H111" s="51">
        <v>316.33</v>
      </c>
      <c r="I111" s="51">
        <v>16.2013</v>
      </c>
      <c r="J111" s="51">
        <v>29.611599999999999</v>
      </c>
      <c r="K111" s="51">
        <v>8.8994</v>
      </c>
      <c r="L111" s="51">
        <v>23.947700000000001</v>
      </c>
      <c r="M111" s="50">
        <v>11.07</v>
      </c>
      <c r="N111" s="51">
        <v>35.770000000000003</v>
      </c>
      <c r="O111" s="50">
        <v>-0.44900000000000001</v>
      </c>
      <c r="P111" s="51">
        <v>1394.93</v>
      </c>
      <c r="Q111" s="50">
        <f t="shared" si="3"/>
        <v>1.2</v>
      </c>
      <c r="R111" s="50" t="s">
        <v>587</v>
      </c>
      <c r="S111" s="50" t="s">
        <v>628</v>
      </c>
      <c r="T111" s="50" t="s">
        <v>1254</v>
      </c>
      <c r="U111" s="50" t="s">
        <v>590</v>
      </c>
      <c r="V111" s="53" t="s">
        <v>266</v>
      </c>
    </row>
    <row r="112" spans="1:22" ht="15" customHeight="1" x14ac:dyDescent="0.25">
      <c r="A112" s="50" t="s">
        <v>1465</v>
      </c>
      <c r="B112" s="50" t="s">
        <v>1466</v>
      </c>
      <c r="C112" s="50" t="s">
        <v>1288</v>
      </c>
      <c r="D112" s="50" t="s">
        <v>1274</v>
      </c>
      <c r="E112" s="50" t="s">
        <v>1312</v>
      </c>
      <c r="F112" s="50" t="s">
        <v>1295</v>
      </c>
      <c r="G112" s="51">
        <v>579.01</v>
      </c>
      <c r="H112" s="51">
        <v>595.41</v>
      </c>
      <c r="I112" s="51">
        <v>21.5258</v>
      </c>
      <c r="J112" s="51">
        <v>54.484000000000002</v>
      </c>
      <c r="K112" s="51">
        <v>17.3232</v>
      </c>
      <c r="L112" s="51">
        <v>38.465000000000003</v>
      </c>
      <c r="M112" s="50">
        <v>13.28</v>
      </c>
      <c r="N112" s="51">
        <v>76.89</v>
      </c>
      <c r="O112" s="50">
        <v>0.23899999999999999</v>
      </c>
      <c r="P112" s="51">
        <v>1651.82</v>
      </c>
      <c r="Q112" s="50">
        <f t="shared" si="3"/>
        <v>1.3</v>
      </c>
      <c r="R112" s="50" t="s">
        <v>587</v>
      </c>
      <c r="S112" s="50" t="s">
        <v>609</v>
      </c>
      <c r="T112" s="50" t="s">
        <v>1257</v>
      </c>
      <c r="U112" s="50" t="s">
        <v>590</v>
      </c>
      <c r="V112" s="53" t="s">
        <v>266</v>
      </c>
    </row>
    <row r="113" spans="1:22" ht="15" customHeight="1" x14ac:dyDescent="0.25">
      <c r="A113" s="50" t="s">
        <v>1467</v>
      </c>
      <c r="B113" s="50" t="s">
        <v>1468</v>
      </c>
      <c r="C113" s="50" t="s">
        <v>1250</v>
      </c>
      <c r="D113" s="50" t="s">
        <v>1279</v>
      </c>
      <c r="E113" s="50" t="s">
        <v>1245</v>
      </c>
      <c r="F113" s="50" t="s">
        <v>1263</v>
      </c>
      <c r="G113" s="51">
        <v>157.21</v>
      </c>
      <c r="H113" s="51">
        <v>166.12</v>
      </c>
      <c r="I113" s="51">
        <v>9.2156000000000002</v>
      </c>
      <c r="J113" s="51">
        <v>16.4495</v>
      </c>
      <c r="K113" s="51">
        <v>5.7736000000000001</v>
      </c>
      <c r="L113" s="51">
        <v>14.08</v>
      </c>
      <c r="M113" s="50">
        <v>5.03</v>
      </c>
      <c r="N113" s="51">
        <v>7.91</v>
      </c>
      <c r="O113" s="50">
        <v>-0.80700000000000005</v>
      </c>
      <c r="P113" s="51">
        <v>632.27</v>
      </c>
      <c r="Q113" s="50">
        <f t="shared" si="3"/>
        <v>1.5</v>
      </c>
      <c r="R113" s="50" t="s">
        <v>587</v>
      </c>
      <c r="S113" s="50" t="s">
        <v>716</v>
      </c>
      <c r="T113" s="50" t="s">
        <v>1254</v>
      </c>
      <c r="U113" s="50" t="s">
        <v>590</v>
      </c>
      <c r="V113" s="53" t="s">
        <v>266</v>
      </c>
    </row>
    <row r="114" spans="1:22" ht="15" customHeight="1" x14ac:dyDescent="0.25">
      <c r="A114" s="50" t="s">
        <v>1469</v>
      </c>
      <c r="B114" s="50" t="s">
        <v>1470</v>
      </c>
      <c r="C114" s="50" t="s">
        <v>1243</v>
      </c>
      <c r="D114" s="50" t="s">
        <v>1267</v>
      </c>
      <c r="E114" s="50" t="s">
        <v>1252</v>
      </c>
      <c r="F114" s="50" t="s">
        <v>1269</v>
      </c>
      <c r="G114" s="51">
        <v>355.2</v>
      </c>
      <c r="H114" s="51">
        <v>333.8</v>
      </c>
      <c r="I114" s="51">
        <v>14.4878</v>
      </c>
      <c r="J114" s="51">
        <v>37.719799999999999</v>
      </c>
      <c r="K114" s="51">
        <v>13.4206</v>
      </c>
      <c r="L114" s="51">
        <v>23.479800000000001</v>
      </c>
      <c r="M114" s="50">
        <v>10.61</v>
      </c>
      <c r="N114" s="51">
        <v>37.69</v>
      </c>
      <c r="O114" s="50">
        <v>-0.48799999999999999</v>
      </c>
      <c r="P114" s="51">
        <v>928.71</v>
      </c>
      <c r="Q114" s="50">
        <f t="shared" si="3"/>
        <v>1.6</v>
      </c>
      <c r="R114" s="50" t="s">
        <v>587</v>
      </c>
      <c r="S114" s="50" t="s">
        <v>647</v>
      </c>
      <c r="T114" s="50" t="s">
        <v>1264</v>
      </c>
      <c r="U114" s="50" t="s">
        <v>590</v>
      </c>
      <c r="V114" s="53" t="s">
        <v>266</v>
      </c>
    </row>
    <row r="115" spans="1:22" ht="15" customHeight="1" x14ac:dyDescent="0.25">
      <c r="A115" s="50" t="s">
        <v>1471</v>
      </c>
      <c r="B115" s="50" t="s">
        <v>1472</v>
      </c>
      <c r="C115" s="50" t="s">
        <v>1250</v>
      </c>
      <c r="D115" s="50" t="s">
        <v>1289</v>
      </c>
      <c r="E115" s="50" t="s">
        <v>1245</v>
      </c>
      <c r="F115" s="50" t="s">
        <v>1269</v>
      </c>
      <c r="G115" s="51">
        <v>343.6</v>
      </c>
      <c r="H115" s="51">
        <v>360.02</v>
      </c>
      <c r="I115" s="51">
        <v>10.936500000000001</v>
      </c>
      <c r="J115" s="51">
        <v>27.255600000000001</v>
      </c>
      <c r="K115" s="51">
        <v>12.1652</v>
      </c>
      <c r="L115" s="51">
        <v>20.315899999999999</v>
      </c>
      <c r="M115" s="50">
        <v>11.98</v>
      </c>
      <c r="N115" s="51">
        <v>41.16</v>
      </c>
      <c r="O115" s="50">
        <v>-0.88300000000000001</v>
      </c>
      <c r="P115" s="51">
        <v>1317.41</v>
      </c>
      <c r="Q115" s="50">
        <f t="shared" si="3"/>
        <v>0.8</v>
      </c>
      <c r="R115" s="50" t="s">
        <v>587</v>
      </c>
      <c r="S115" s="50" t="s">
        <v>628</v>
      </c>
      <c r="T115" s="50" t="s">
        <v>1264</v>
      </c>
      <c r="U115" s="50" t="s">
        <v>590</v>
      </c>
      <c r="V115" s="53" t="s">
        <v>266</v>
      </c>
    </row>
    <row r="116" spans="1:22" ht="15" customHeight="1" x14ac:dyDescent="0.25">
      <c r="A116" s="50" t="s">
        <v>1473</v>
      </c>
      <c r="B116" s="50" t="s">
        <v>1474</v>
      </c>
      <c r="C116" s="50" t="s">
        <v>1243</v>
      </c>
      <c r="D116" s="50" t="s">
        <v>1284</v>
      </c>
      <c r="E116" s="50" t="s">
        <v>1301</v>
      </c>
      <c r="F116" s="50" t="s">
        <v>1290</v>
      </c>
      <c r="G116" s="51">
        <v>673.59</v>
      </c>
      <c r="H116" s="51">
        <v>632.79</v>
      </c>
      <c r="I116" s="51">
        <v>33.512999999999998</v>
      </c>
      <c r="J116" s="51">
        <v>75.001900000000006</v>
      </c>
      <c r="K116" s="51">
        <v>18.4847</v>
      </c>
      <c r="L116" s="51">
        <v>54.323</v>
      </c>
      <c r="M116" s="50">
        <v>3.96</v>
      </c>
      <c r="N116" s="51">
        <v>26.67</v>
      </c>
      <c r="O116" s="50">
        <v>0.251</v>
      </c>
      <c r="P116" s="51">
        <v>1345.4</v>
      </c>
      <c r="Q116" s="50">
        <f t="shared" si="3"/>
        <v>2.5</v>
      </c>
      <c r="R116" s="50" t="s">
        <v>587</v>
      </c>
      <c r="S116" s="50" t="s">
        <v>628</v>
      </c>
      <c r="T116" s="50" t="s">
        <v>1260</v>
      </c>
      <c r="U116" s="50" t="s">
        <v>590</v>
      </c>
      <c r="V116" s="53" t="s">
        <v>266</v>
      </c>
    </row>
    <row r="117" spans="1:22" ht="15" customHeight="1" x14ac:dyDescent="0.25">
      <c r="A117" s="50" t="s">
        <v>1475</v>
      </c>
      <c r="B117" s="50" t="s">
        <v>1476</v>
      </c>
      <c r="C117" s="50" t="s">
        <v>1243</v>
      </c>
      <c r="D117" s="50" t="s">
        <v>1251</v>
      </c>
      <c r="E117" s="50" t="s">
        <v>1306</v>
      </c>
      <c r="F117" s="50" t="s">
        <v>1263</v>
      </c>
      <c r="G117" s="51">
        <v>500.71</v>
      </c>
      <c r="H117" s="51">
        <v>503.42</v>
      </c>
      <c r="I117" s="51">
        <v>7.2766000000000002</v>
      </c>
      <c r="J117" s="51">
        <v>18.5623</v>
      </c>
      <c r="K117" s="51">
        <v>6.1120999999999999</v>
      </c>
      <c r="L117" s="51">
        <v>11.6699</v>
      </c>
      <c r="M117" s="50">
        <v>9.9700000000000006</v>
      </c>
      <c r="N117" s="51">
        <v>49.92</v>
      </c>
      <c r="O117" s="50">
        <v>6.8000000000000005E-2</v>
      </c>
      <c r="P117" s="51">
        <v>1812.16</v>
      </c>
      <c r="Q117" s="50">
        <f t="shared" si="3"/>
        <v>0.4</v>
      </c>
      <c r="R117" s="50" t="s">
        <v>587</v>
      </c>
      <c r="S117" s="50" t="s">
        <v>575</v>
      </c>
      <c r="T117" s="50" t="s">
        <v>1257</v>
      </c>
      <c r="U117" s="50" t="s">
        <v>590</v>
      </c>
      <c r="V117" s="53" t="s">
        <v>266</v>
      </c>
    </row>
    <row r="118" spans="1:22" ht="15" customHeight="1" x14ac:dyDescent="0.25">
      <c r="A118" s="50" t="s">
        <v>1477</v>
      </c>
      <c r="B118" s="50" t="s">
        <v>1478</v>
      </c>
      <c r="C118" s="50" t="s">
        <v>1243</v>
      </c>
      <c r="D118" s="50" t="s">
        <v>1251</v>
      </c>
      <c r="E118" s="50" t="s">
        <v>1312</v>
      </c>
      <c r="F118" s="50" t="s">
        <v>1253</v>
      </c>
      <c r="G118" s="51">
        <v>318.49</v>
      </c>
      <c r="H118" s="51">
        <v>339.25</v>
      </c>
      <c r="I118" s="51">
        <v>15.511100000000001</v>
      </c>
      <c r="J118" s="51">
        <v>35.299799999999998</v>
      </c>
      <c r="K118" s="51">
        <v>8.859</v>
      </c>
      <c r="L118" s="51">
        <v>28.114899999999999</v>
      </c>
      <c r="M118" s="50">
        <v>13.91</v>
      </c>
      <c r="N118" s="51">
        <v>44.3</v>
      </c>
      <c r="O118" s="50">
        <v>-0.49199999999999999</v>
      </c>
      <c r="P118" s="51">
        <v>1650.72</v>
      </c>
      <c r="Q118" s="50">
        <f t="shared" si="3"/>
        <v>0.9</v>
      </c>
      <c r="R118" s="50" t="s">
        <v>587</v>
      </c>
      <c r="S118" s="50" t="s">
        <v>618</v>
      </c>
      <c r="T118" s="50" t="s">
        <v>1260</v>
      </c>
      <c r="U118" s="50" t="s">
        <v>590</v>
      </c>
      <c r="V118" s="53" t="s">
        <v>266</v>
      </c>
    </row>
    <row r="119" spans="1:22" ht="15" customHeight="1" x14ac:dyDescent="0.25">
      <c r="A119" s="50" t="s">
        <v>1479</v>
      </c>
      <c r="B119" s="50" t="s">
        <v>1480</v>
      </c>
      <c r="C119" s="50" t="s">
        <v>1250</v>
      </c>
      <c r="D119" s="50" t="s">
        <v>1267</v>
      </c>
      <c r="E119" s="50" t="s">
        <v>1268</v>
      </c>
      <c r="F119" s="50" t="s">
        <v>1246</v>
      </c>
      <c r="G119" s="51">
        <v>40.92</v>
      </c>
      <c r="H119" s="51">
        <v>38.75</v>
      </c>
      <c r="I119" s="51">
        <v>2.4489999999999998</v>
      </c>
      <c r="J119" s="51">
        <v>3.9377</v>
      </c>
      <c r="K119" s="51">
        <v>2.9081999999999999</v>
      </c>
      <c r="L119" s="51">
        <v>3.3597000000000001</v>
      </c>
      <c r="M119" s="50">
        <v>4.93</v>
      </c>
      <c r="N119" s="51">
        <v>2.02</v>
      </c>
      <c r="O119" s="50">
        <v>0.54300000000000004</v>
      </c>
      <c r="P119" s="51">
        <v>186.07</v>
      </c>
      <c r="Q119" s="50">
        <f t="shared" si="3"/>
        <v>1.3</v>
      </c>
      <c r="R119" s="50" t="s">
        <v>587</v>
      </c>
      <c r="S119" s="50" t="s">
        <v>586</v>
      </c>
      <c r="T119" s="50" t="s">
        <v>1285</v>
      </c>
      <c r="U119" s="50" t="s">
        <v>590</v>
      </c>
      <c r="V119" s="53" t="s">
        <v>266</v>
      </c>
    </row>
    <row r="120" spans="1:22" ht="15" customHeight="1" x14ac:dyDescent="0.25">
      <c r="A120" s="50" t="s">
        <v>1481</v>
      </c>
      <c r="B120" s="50" t="s">
        <v>1482</v>
      </c>
      <c r="C120" s="50" t="s">
        <v>1288</v>
      </c>
      <c r="D120" s="50" t="s">
        <v>1274</v>
      </c>
      <c r="E120" s="50" t="s">
        <v>1301</v>
      </c>
      <c r="F120" s="50" t="s">
        <v>1269</v>
      </c>
      <c r="G120" s="51">
        <v>338.45</v>
      </c>
      <c r="H120" s="51">
        <v>321.94</v>
      </c>
      <c r="I120" s="51">
        <v>7.8647999999999998</v>
      </c>
      <c r="J120" s="51">
        <v>20.979800000000001</v>
      </c>
      <c r="K120" s="51">
        <v>4.718</v>
      </c>
      <c r="L120" s="51">
        <v>11.05</v>
      </c>
      <c r="M120" s="50">
        <v>4.71</v>
      </c>
      <c r="N120" s="51">
        <v>15.94</v>
      </c>
      <c r="O120" s="50">
        <v>0.14099999999999999</v>
      </c>
      <c r="P120" s="51">
        <v>1124.1300000000001</v>
      </c>
      <c r="Q120" s="50">
        <f t="shared" si="3"/>
        <v>0.7</v>
      </c>
      <c r="R120" s="50" t="s">
        <v>587</v>
      </c>
      <c r="S120" s="50" t="s">
        <v>609</v>
      </c>
      <c r="T120" s="50" t="s">
        <v>1270</v>
      </c>
      <c r="U120" s="50" t="s">
        <v>590</v>
      </c>
      <c r="V120" s="53" t="s">
        <v>266</v>
      </c>
    </row>
    <row r="121" spans="1:22" ht="15" customHeight="1" x14ac:dyDescent="0.25">
      <c r="A121" s="50" t="s">
        <v>1483</v>
      </c>
      <c r="B121" s="50" t="s">
        <v>1402</v>
      </c>
      <c r="C121" s="50" t="s">
        <v>1250</v>
      </c>
      <c r="D121" s="50" t="s">
        <v>1251</v>
      </c>
      <c r="E121" s="50" t="s">
        <v>1245</v>
      </c>
      <c r="F121" s="50" t="s">
        <v>1263</v>
      </c>
      <c r="G121" s="51">
        <v>145.84</v>
      </c>
      <c r="H121" s="51">
        <v>158.26</v>
      </c>
      <c r="I121" s="51">
        <v>8.0325000000000006</v>
      </c>
      <c r="J121" s="51">
        <v>18.406300000000002</v>
      </c>
      <c r="K121" s="51">
        <v>9.0456000000000003</v>
      </c>
      <c r="L121" s="51">
        <v>13.464</v>
      </c>
      <c r="M121" s="50">
        <v>4.72</v>
      </c>
      <c r="N121" s="51">
        <v>6.88</v>
      </c>
      <c r="O121" s="50">
        <v>0.46200000000000002</v>
      </c>
      <c r="P121" s="51">
        <v>556.6</v>
      </c>
      <c r="Q121" s="50">
        <f t="shared" si="3"/>
        <v>1.4</v>
      </c>
      <c r="R121" s="50" t="s">
        <v>587</v>
      </c>
      <c r="S121" s="50" t="s">
        <v>647</v>
      </c>
      <c r="T121" s="50" t="s">
        <v>1264</v>
      </c>
      <c r="U121" s="50" t="s">
        <v>590</v>
      </c>
      <c r="V121" s="53" t="s">
        <v>266</v>
      </c>
    </row>
    <row r="122" spans="1:22" ht="15" customHeight="1" x14ac:dyDescent="0.25">
      <c r="A122" s="50" t="s">
        <v>1484</v>
      </c>
      <c r="B122" s="50" t="s">
        <v>890</v>
      </c>
      <c r="C122" s="50" t="s">
        <v>1300</v>
      </c>
      <c r="D122" s="50" t="s">
        <v>1250</v>
      </c>
      <c r="E122" s="50" t="s">
        <v>1312</v>
      </c>
      <c r="F122" s="50" t="s">
        <v>1269</v>
      </c>
      <c r="G122" s="51">
        <v>612.76</v>
      </c>
      <c r="H122" s="51">
        <v>591.52</v>
      </c>
      <c r="I122" s="51">
        <v>28.6723</v>
      </c>
      <c r="J122" s="51">
        <v>66.5989</v>
      </c>
      <c r="K122" s="51">
        <v>11.731199999999999</v>
      </c>
      <c r="L122" s="51">
        <v>52.239100000000001</v>
      </c>
      <c r="M122" s="50">
        <v>5.92</v>
      </c>
      <c r="N122" s="51">
        <v>36.28</v>
      </c>
      <c r="O122" s="50">
        <v>-0.39</v>
      </c>
      <c r="P122" s="51">
        <v>972.54</v>
      </c>
      <c r="Q122" s="50">
        <f t="shared" si="3"/>
        <v>2.9</v>
      </c>
      <c r="R122" s="50" t="s">
        <v>587</v>
      </c>
      <c r="S122" s="50" t="s">
        <v>628</v>
      </c>
      <c r="T122" s="50" t="s">
        <v>1329</v>
      </c>
      <c r="U122" s="50" t="s">
        <v>590</v>
      </c>
      <c r="V122" s="53" t="s">
        <v>266</v>
      </c>
    </row>
    <row r="123" spans="1:22" ht="15" customHeight="1" x14ac:dyDescent="0.25">
      <c r="A123" s="50" t="s">
        <v>1485</v>
      </c>
      <c r="B123" s="50" t="s">
        <v>922</v>
      </c>
      <c r="C123" s="50" t="s">
        <v>1300</v>
      </c>
      <c r="D123" s="50" t="s">
        <v>1279</v>
      </c>
      <c r="E123" s="50" t="s">
        <v>1306</v>
      </c>
      <c r="F123" s="50" t="s">
        <v>1290</v>
      </c>
      <c r="G123" s="51">
        <v>132.63999999999999</v>
      </c>
      <c r="H123" s="51">
        <v>139.9</v>
      </c>
      <c r="I123" s="51">
        <v>9.7702000000000009</v>
      </c>
      <c r="J123" s="51">
        <v>27.016999999999999</v>
      </c>
      <c r="K123" s="51">
        <v>9.7924000000000007</v>
      </c>
      <c r="L123" s="51">
        <v>16.220500000000001</v>
      </c>
      <c r="M123" s="50">
        <v>1.62</v>
      </c>
      <c r="N123" s="51">
        <v>2.15</v>
      </c>
      <c r="O123" s="50">
        <v>-0.13600000000000001</v>
      </c>
      <c r="P123" s="51">
        <v>594.9</v>
      </c>
      <c r="Q123" s="50">
        <f t="shared" si="3"/>
        <v>1.6</v>
      </c>
      <c r="R123" s="50" t="s">
        <v>587</v>
      </c>
      <c r="S123" s="50" t="s">
        <v>638</v>
      </c>
      <c r="T123" s="50" t="s">
        <v>1254</v>
      </c>
      <c r="U123" s="50" t="s">
        <v>590</v>
      </c>
      <c r="V123" s="53" t="s">
        <v>266</v>
      </c>
    </row>
    <row r="124" spans="1:22" ht="15" customHeight="1" x14ac:dyDescent="0.25">
      <c r="A124" s="50" t="s">
        <v>1486</v>
      </c>
      <c r="B124" s="50" t="s">
        <v>1487</v>
      </c>
      <c r="C124" s="50" t="s">
        <v>1267</v>
      </c>
      <c r="D124" s="50" t="s">
        <v>1289</v>
      </c>
      <c r="E124" s="50" t="s">
        <v>1275</v>
      </c>
      <c r="F124" s="50" t="s">
        <v>1253</v>
      </c>
      <c r="G124" s="51">
        <v>63.04</v>
      </c>
      <c r="H124" s="51">
        <v>63.03</v>
      </c>
      <c r="I124" s="51">
        <v>0.8367</v>
      </c>
      <c r="J124" s="51">
        <v>1.8426</v>
      </c>
      <c r="K124" s="51">
        <v>0.85260000000000002</v>
      </c>
      <c r="L124" s="51">
        <v>1.0912999999999999</v>
      </c>
      <c r="M124" s="50">
        <v>2.2799999999999998</v>
      </c>
      <c r="N124" s="51">
        <v>1.44</v>
      </c>
      <c r="O124" s="50">
        <v>0.11899999999999999</v>
      </c>
      <c r="P124" s="51">
        <v>202.17</v>
      </c>
      <c r="Q124" s="50">
        <f t="shared" si="3"/>
        <v>0.4</v>
      </c>
      <c r="R124" s="50" t="s">
        <v>587</v>
      </c>
      <c r="S124" s="50" t="s">
        <v>609</v>
      </c>
      <c r="T124" s="50" t="s">
        <v>1285</v>
      </c>
      <c r="U124" s="50" t="s">
        <v>590</v>
      </c>
      <c r="V124" s="53" t="s">
        <v>266</v>
      </c>
    </row>
    <row r="125" spans="1:22" ht="15" customHeight="1" x14ac:dyDescent="0.25">
      <c r="A125" s="50" t="s">
        <v>1488</v>
      </c>
      <c r="B125" s="50" t="s">
        <v>1331</v>
      </c>
      <c r="C125" s="50" t="s">
        <v>1244</v>
      </c>
      <c r="D125" s="50" t="s">
        <v>1292</v>
      </c>
      <c r="E125" s="50" t="s">
        <v>1301</v>
      </c>
      <c r="F125" s="50" t="s">
        <v>1295</v>
      </c>
      <c r="G125" s="51">
        <v>550.44000000000005</v>
      </c>
      <c r="H125" s="51">
        <v>542.01</v>
      </c>
      <c r="I125" s="51">
        <v>35.391399999999997</v>
      </c>
      <c r="J125" s="51">
        <v>60.4313</v>
      </c>
      <c r="K125" s="51">
        <v>33.175800000000002</v>
      </c>
      <c r="L125" s="51">
        <v>54.461399999999998</v>
      </c>
      <c r="M125" s="50">
        <v>5.42</v>
      </c>
      <c r="N125" s="51">
        <v>29.83</v>
      </c>
      <c r="O125" s="50">
        <v>-0.35899999999999999</v>
      </c>
      <c r="P125" s="51">
        <v>1939.62</v>
      </c>
      <c r="Q125" s="50">
        <f t="shared" si="3"/>
        <v>1.8</v>
      </c>
      <c r="R125" s="50" t="s">
        <v>587</v>
      </c>
      <c r="S125" s="50" t="s">
        <v>716</v>
      </c>
      <c r="T125" s="50" t="s">
        <v>1315</v>
      </c>
      <c r="U125" s="50" t="s">
        <v>590</v>
      </c>
      <c r="V125" s="53" t="s">
        <v>266</v>
      </c>
    </row>
    <row r="126" spans="1:22" ht="15" customHeight="1" x14ac:dyDescent="0.25">
      <c r="A126" s="50" t="s">
        <v>1489</v>
      </c>
      <c r="B126" s="50" t="s">
        <v>1423</v>
      </c>
      <c r="C126" s="50" t="s">
        <v>1300</v>
      </c>
      <c r="D126" s="50" t="s">
        <v>1289</v>
      </c>
      <c r="E126" s="50" t="s">
        <v>1275</v>
      </c>
      <c r="F126" s="50" t="s">
        <v>1290</v>
      </c>
      <c r="G126" s="51">
        <v>325.11</v>
      </c>
      <c r="H126" s="51">
        <v>359.2</v>
      </c>
      <c r="I126" s="51">
        <v>8.0734999999999992</v>
      </c>
      <c r="J126" s="51">
        <v>19.557500000000001</v>
      </c>
      <c r="K126" s="51">
        <v>4.2369000000000003</v>
      </c>
      <c r="L126" s="51">
        <v>14.3934</v>
      </c>
      <c r="M126" s="50">
        <v>1.56</v>
      </c>
      <c r="N126" s="51">
        <v>5.07</v>
      </c>
      <c r="O126" s="50">
        <v>0.47899999999999998</v>
      </c>
      <c r="P126" s="51">
        <v>844.36</v>
      </c>
      <c r="Q126" s="50">
        <f t="shared" si="3"/>
        <v>1</v>
      </c>
      <c r="R126" s="50" t="s">
        <v>587</v>
      </c>
      <c r="S126" s="50" t="s">
        <v>638</v>
      </c>
      <c r="T126" s="50" t="s">
        <v>1315</v>
      </c>
      <c r="U126" s="50" t="s">
        <v>590</v>
      </c>
      <c r="V126" s="53" t="s">
        <v>266</v>
      </c>
    </row>
    <row r="127" spans="1:22" ht="15" customHeight="1" x14ac:dyDescent="0.25">
      <c r="A127" s="50" t="s">
        <v>1490</v>
      </c>
      <c r="B127" s="50" t="s">
        <v>1025</v>
      </c>
      <c r="C127" s="50" t="s">
        <v>1300</v>
      </c>
      <c r="D127" s="50" t="s">
        <v>1244</v>
      </c>
      <c r="E127" s="50" t="s">
        <v>1268</v>
      </c>
      <c r="F127" s="50" t="s">
        <v>1263</v>
      </c>
      <c r="G127" s="51">
        <v>345.7</v>
      </c>
      <c r="H127" s="51">
        <v>340.99</v>
      </c>
      <c r="I127" s="51">
        <v>18.372800000000002</v>
      </c>
      <c r="J127" s="51">
        <v>34.067799999999998</v>
      </c>
      <c r="K127" s="51">
        <v>15.380599999999999</v>
      </c>
      <c r="L127" s="51">
        <v>33.076300000000003</v>
      </c>
      <c r="M127" s="50">
        <v>8.3699999999999992</v>
      </c>
      <c r="N127" s="51">
        <v>28.94</v>
      </c>
      <c r="O127" s="50">
        <v>0.246</v>
      </c>
      <c r="P127" s="51">
        <v>1695.76</v>
      </c>
      <c r="Q127" s="50">
        <f t="shared" si="3"/>
        <v>1.1000000000000001</v>
      </c>
      <c r="R127" s="50" t="s">
        <v>587</v>
      </c>
      <c r="S127" s="50" t="s">
        <v>716</v>
      </c>
      <c r="T127" s="50" t="s">
        <v>1260</v>
      </c>
      <c r="U127" s="50" t="s">
        <v>590</v>
      </c>
      <c r="V127" s="53" t="s">
        <v>266</v>
      </c>
    </row>
    <row r="128" spans="1:22" ht="15" customHeight="1" x14ac:dyDescent="0.25">
      <c r="A128" s="50" t="s">
        <v>1491</v>
      </c>
      <c r="B128" s="50" t="s">
        <v>1492</v>
      </c>
      <c r="C128" s="50" t="s">
        <v>1267</v>
      </c>
      <c r="D128" s="50" t="s">
        <v>1284</v>
      </c>
      <c r="E128" s="50" t="s">
        <v>1252</v>
      </c>
      <c r="F128" s="50" t="s">
        <v>1269</v>
      </c>
      <c r="G128" s="51">
        <v>220.29</v>
      </c>
      <c r="H128" s="51">
        <v>237.44</v>
      </c>
      <c r="I128" s="51">
        <v>10.9968</v>
      </c>
      <c r="J128" s="51">
        <v>18.295400000000001</v>
      </c>
      <c r="K128" s="51">
        <v>10.158899999999999</v>
      </c>
      <c r="L128" s="51">
        <v>13.269500000000001</v>
      </c>
      <c r="M128" s="50">
        <v>6.01</v>
      </c>
      <c r="N128" s="51">
        <v>13.24</v>
      </c>
      <c r="O128" s="50">
        <v>-0.45700000000000002</v>
      </c>
      <c r="P128" s="51">
        <v>1064.28</v>
      </c>
      <c r="Q128" s="50">
        <f t="shared" si="3"/>
        <v>1</v>
      </c>
      <c r="R128" s="50" t="s">
        <v>587</v>
      </c>
      <c r="S128" s="50" t="s">
        <v>575</v>
      </c>
      <c r="T128" s="50" t="s">
        <v>1276</v>
      </c>
      <c r="U128" s="50" t="s">
        <v>590</v>
      </c>
      <c r="V128" s="53" t="s">
        <v>266</v>
      </c>
    </row>
    <row r="129" spans="1:22" ht="15" customHeight="1" x14ac:dyDescent="0.25">
      <c r="A129" s="50" t="s">
        <v>1493</v>
      </c>
      <c r="B129" s="50" t="s">
        <v>1494</v>
      </c>
      <c r="C129" s="50" t="s">
        <v>1300</v>
      </c>
      <c r="D129" s="50" t="s">
        <v>1250</v>
      </c>
      <c r="E129" s="50" t="s">
        <v>1252</v>
      </c>
      <c r="F129" s="50" t="s">
        <v>1263</v>
      </c>
      <c r="G129" s="51">
        <v>370.72</v>
      </c>
      <c r="H129" s="51">
        <v>393.68</v>
      </c>
      <c r="I129" s="51">
        <v>25.211300000000001</v>
      </c>
      <c r="J129" s="51">
        <v>55.000799999999998</v>
      </c>
      <c r="K129" s="51">
        <v>22.127600000000001</v>
      </c>
      <c r="L129" s="51">
        <v>32.0289</v>
      </c>
      <c r="M129" s="50">
        <v>3.22</v>
      </c>
      <c r="N129" s="51">
        <v>11.94</v>
      </c>
      <c r="O129" s="50">
        <v>0.93400000000000005</v>
      </c>
      <c r="P129" s="51">
        <v>1363.08</v>
      </c>
      <c r="Q129" s="50">
        <f t="shared" si="3"/>
        <v>1.8</v>
      </c>
      <c r="R129" s="50" t="s">
        <v>587</v>
      </c>
      <c r="S129" s="50" t="s">
        <v>716</v>
      </c>
      <c r="T129" s="50" t="s">
        <v>1264</v>
      </c>
      <c r="U129" s="50" t="s">
        <v>590</v>
      </c>
      <c r="V129" s="53" t="s">
        <v>266</v>
      </c>
    </row>
    <row r="130" spans="1:22" ht="15" customHeight="1" x14ac:dyDescent="0.25">
      <c r="A130" s="50" t="s">
        <v>1495</v>
      </c>
      <c r="B130" s="50" t="s">
        <v>1496</v>
      </c>
      <c r="C130" s="50" t="s">
        <v>1288</v>
      </c>
      <c r="D130" s="50" t="s">
        <v>1284</v>
      </c>
      <c r="E130" s="50" t="s">
        <v>1268</v>
      </c>
      <c r="F130" s="50" t="s">
        <v>1263</v>
      </c>
      <c r="G130" s="51">
        <v>293.58</v>
      </c>
      <c r="H130" s="51">
        <v>279.31</v>
      </c>
      <c r="I130" s="51">
        <v>8.2396999999999991</v>
      </c>
      <c r="J130" s="51">
        <v>16.6631</v>
      </c>
      <c r="K130" s="51">
        <v>7.4173</v>
      </c>
      <c r="L130" s="51">
        <v>11.444599999999999</v>
      </c>
      <c r="M130" s="50">
        <v>14.68</v>
      </c>
      <c r="N130" s="51">
        <v>43.1</v>
      </c>
      <c r="O130" s="50">
        <v>3.0000000000000001E-3</v>
      </c>
      <c r="P130" s="51">
        <v>1212.6600000000001</v>
      </c>
      <c r="Q130" s="50">
        <f t="shared" si="3"/>
        <v>0.7</v>
      </c>
      <c r="R130" s="50" t="s">
        <v>587</v>
      </c>
      <c r="S130" s="50" t="s">
        <v>586</v>
      </c>
      <c r="T130" s="50" t="s">
        <v>1260</v>
      </c>
      <c r="U130" s="50" t="s">
        <v>590</v>
      </c>
      <c r="V130" s="53" t="s">
        <v>266</v>
      </c>
    </row>
    <row r="131" spans="1:22" ht="15" customHeight="1" x14ac:dyDescent="0.25">
      <c r="A131" s="50" t="s">
        <v>1497</v>
      </c>
      <c r="B131" s="50" t="s">
        <v>1498</v>
      </c>
      <c r="C131" s="50" t="s">
        <v>1288</v>
      </c>
      <c r="D131" s="50" t="s">
        <v>1284</v>
      </c>
      <c r="E131" s="50" t="s">
        <v>1252</v>
      </c>
      <c r="F131" s="50" t="s">
        <v>1290</v>
      </c>
      <c r="G131" s="51">
        <v>259</v>
      </c>
      <c r="H131" s="51">
        <v>258.63</v>
      </c>
      <c r="I131" s="51">
        <v>4.2699999999999996</v>
      </c>
      <c r="J131" s="51">
        <v>10.571999999999999</v>
      </c>
      <c r="K131" s="51">
        <v>3.4868000000000001</v>
      </c>
      <c r="L131" s="51">
        <v>7.44</v>
      </c>
      <c r="M131" s="50">
        <v>13.13</v>
      </c>
      <c r="N131" s="51">
        <v>34.01</v>
      </c>
      <c r="O131" s="50">
        <v>0.373</v>
      </c>
      <c r="P131" s="51">
        <v>765.72</v>
      </c>
      <c r="Q131" s="50">
        <f t="shared" ref="Q131:Q162" si="4">ROUND(I131/P131*100,1)</f>
        <v>0.6</v>
      </c>
      <c r="R131" s="50" t="s">
        <v>587</v>
      </c>
      <c r="S131" s="50" t="s">
        <v>638</v>
      </c>
      <c r="T131" s="50" t="s">
        <v>1260</v>
      </c>
      <c r="U131" s="50" t="s">
        <v>590</v>
      </c>
      <c r="V131" s="53" t="s">
        <v>266</v>
      </c>
    </row>
    <row r="132" spans="1:22" ht="15" customHeight="1" x14ac:dyDescent="0.25">
      <c r="A132" s="50" t="s">
        <v>1499</v>
      </c>
      <c r="B132" s="50" t="s">
        <v>1500</v>
      </c>
      <c r="C132" s="50" t="s">
        <v>1288</v>
      </c>
      <c r="D132" s="50" t="s">
        <v>1251</v>
      </c>
      <c r="E132" s="50" t="s">
        <v>1312</v>
      </c>
      <c r="F132" s="50" t="s">
        <v>1246</v>
      </c>
      <c r="G132" s="51">
        <v>118.29</v>
      </c>
      <c r="H132" s="51">
        <v>124.26</v>
      </c>
      <c r="I132" s="51">
        <v>5.4703999999999997</v>
      </c>
      <c r="J132" s="51">
        <v>13.2431</v>
      </c>
      <c r="K132" s="51">
        <v>3.0735000000000001</v>
      </c>
      <c r="L132" s="51">
        <v>7.1688999999999998</v>
      </c>
      <c r="M132" s="50">
        <v>10.42</v>
      </c>
      <c r="N132" s="51">
        <v>12.33</v>
      </c>
      <c r="O132" s="50">
        <v>0.79700000000000004</v>
      </c>
      <c r="P132" s="51">
        <v>581.97</v>
      </c>
      <c r="Q132" s="50">
        <f t="shared" si="4"/>
        <v>0.9</v>
      </c>
      <c r="R132" s="50" t="s">
        <v>587</v>
      </c>
      <c r="S132" s="50" t="s">
        <v>602</v>
      </c>
      <c r="T132" s="50" t="s">
        <v>1254</v>
      </c>
      <c r="U132" s="50" t="s">
        <v>590</v>
      </c>
      <c r="V132" s="53" t="s">
        <v>266</v>
      </c>
    </row>
    <row r="133" spans="1:22" ht="15" customHeight="1" x14ac:dyDescent="0.25">
      <c r="A133" s="50" t="s">
        <v>1501</v>
      </c>
      <c r="B133" s="50" t="s">
        <v>1502</v>
      </c>
      <c r="C133" s="50" t="s">
        <v>1300</v>
      </c>
      <c r="D133" s="50" t="s">
        <v>1244</v>
      </c>
      <c r="E133" s="50" t="s">
        <v>1275</v>
      </c>
      <c r="F133" s="50" t="s">
        <v>1246</v>
      </c>
      <c r="G133" s="51">
        <v>665.56</v>
      </c>
      <c r="H133" s="51">
        <v>628.07000000000005</v>
      </c>
      <c r="I133" s="51">
        <v>17.3919</v>
      </c>
      <c r="J133" s="51">
        <v>46.185299999999998</v>
      </c>
      <c r="K133" s="51">
        <v>17.073</v>
      </c>
      <c r="L133" s="51">
        <v>31.520199999999999</v>
      </c>
      <c r="M133" s="50">
        <v>13.24</v>
      </c>
      <c r="N133" s="51">
        <v>88.12</v>
      </c>
      <c r="O133" s="50">
        <v>-0.17199999999999999</v>
      </c>
      <c r="P133" s="51">
        <v>1846.14</v>
      </c>
      <c r="Q133" s="50">
        <f t="shared" si="4"/>
        <v>0.9</v>
      </c>
      <c r="R133" s="50" t="s">
        <v>587</v>
      </c>
      <c r="S133" s="50" t="s">
        <v>618</v>
      </c>
      <c r="T133" s="50" t="s">
        <v>1270</v>
      </c>
      <c r="U133" s="50" t="s">
        <v>590</v>
      </c>
      <c r="V133" s="53" t="s">
        <v>266</v>
      </c>
    </row>
    <row r="134" spans="1:22" ht="15" customHeight="1" x14ac:dyDescent="0.25">
      <c r="A134" s="50" t="s">
        <v>1503</v>
      </c>
      <c r="B134" s="50" t="s">
        <v>1504</v>
      </c>
      <c r="C134" s="50" t="s">
        <v>1244</v>
      </c>
      <c r="D134" s="50" t="s">
        <v>1292</v>
      </c>
      <c r="E134" s="50" t="s">
        <v>1301</v>
      </c>
      <c r="F134" s="50" t="s">
        <v>1290</v>
      </c>
      <c r="G134" s="51">
        <v>153.78</v>
      </c>
      <c r="H134" s="51">
        <v>164.93</v>
      </c>
      <c r="I134" s="51">
        <v>7.5773999999999999</v>
      </c>
      <c r="J134" s="51">
        <v>14.5504</v>
      </c>
      <c r="K134" s="51">
        <v>6.4683000000000002</v>
      </c>
      <c r="L134" s="51">
        <v>10.492599999999999</v>
      </c>
      <c r="M134" s="50">
        <v>3.71</v>
      </c>
      <c r="N134" s="51">
        <v>5.71</v>
      </c>
      <c r="O134" s="50">
        <v>0.375</v>
      </c>
      <c r="P134" s="51">
        <v>454.78</v>
      </c>
      <c r="Q134" s="50">
        <f t="shared" si="4"/>
        <v>1.7</v>
      </c>
      <c r="R134" s="50" t="s">
        <v>587</v>
      </c>
      <c r="S134" s="50" t="s">
        <v>618</v>
      </c>
      <c r="T134" s="50" t="s">
        <v>1254</v>
      </c>
      <c r="U134" s="50" t="s">
        <v>590</v>
      </c>
      <c r="V134" s="53" t="s">
        <v>266</v>
      </c>
    </row>
    <row r="135" spans="1:22" ht="15" customHeight="1" x14ac:dyDescent="0.25">
      <c r="A135" s="50" t="s">
        <v>1505</v>
      </c>
      <c r="B135" s="50" t="s">
        <v>1506</v>
      </c>
      <c r="C135" s="50" t="s">
        <v>1243</v>
      </c>
      <c r="D135" s="50" t="s">
        <v>1289</v>
      </c>
      <c r="E135" s="50" t="s">
        <v>1306</v>
      </c>
      <c r="F135" s="50" t="s">
        <v>1253</v>
      </c>
      <c r="G135" s="51">
        <v>280.55</v>
      </c>
      <c r="H135" s="51">
        <v>305.92</v>
      </c>
      <c r="I135" s="51">
        <v>11.768599999999999</v>
      </c>
      <c r="J135" s="51">
        <v>20.771799999999999</v>
      </c>
      <c r="K135" s="51">
        <v>6.5270000000000001</v>
      </c>
      <c r="L135" s="51">
        <v>14.425800000000001</v>
      </c>
      <c r="M135" s="50">
        <v>11.54</v>
      </c>
      <c r="N135" s="51">
        <v>32.380000000000003</v>
      </c>
      <c r="O135" s="50">
        <v>-0.97</v>
      </c>
      <c r="P135" s="51">
        <v>747.82</v>
      </c>
      <c r="Q135" s="50">
        <f t="shared" si="4"/>
        <v>1.6</v>
      </c>
      <c r="R135" s="50" t="s">
        <v>587</v>
      </c>
      <c r="S135" s="50" t="s">
        <v>602</v>
      </c>
      <c r="T135" s="50" t="s">
        <v>1332</v>
      </c>
      <c r="U135" s="50" t="s">
        <v>590</v>
      </c>
      <c r="V135" s="53" t="s">
        <v>266</v>
      </c>
    </row>
    <row r="136" spans="1:22" ht="15" customHeight="1" x14ac:dyDescent="0.25">
      <c r="A136" s="50" t="s">
        <v>1507</v>
      </c>
      <c r="B136" s="50" t="s">
        <v>1212</v>
      </c>
      <c r="C136" s="50" t="s">
        <v>1243</v>
      </c>
      <c r="D136" s="50" t="s">
        <v>1292</v>
      </c>
      <c r="E136" s="50" t="s">
        <v>1301</v>
      </c>
      <c r="F136" s="50" t="s">
        <v>1290</v>
      </c>
      <c r="G136" s="51">
        <v>651.16</v>
      </c>
      <c r="H136" s="51">
        <v>727.43</v>
      </c>
      <c r="I136" s="51">
        <v>44.927500000000002</v>
      </c>
      <c r="J136" s="51">
        <v>98.298299999999998</v>
      </c>
      <c r="K136" s="51">
        <v>29.648399999999999</v>
      </c>
      <c r="L136" s="51">
        <v>70.358099999999993</v>
      </c>
      <c r="M136" s="50">
        <v>3.93</v>
      </c>
      <c r="N136" s="51">
        <v>25.59</v>
      </c>
      <c r="O136" s="50">
        <v>-0.19</v>
      </c>
      <c r="P136" s="51">
        <v>1197.6300000000001</v>
      </c>
      <c r="Q136" s="50">
        <f t="shared" si="4"/>
        <v>3.8</v>
      </c>
      <c r="R136" s="50" t="s">
        <v>587</v>
      </c>
      <c r="S136" s="50" t="s">
        <v>602</v>
      </c>
      <c r="T136" s="50" t="s">
        <v>1270</v>
      </c>
      <c r="U136" s="50" t="s">
        <v>590</v>
      </c>
      <c r="V136" s="53" t="s">
        <v>266</v>
      </c>
    </row>
    <row r="137" spans="1:22" ht="15" customHeight="1" x14ac:dyDescent="0.25">
      <c r="A137" s="50" t="s">
        <v>1508</v>
      </c>
      <c r="B137" s="50" t="s">
        <v>1509</v>
      </c>
      <c r="C137" s="50" t="s">
        <v>1273</v>
      </c>
      <c r="D137" s="50" t="s">
        <v>1279</v>
      </c>
      <c r="E137" s="50" t="s">
        <v>1275</v>
      </c>
      <c r="F137" s="50" t="s">
        <v>1253</v>
      </c>
      <c r="G137" s="51">
        <v>616.77</v>
      </c>
      <c r="H137" s="51">
        <v>664.5</v>
      </c>
      <c r="I137" s="51">
        <v>26.766200000000001</v>
      </c>
      <c r="J137" s="51">
        <v>57.331400000000002</v>
      </c>
      <c r="K137" s="51">
        <v>28.415199999999999</v>
      </c>
      <c r="L137" s="51">
        <v>33.027700000000003</v>
      </c>
      <c r="M137" s="50">
        <v>14.94</v>
      </c>
      <c r="N137" s="51">
        <v>92.15</v>
      </c>
      <c r="O137" s="50">
        <v>3.6999999999999998E-2</v>
      </c>
      <c r="P137" s="51">
        <v>1916.84</v>
      </c>
      <c r="Q137" s="50">
        <f t="shared" si="4"/>
        <v>1.4</v>
      </c>
      <c r="R137" s="50" t="s">
        <v>587</v>
      </c>
      <c r="S137" s="50" t="s">
        <v>716</v>
      </c>
      <c r="T137" s="50" t="s">
        <v>1285</v>
      </c>
      <c r="U137" s="50" t="s">
        <v>590</v>
      </c>
      <c r="V137" s="53" t="s">
        <v>266</v>
      </c>
    </row>
    <row r="138" spans="1:22" ht="15" customHeight="1" x14ac:dyDescent="0.25">
      <c r="A138" s="50" t="s">
        <v>1510</v>
      </c>
      <c r="B138" s="50" t="s">
        <v>1511</v>
      </c>
      <c r="C138" s="50" t="s">
        <v>1288</v>
      </c>
      <c r="D138" s="50" t="s">
        <v>1267</v>
      </c>
      <c r="E138" s="50" t="s">
        <v>1252</v>
      </c>
      <c r="F138" s="50" t="s">
        <v>1295</v>
      </c>
      <c r="G138" s="51">
        <v>324.5</v>
      </c>
      <c r="H138" s="51">
        <v>355.94</v>
      </c>
      <c r="I138" s="51">
        <v>19.921199999999999</v>
      </c>
      <c r="J138" s="51">
        <v>38.708799999999997</v>
      </c>
      <c r="K138" s="51">
        <v>10.6218</v>
      </c>
      <c r="L138" s="51">
        <v>28.5976</v>
      </c>
      <c r="M138" s="50">
        <v>13.81</v>
      </c>
      <c r="N138" s="51">
        <v>44.81</v>
      </c>
      <c r="O138" s="50">
        <v>0.38</v>
      </c>
      <c r="P138" s="51">
        <v>1659.7</v>
      </c>
      <c r="Q138" s="50">
        <f t="shared" si="4"/>
        <v>1.2</v>
      </c>
      <c r="R138" s="50" t="s">
        <v>587</v>
      </c>
      <c r="S138" s="50" t="s">
        <v>618</v>
      </c>
      <c r="T138" s="50" t="s">
        <v>1247</v>
      </c>
      <c r="U138" s="50" t="s">
        <v>590</v>
      </c>
      <c r="V138" s="53" t="s">
        <v>266</v>
      </c>
    </row>
    <row r="139" spans="1:22" ht="15" customHeight="1" x14ac:dyDescent="0.25">
      <c r="A139" s="50" t="s">
        <v>1512</v>
      </c>
      <c r="B139" s="50" t="s">
        <v>1513</v>
      </c>
      <c r="C139" s="50" t="s">
        <v>1267</v>
      </c>
      <c r="D139" s="50" t="s">
        <v>1279</v>
      </c>
      <c r="E139" s="50" t="s">
        <v>1301</v>
      </c>
      <c r="F139" s="50" t="s">
        <v>1290</v>
      </c>
      <c r="G139" s="51">
        <v>551.75</v>
      </c>
      <c r="H139" s="51">
        <v>611.1</v>
      </c>
      <c r="I139" s="51">
        <v>31.263300000000001</v>
      </c>
      <c r="J139" s="51">
        <v>55.0974</v>
      </c>
      <c r="K139" s="51">
        <v>22.848700000000001</v>
      </c>
      <c r="L139" s="51">
        <v>48.792900000000003</v>
      </c>
      <c r="M139" s="50">
        <v>2.93</v>
      </c>
      <c r="N139" s="51">
        <v>16.170000000000002</v>
      </c>
      <c r="O139" s="50">
        <v>0.18099999999999999</v>
      </c>
      <c r="P139" s="51">
        <v>2440.87</v>
      </c>
      <c r="Q139" s="50">
        <f t="shared" si="4"/>
        <v>1.3</v>
      </c>
      <c r="R139" s="50" t="s">
        <v>587</v>
      </c>
      <c r="S139" s="50" t="s">
        <v>609</v>
      </c>
      <c r="T139" s="50" t="s">
        <v>1281</v>
      </c>
      <c r="U139" s="50" t="s">
        <v>590</v>
      </c>
      <c r="V139" s="53" t="s">
        <v>266</v>
      </c>
    </row>
    <row r="140" spans="1:22" ht="15" customHeight="1" x14ac:dyDescent="0.25">
      <c r="A140" s="50" t="s">
        <v>1514</v>
      </c>
      <c r="B140" s="50" t="s">
        <v>1191</v>
      </c>
      <c r="C140" s="50" t="s">
        <v>1300</v>
      </c>
      <c r="D140" s="50" t="s">
        <v>1251</v>
      </c>
      <c r="E140" s="50" t="s">
        <v>1306</v>
      </c>
      <c r="F140" s="50" t="s">
        <v>1253</v>
      </c>
      <c r="G140" s="51">
        <v>637.79999999999995</v>
      </c>
      <c r="H140" s="51">
        <v>688.38</v>
      </c>
      <c r="I140" s="51">
        <v>36.167000000000002</v>
      </c>
      <c r="J140" s="51">
        <v>63.229100000000003</v>
      </c>
      <c r="K140" s="51">
        <v>17.77</v>
      </c>
      <c r="L140" s="51">
        <v>56.403100000000002</v>
      </c>
      <c r="M140" s="50">
        <v>5.64</v>
      </c>
      <c r="N140" s="51">
        <v>35.97</v>
      </c>
      <c r="O140" s="50">
        <v>4.8000000000000001E-2</v>
      </c>
      <c r="P140" s="51">
        <v>1957.96</v>
      </c>
      <c r="Q140" s="50">
        <f t="shared" si="4"/>
        <v>1.8</v>
      </c>
      <c r="R140" s="50" t="s">
        <v>587</v>
      </c>
      <c r="S140" s="50" t="s">
        <v>628</v>
      </c>
      <c r="T140" s="50" t="s">
        <v>1329</v>
      </c>
      <c r="U140" s="50" t="s">
        <v>590</v>
      </c>
      <c r="V140" s="53" t="s">
        <v>266</v>
      </c>
    </row>
    <row r="141" spans="1:22" ht="15" customHeight="1" x14ac:dyDescent="0.25">
      <c r="A141" s="50" t="s">
        <v>1515</v>
      </c>
      <c r="B141" s="50" t="s">
        <v>1398</v>
      </c>
      <c r="C141" s="50" t="s">
        <v>1273</v>
      </c>
      <c r="D141" s="50" t="s">
        <v>1279</v>
      </c>
      <c r="E141" s="50" t="s">
        <v>1312</v>
      </c>
      <c r="F141" s="50" t="s">
        <v>1269</v>
      </c>
      <c r="G141" s="51">
        <v>544.73</v>
      </c>
      <c r="H141" s="51">
        <v>600.54</v>
      </c>
      <c r="I141" s="51">
        <v>25.859500000000001</v>
      </c>
      <c r="J141" s="51">
        <v>61.841299999999997</v>
      </c>
      <c r="K141" s="51">
        <v>13.4488</v>
      </c>
      <c r="L141" s="51">
        <v>49.005200000000002</v>
      </c>
      <c r="M141" s="50">
        <v>2.93</v>
      </c>
      <c r="N141" s="51">
        <v>15.96</v>
      </c>
      <c r="O141" s="50">
        <v>0.42399999999999999</v>
      </c>
      <c r="P141" s="51">
        <v>1782.72</v>
      </c>
      <c r="Q141" s="50">
        <f t="shared" si="4"/>
        <v>1.5</v>
      </c>
      <c r="R141" s="50" t="s">
        <v>587</v>
      </c>
      <c r="S141" s="50" t="s">
        <v>586</v>
      </c>
      <c r="T141" s="50" t="s">
        <v>1270</v>
      </c>
      <c r="U141" s="50" t="s">
        <v>590</v>
      </c>
      <c r="V141" s="53" t="s">
        <v>266</v>
      </c>
    </row>
    <row r="142" spans="1:22" ht="15" customHeight="1" x14ac:dyDescent="0.25">
      <c r="A142" s="50" t="s">
        <v>1516</v>
      </c>
      <c r="B142" s="50" t="s">
        <v>1517</v>
      </c>
      <c r="C142" s="50" t="s">
        <v>1300</v>
      </c>
      <c r="D142" s="50" t="s">
        <v>1274</v>
      </c>
      <c r="E142" s="50" t="s">
        <v>1301</v>
      </c>
      <c r="F142" s="50" t="s">
        <v>1290</v>
      </c>
      <c r="G142" s="51">
        <v>673.49</v>
      </c>
      <c r="H142" s="51">
        <v>620.09</v>
      </c>
      <c r="I142" s="51">
        <v>34.386800000000001</v>
      </c>
      <c r="J142" s="51">
        <v>55.522599999999997</v>
      </c>
      <c r="K142" s="51">
        <v>27.444199999999999</v>
      </c>
      <c r="L142" s="51">
        <v>54.981499999999997</v>
      </c>
      <c r="M142" s="50">
        <v>12.17</v>
      </c>
      <c r="N142" s="51">
        <v>81.96</v>
      </c>
      <c r="O142" s="50">
        <v>0.216</v>
      </c>
      <c r="P142" s="51">
        <v>2001.11</v>
      </c>
      <c r="Q142" s="50">
        <f t="shared" si="4"/>
        <v>1.7</v>
      </c>
      <c r="R142" s="50" t="s">
        <v>587</v>
      </c>
      <c r="S142" s="50" t="s">
        <v>609</v>
      </c>
      <c r="T142" s="50" t="s">
        <v>1329</v>
      </c>
      <c r="U142" s="50" t="s">
        <v>590</v>
      </c>
      <c r="V142" s="53" t="s">
        <v>266</v>
      </c>
    </row>
    <row r="143" spans="1:22" ht="15" customHeight="1" x14ac:dyDescent="0.25">
      <c r="A143" s="50" t="s">
        <v>1518</v>
      </c>
      <c r="B143" s="50" t="s">
        <v>1519</v>
      </c>
      <c r="C143" s="50" t="s">
        <v>1273</v>
      </c>
      <c r="D143" s="50" t="s">
        <v>1250</v>
      </c>
      <c r="E143" s="50" t="s">
        <v>1312</v>
      </c>
      <c r="F143" s="50" t="s">
        <v>1269</v>
      </c>
      <c r="G143" s="51">
        <v>432.82</v>
      </c>
      <c r="H143" s="51">
        <v>398.76</v>
      </c>
      <c r="I143" s="51">
        <v>25</v>
      </c>
      <c r="J143" s="51">
        <v>48.343400000000003</v>
      </c>
      <c r="K143" s="51">
        <v>22.572700000000001</v>
      </c>
      <c r="L143" s="51">
        <v>46.4024</v>
      </c>
      <c r="M143" s="50">
        <v>3.35</v>
      </c>
      <c r="N143" s="51">
        <v>14.5</v>
      </c>
      <c r="O143" s="50">
        <v>-0.63</v>
      </c>
      <c r="P143" s="51">
        <v>674.99</v>
      </c>
      <c r="Q143" s="50">
        <f t="shared" si="4"/>
        <v>3.7</v>
      </c>
      <c r="R143" s="50" t="s">
        <v>587</v>
      </c>
      <c r="S143" s="50" t="s">
        <v>575</v>
      </c>
      <c r="T143" s="50" t="s">
        <v>1264</v>
      </c>
      <c r="U143" s="50" t="s">
        <v>590</v>
      </c>
      <c r="V143" s="53" t="s">
        <v>266</v>
      </c>
    </row>
    <row r="144" spans="1:22" ht="15" customHeight="1" x14ac:dyDescent="0.25">
      <c r="A144" s="50" t="s">
        <v>1520</v>
      </c>
      <c r="B144" s="50" t="s">
        <v>1521</v>
      </c>
      <c r="C144" s="50" t="s">
        <v>1243</v>
      </c>
      <c r="D144" s="50" t="s">
        <v>1267</v>
      </c>
      <c r="E144" s="50" t="s">
        <v>1306</v>
      </c>
      <c r="F144" s="50" t="s">
        <v>1246</v>
      </c>
      <c r="G144" s="51">
        <v>591.47</v>
      </c>
      <c r="H144" s="51">
        <v>579.46</v>
      </c>
      <c r="I144" s="51">
        <v>37.701900000000002</v>
      </c>
      <c r="J144" s="51">
        <v>62.5413</v>
      </c>
      <c r="K144" s="51">
        <v>27.6568</v>
      </c>
      <c r="L144" s="51">
        <v>50.618499999999997</v>
      </c>
      <c r="M144" s="50">
        <v>10.18</v>
      </c>
      <c r="N144" s="51">
        <v>60.21</v>
      </c>
      <c r="O144" s="50">
        <v>0.222</v>
      </c>
      <c r="P144" s="51">
        <v>2271.66</v>
      </c>
      <c r="Q144" s="50">
        <f t="shared" si="4"/>
        <v>1.7</v>
      </c>
      <c r="R144" s="50" t="s">
        <v>587</v>
      </c>
      <c r="S144" s="50" t="s">
        <v>628</v>
      </c>
      <c r="T144" s="50" t="s">
        <v>1254</v>
      </c>
      <c r="U144" s="50" t="s">
        <v>590</v>
      </c>
      <c r="V144" s="53" t="s">
        <v>266</v>
      </c>
    </row>
    <row r="145" spans="1:22" ht="15" customHeight="1" x14ac:dyDescent="0.25">
      <c r="A145" s="50" t="s">
        <v>1522</v>
      </c>
      <c r="B145" s="50" t="s">
        <v>709</v>
      </c>
      <c r="C145" s="50" t="s">
        <v>1250</v>
      </c>
      <c r="D145" s="50" t="s">
        <v>1251</v>
      </c>
      <c r="E145" s="50" t="s">
        <v>1301</v>
      </c>
      <c r="F145" s="50" t="s">
        <v>1269</v>
      </c>
      <c r="G145" s="51">
        <v>544.9</v>
      </c>
      <c r="H145" s="51">
        <v>536.49</v>
      </c>
      <c r="I145" s="51">
        <v>34.145899999999997</v>
      </c>
      <c r="J145" s="51">
        <v>88.243899999999996</v>
      </c>
      <c r="K145" s="51">
        <v>34.3765</v>
      </c>
      <c r="L145" s="51">
        <v>64.011499999999998</v>
      </c>
      <c r="M145" s="50">
        <v>1.25</v>
      </c>
      <c r="N145" s="51">
        <v>6.81</v>
      </c>
      <c r="O145" s="50">
        <v>-5.8000000000000003E-2</v>
      </c>
      <c r="P145" s="51">
        <v>1033.8599999999999</v>
      </c>
      <c r="Q145" s="50">
        <f t="shared" si="4"/>
        <v>3.3</v>
      </c>
      <c r="R145" s="50" t="s">
        <v>587</v>
      </c>
      <c r="S145" s="50" t="s">
        <v>586</v>
      </c>
      <c r="T145" s="50" t="s">
        <v>1257</v>
      </c>
      <c r="U145" s="50" t="s">
        <v>590</v>
      </c>
      <c r="V145" s="53" t="s">
        <v>266</v>
      </c>
    </row>
    <row r="146" spans="1:22" ht="15" customHeight="1" x14ac:dyDescent="0.25">
      <c r="A146" s="50" t="s">
        <v>1523</v>
      </c>
      <c r="B146" s="50" t="s">
        <v>1492</v>
      </c>
      <c r="C146" s="50" t="s">
        <v>1273</v>
      </c>
      <c r="D146" s="50" t="s">
        <v>1279</v>
      </c>
      <c r="E146" s="50" t="s">
        <v>1252</v>
      </c>
      <c r="F146" s="50" t="s">
        <v>1253</v>
      </c>
      <c r="G146" s="51">
        <v>170.06</v>
      </c>
      <c r="H146" s="51">
        <v>158.43</v>
      </c>
      <c r="I146" s="51">
        <v>6.8798000000000004</v>
      </c>
      <c r="J146" s="51">
        <v>19.093</v>
      </c>
      <c r="K146" s="51">
        <v>5.6631999999999998</v>
      </c>
      <c r="L146" s="51">
        <v>8.7383000000000006</v>
      </c>
      <c r="M146" s="50">
        <v>10.94</v>
      </c>
      <c r="N146" s="51">
        <v>18.600000000000001</v>
      </c>
      <c r="O146" s="50">
        <v>0.21</v>
      </c>
      <c r="P146" s="51">
        <v>674.7</v>
      </c>
      <c r="Q146" s="50">
        <f t="shared" si="4"/>
        <v>1</v>
      </c>
      <c r="R146" s="50" t="s">
        <v>587</v>
      </c>
      <c r="S146" s="50" t="s">
        <v>586</v>
      </c>
      <c r="T146" s="50" t="s">
        <v>1260</v>
      </c>
      <c r="U146" s="50" t="s">
        <v>590</v>
      </c>
      <c r="V146" s="53" t="s">
        <v>266</v>
      </c>
    </row>
    <row r="147" spans="1:22" ht="15" customHeight="1" x14ac:dyDescent="0.25">
      <c r="A147" s="50" t="s">
        <v>1524</v>
      </c>
      <c r="B147" s="50" t="s">
        <v>1525</v>
      </c>
      <c r="C147" s="50" t="s">
        <v>1300</v>
      </c>
      <c r="D147" s="50" t="s">
        <v>1279</v>
      </c>
      <c r="E147" s="50" t="s">
        <v>1275</v>
      </c>
      <c r="F147" s="50" t="s">
        <v>1246</v>
      </c>
      <c r="G147" s="51">
        <v>267.08</v>
      </c>
      <c r="H147" s="51">
        <v>252.64</v>
      </c>
      <c r="I147" s="51">
        <v>10.834</v>
      </c>
      <c r="J147" s="51">
        <v>24.091000000000001</v>
      </c>
      <c r="K147" s="51">
        <v>9.81</v>
      </c>
      <c r="L147" s="51">
        <v>17.269400000000001</v>
      </c>
      <c r="M147" s="50">
        <v>2.94</v>
      </c>
      <c r="N147" s="51">
        <v>7.85</v>
      </c>
      <c r="O147" s="50">
        <v>0.219</v>
      </c>
      <c r="P147" s="51">
        <v>1005.52</v>
      </c>
      <c r="Q147" s="50">
        <f t="shared" si="4"/>
        <v>1.1000000000000001</v>
      </c>
      <c r="R147" s="50" t="s">
        <v>587</v>
      </c>
      <c r="S147" s="50" t="s">
        <v>609</v>
      </c>
      <c r="T147" s="50" t="s">
        <v>1264</v>
      </c>
      <c r="U147" s="50" t="s">
        <v>590</v>
      </c>
      <c r="V147" s="53" t="s">
        <v>266</v>
      </c>
    </row>
    <row r="148" spans="1:22" ht="15" customHeight="1" x14ac:dyDescent="0.25">
      <c r="A148" s="50" t="s">
        <v>1526</v>
      </c>
      <c r="B148" s="50" t="s">
        <v>1527</v>
      </c>
      <c r="C148" s="50" t="s">
        <v>1267</v>
      </c>
      <c r="D148" s="50" t="s">
        <v>1289</v>
      </c>
      <c r="E148" s="50" t="s">
        <v>1306</v>
      </c>
      <c r="F148" s="50" t="s">
        <v>1269</v>
      </c>
      <c r="G148" s="51">
        <v>524.1</v>
      </c>
      <c r="H148" s="51">
        <v>503.9</v>
      </c>
      <c r="I148" s="51">
        <v>23.2545</v>
      </c>
      <c r="J148" s="51">
        <v>48.777700000000003</v>
      </c>
      <c r="K148" s="51">
        <v>10.148099999999999</v>
      </c>
      <c r="L148" s="51">
        <v>34.4101</v>
      </c>
      <c r="M148" s="50">
        <v>12.15</v>
      </c>
      <c r="N148" s="51">
        <v>63.68</v>
      </c>
      <c r="O148" s="50">
        <v>-0.57499999999999996</v>
      </c>
      <c r="P148" s="51">
        <v>1885.68</v>
      </c>
      <c r="Q148" s="50">
        <f t="shared" si="4"/>
        <v>1.2</v>
      </c>
      <c r="R148" s="50" t="s">
        <v>587</v>
      </c>
      <c r="S148" s="50" t="s">
        <v>586</v>
      </c>
      <c r="T148" s="50" t="s">
        <v>1315</v>
      </c>
      <c r="U148" s="50" t="s">
        <v>590</v>
      </c>
      <c r="V148" s="53" t="s">
        <v>266</v>
      </c>
    </row>
    <row r="149" spans="1:22" ht="15" customHeight="1" x14ac:dyDescent="0.25">
      <c r="A149" s="50" t="s">
        <v>1528</v>
      </c>
      <c r="B149" s="50" t="s">
        <v>1529</v>
      </c>
      <c r="C149" s="50" t="s">
        <v>1300</v>
      </c>
      <c r="D149" s="50" t="s">
        <v>1284</v>
      </c>
      <c r="E149" s="50" t="s">
        <v>1275</v>
      </c>
      <c r="F149" s="50" t="s">
        <v>1246</v>
      </c>
      <c r="G149" s="51">
        <v>247.03</v>
      </c>
      <c r="H149" s="51">
        <v>227.57</v>
      </c>
      <c r="I149" s="51">
        <v>11.497299999999999</v>
      </c>
      <c r="J149" s="51">
        <v>23.105399999999999</v>
      </c>
      <c r="K149" s="51">
        <v>11.261799999999999</v>
      </c>
      <c r="L149" s="51">
        <v>19.462599999999998</v>
      </c>
      <c r="M149" s="50">
        <v>0.73</v>
      </c>
      <c r="N149" s="51">
        <v>1.8</v>
      </c>
      <c r="O149" s="50">
        <v>-0.64900000000000002</v>
      </c>
      <c r="P149" s="51">
        <v>604.61</v>
      </c>
      <c r="Q149" s="50">
        <f t="shared" si="4"/>
        <v>1.9</v>
      </c>
      <c r="R149" s="50" t="s">
        <v>587</v>
      </c>
      <c r="S149" s="50" t="s">
        <v>575</v>
      </c>
      <c r="T149" s="50" t="s">
        <v>1247</v>
      </c>
      <c r="U149" s="50" t="s">
        <v>590</v>
      </c>
      <c r="V149" s="53" t="s">
        <v>266</v>
      </c>
    </row>
    <row r="150" spans="1:22" ht="15" customHeight="1" x14ac:dyDescent="0.25">
      <c r="A150" s="50" t="s">
        <v>1530</v>
      </c>
      <c r="B150" s="50" t="s">
        <v>1531</v>
      </c>
      <c r="C150" s="50" t="s">
        <v>1273</v>
      </c>
      <c r="D150" s="50" t="s">
        <v>1267</v>
      </c>
      <c r="E150" s="50" t="s">
        <v>1306</v>
      </c>
      <c r="F150" s="50" t="s">
        <v>1290</v>
      </c>
      <c r="G150" s="51">
        <v>352.6</v>
      </c>
      <c r="H150" s="51">
        <v>368.62</v>
      </c>
      <c r="I150" s="51">
        <v>23.336500000000001</v>
      </c>
      <c r="J150" s="51">
        <v>52.375500000000002</v>
      </c>
      <c r="K150" s="51">
        <v>15.5908</v>
      </c>
      <c r="L150" s="51">
        <v>42.6402</v>
      </c>
      <c r="M150" s="50">
        <v>6.39</v>
      </c>
      <c r="N150" s="51">
        <v>22.53</v>
      </c>
      <c r="O150" s="50">
        <v>0.48499999999999999</v>
      </c>
      <c r="P150" s="51">
        <v>1630.36</v>
      </c>
      <c r="Q150" s="50">
        <f t="shared" si="4"/>
        <v>1.4</v>
      </c>
      <c r="R150" s="50" t="s">
        <v>587</v>
      </c>
      <c r="S150" s="50" t="s">
        <v>586</v>
      </c>
      <c r="T150" s="50" t="s">
        <v>1329</v>
      </c>
      <c r="U150" s="50" t="s">
        <v>590</v>
      </c>
      <c r="V150" s="53" t="s">
        <v>266</v>
      </c>
    </row>
    <row r="151" spans="1:22" ht="15" customHeight="1" x14ac:dyDescent="0.25">
      <c r="A151" s="50" t="s">
        <v>1532</v>
      </c>
      <c r="B151" s="50" t="s">
        <v>1325</v>
      </c>
      <c r="C151" s="50" t="s">
        <v>1288</v>
      </c>
      <c r="D151" s="50" t="s">
        <v>1279</v>
      </c>
      <c r="E151" s="50" t="s">
        <v>1301</v>
      </c>
      <c r="F151" s="50" t="s">
        <v>1290</v>
      </c>
      <c r="G151" s="51">
        <v>416.86</v>
      </c>
      <c r="H151" s="51">
        <v>411.17</v>
      </c>
      <c r="I151" s="51">
        <v>26.645299999999999</v>
      </c>
      <c r="J151" s="51">
        <v>68.077100000000002</v>
      </c>
      <c r="K151" s="51">
        <v>12.0695</v>
      </c>
      <c r="L151" s="51">
        <v>35.156999999999996</v>
      </c>
      <c r="M151" s="50">
        <v>12.66</v>
      </c>
      <c r="N151" s="51">
        <v>52.77</v>
      </c>
      <c r="O151" s="50">
        <v>-0.32200000000000001</v>
      </c>
      <c r="P151" s="51">
        <v>1156.76</v>
      </c>
      <c r="Q151" s="50">
        <f t="shared" si="4"/>
        <v>2.2999999999999998</v>
      </c>
      <c r="R151" s="50" t="s">
        <v>587</v>
      </c>
      <c r="S151" s="50" t="s">
        <v>628</v>
      </c>
      <c r="T151" s="50" t="s">
        <v>1254</v>
      </c>
      <c r="U151" s="50" t="s">
        <v>590</v>
      </c>
      <c r="V151" s="53" t="s">
        <v>266</v>
      </c>
    </row>
    <row r="152" spans="1:22" ht="15" customHeight="1" x14ac:dyDescent="0.25">
      <c r="A152" s="50" t="s">
        <v>1533</v>
      </c>
      <c r="B152" s="50" t="s">
        <v>1534</v>
      </c>
      <c r="C152" s="50" t="s">
        <v>1244</v>
      </c>
      <c r="D152" s="50" t="s">
        <v>1244</v>
      </c>
      <c r="E152" s="50" t="s">
        <v>1245</v>
      </c>
      <c r="F152" s="50" t="s">
        <v>1295</v>
      </c>
      <c r="G152" s="51">
        <v>502.53</v>
      </c>
      <c r="H152" s="51">
        <v>493.94</v>
      </c>
      <c r="I152" s="51">
        <v>4.9200999999999997</v>
      </c>
      <c r="J152" s="51">
        <v>10.3157</v>
      </c>
      <c r="K152" s="51">
        <v>3.9245000000000001</v>
      </c>
      <c r="L152" s="51">
        <v>6.8395000000000001</v>
      </c>
      <c r="M152" s="50">
        <v>6.94</v>
      </c>
      <c r="N152" s="51">
        <v>34.880000000000003</v>
      </c>
      <c r="O152" s="50">
        <v>0.90100000000000002</v>
      </c>
      <c r="P152" s="51">
        <v>1114.57</v>
      </c>
      <c r="Q152" s="50">
        <f t="shared" si="4"/>
        <v>0.4</v>
      </c>
      <c r="R152" s="50" t="s">
        <v>587</v>
      </c>
      <c r="S152" s="50" t="s">
        <v>586</v>
      </c>
      <c r="T152" s="50" t="s">
        <v>1254</v>
      </c>
      <c r="U152" s="50" t="s">
        <v>590</v>
      </c>
      <c r="V152" s="53" t="s">
        <v>266</v>
      </c>
    </row>
    <row r="153" spans="1:22" ht="15" customHeight="1" x14ac:dyDescent="0.25">
      <c r="A153" s="50" t="s">
        <v>1535</v>
      </c>
      <c r="B153" s="50" t="s">
        <v>1536</v>
      </c>
      <c r="C153" s="50" t="s">
        <v>1300</v>
      </c>
      <c r="D153" s="50" t="s">
        <v>1267</v>
      </c>
      <c r="E153" s="50" t="s">
        <v>1245</v>
      </c>
      <c r="F153" s="50" t="s">
        <v>1290</v>
      </c>
      <c r="G153" s="51">
        <v>641.95000000000005</v>
      </c>
      <c r="H153" s="51">
        <v>647.57000000000005</v>
      </c>
      <c r="I153" s="51">
        <v>6.1817000000000002</v>
      </c>
      <c r="J153" s="51">
        <v>13.4711</v>
      </c>
      <c r="K153" s="51">
        <v>4.9455999999999998</v>
      </c>
      <c r="L153" s="51">
        <v>8.3587000000000007</v>
      </c>
      <c r="M153" s="50">
        <v>13.88</v>
      </c>
      <c r="N153" s="51">
        <v>89.1</v>
      </c>
      <c r="O153" s="50">
        <v>0.46500000000000002</v>
      </c>
      <c r="P153" s="51">
        <v>2158.16</v>
      </c>
      <c r="Q153" s="50">
        <f t="shared" si="4"/>
        <v>0.3</v>
      </c>
      <c r="R153" s="50" t="s">
        <v>587</v>
      </c>
      <c r="S153" s="50" t="s">
        <v>575</v>
      </c>
      <c r="T153" s="50" t="s">
        <v>1254</v>
      </c>
      <c r="U153" s="50" t="s">
        <v>590</v>
      </c>
      <c r="V153" s="53" t="s">
        <v>266</v>
      </c>
    </row>
    <row r="154" spans="1:22" ht="15" customHeight="1" x14ac:dyDescent="0.25">
      <c r="A154" s="50" t="s">
        <v>1537</v>
      </c>
      <c r="B154" s="50" t="s">
        <v>1538</v>
      </c>
      <c r="C154" s="50" t="s">
        <v>1243</v>
      </c>
      <c r="D154" s="50" t="s">
        <v>1279</v>
      </c>
      <c r="E154" s="50" t="s">
        <v>1306</v>
      </c>
      <c r="F154" s="50" t="s">
        <v>1290</v>
      </c>
      <c r="G154" s="51">
        <v>167.48</v>
      </c>
      <c r="H154" s="51">
        <v>155.31</v>
      </c>
      <c r="I154" s="51">
        <v>4.9747000000000003</v>
      </c>
      <c r="J154" s="51">
        <v>13.1221</v>
      </c>
      <c r="K154" s="51">
        <v>2.4508999999999999</v>
      </c>
      <c r="L154" s="51">
        <v>7.2073</v>
      </c>
      <c r="M154" s="50">
        <v>0.95</v>
      </c>
      <c r="N154" s="51">
        <v>1.59</v>
      </c>
      <c r="O154" s="50">
        <v>0.69599999999999995</v>
      </c>
      <c r="P154" s="51">
        <v>706.9</v>
      </c>
      <c r="Q154" s="50">
        <f t="shared" si="4"/>
        <v>0.7</v>
      </c>
      <c r="R154" s="50" t="s">
        <v>587</v>
      </c>
      <c r="S154" s="50" t="s">
        <v>575</v>
      </c>
      <c r="T154" s="50" t="s">
        <v>1281</v>
      </c>
      <c r="U154" s="50" t="s">
        <v>590</v>
      </c>
      <c r="V154" s="53" t="s">
        <v>266</v>
      </c>
    </row>
    <row r="155" spans="1:22" ht="15" customHeight="1" x14ac:dyDescent="0.25">
      <c r="A155" s="50" t="s">
        <v>1539</v>
      </c>
      <c r="B155" s="50" t="s">
        <v>1540</v>
      </c>
      <c r="C155" s="50" t="s">
        <v>1267</v>
      </c>
      <c r="D155" s="50" t="s">
        <v>1279</v>
      </c>
      <c r="E155" s="50" t="s">
        <v>1245</v>
      </c>
      <c r="F155" s="50" t="s">
        <v>1253</v>
      </c>
      <c r="G155" s="51">
        <v>529.52</v>
      </c>
      <c r="H155" s="51">
        <v>489.54</v>
      </c>
      <c r="I155" s="51">
        <v>26.9377</v>
      </c>
      <c r="J155" s="51">
        <v>63.751300000000001</v>
      </c>
      <c r="K155" s="51">
        <v>15.2973</v>
      </c>
      <c r="L155" s="51">
        <v>36.647199999999998</v>
      </c>
      <c r="M155" s="50">
        <v>4.51</v>
      </c>
      <c r="N155" s="51">
        <v>23.88</v>
      </c>
      <c r="O155" s="50">
        <v>6.5000000000000002E-2</v>
      </c>
      <c r="P155" s="51">
        <v>2058.4</v>
      </c>
      <c r="Q155" s="50">
        <f t="shared" si="4"/>
        <v>1.3</v>
      </c>
      <c r="R155" s="50" t="s">
        <v>587</v>
      </c>
      <c r="S155" s="50" t="s">
        <v>647</v>
      </c>
      <c r="T155" s="50" t="s">
        <v>1315</v>
      </c>
      <c r="U155" s="50" t="s">
        <v>590</v>
      </c>
      <c r="V155" s="53" t="s">
        <v>266</v>
      </c>
    </row>
    <row r="156" spans="1:22" ht="15" customHeight="1" x14ac:dyDescent="0.25">
      <c r="A156" s="50" t="s">
        <v>1541</v>
      </c>
      <c r="B156" s="50" t="s">
        <v>1542</v>
      </c>
      <c r="C156" s="50" t="s">
        <v>1244</v>
      </c>
      <c r="D156" s="50" t="s">
        <v>1284</v>
      </c>
      <c r="E156" s="50" t="s">
        <v>1301</v>
      </c>
      <c r="F156" s="50" t="s">
        <v>1269</v>
      </c>
      <c r="G156" s="51">
        <v>672.06</v>
      </c>
      <c r="H156" s="51">
        <v>693.52</v>
      </c>
      <c r="I156" s="51">
        <v>9.9501000000000008</v>
      </c>
      <c r="J156" s="51">
        <v>22.398</v>
      </c>
      <c r="K156" s="51">
        <v>8.3529999999999998</v>
      </c>
      <c r="L156" s="51">
        <v>14.0977</v>
      </c>
      <c r="M156" s="50">
        <v>14.17</v>
      </c>
      <c r="N156" s="51">
        <v>95.23</v>
      </c>
      <c r="O156" s="50">
        <v>0.60799999999999998</v>
      </c>
      <c r="P156" s="51">
        <v>2433.7600000000002</v>
      </c>
      <c r="Q156" s="50">
        <f t="shared" si="4"/>
        <v>0.4</v>
      </c>
      <c r="R156" s="50" t="s">
        <v>587</v>
      </c>
      <c r="S156" s="50" t="s">
        <v>638</v>
      </c>
      <c r="T156" s="50" t="s">
        <v>1276</v>
      </c>
      <c r="U156" s="50" t="s">
        <v>590</v>
      </c>
      <c r="V156" s="53" t="s">
        <v>266</v>
      </c>
    </row>
    <row r="157" spans="1:22" ht="15" customHeight="1" x14ac:dyDescent="0.25">
      <c r="A157" s="50" t="s">
        <v>1543</v>
      </c>
      <c r="B157" s="50" t="s">
        <v>1544</v>
      </c>
      <c r="C157" s="50" t="s">
        <v>1288</v>
      </c>
      <c r="D157" s="50" t="s">
        <v>1251</v>
      </c>
      <c r="E157" s="50" t="s">
        <v>1275</v>
      </c>
      <c r="F157" s="50" t="s">
        <v>1263</v>
      </c>
      <c r="G157" s="51">
        <v>63.99</v>
      </c>
      <c r="H157" s="51">
        <v>59.24</v>
      </c>
      <c r="I157" s="51">
        <v>3.7915999999999999</v>
      </c>
      <c r="J157" s="51">
        <v>6.2961</v>
      </c>
      <c r="K157" s="51">
        <v>2.6802000000000001</v>
      </c>
      <c r="L157" s="51">
        <v>4.8110999999999997</v>
      </c>
      <c r="M157" s="50">
        <v>6.06</v>
      </c>
      <c r="N157" s="51">
        <v>3.88</v>
      </c>
      <c r="O157" s="50">
        <v>0.40899999999999997</v>
      </c>
      <c r="P157" s="51">
        <v>273.66000000000003</v>
      </c>
      <c r="Q157" s="50">
        <f t="shared" si="4"/>
        <v>1.4</v>
      </c>
      <c r="R157" s="50" t="s">
        <v>587</v>
      </c>
      <c r="S157" s="50" t="s">
        <v>618</v>
      </c>
      <c r="T157" s="50" t="s">
        <v>1329</v>
      </c>
      <c r="U157" s="50" t="s">
        <v>590</v>
      </c>
      <c r="V157" s="53" t="s">
        <v>266</v>
      </c>
    </row>
    <row r="158" spans="1:22" ht="15" customHeight="1" x14ac:dyDescent="0.25">
      <c r="A158" s="50" t="s">
        <v>1545</v>
      </c>
      <c r="B158" s="50" t="s">
        <v>1463</v>
      </c>
      <c r="C158" s="50" t="s">
        <v>1300</v>
      </c>
      <c r="D158" s="50" t="s">
        <v>1251</v>
      </c>
      <c r="E158" s="50" t="s">
        <v>1245</v>
      </c>
      <c r="F158" s="50" t="s">
        <v>1290</v>
      </c>
      <c r="G158" s="51">
        <v>507.64</v>
      </c>
      <c r="H158" s="51">
        <v>535.14</v>
      </c>
      <c r="I158" s="51">
        <v>21.981400000000001</v>
      </c>
      <c r="J158" s="51">
        <v>60.853700000000003</v>
      </c>
      <c r="K158" s="51">
        <v>22.0824</v>
      </c>
      <c r="L158" s="51">
        <v>34.567</v>
      </c>
      <c r="M158" s="50">
        <v>2.2400000000000002</v>
      </c>
      <c r="N158" s="51">
        <v>11.37</v>
      </c>
      <c r="O158" s="50">
        <v>0.626</v>
      </c>
      <c r="P158" s="51">
        <v>2525.2800000000002</v>
      </c>
      <c r="Q158" s="50">
        <f t="shared" si="4"/>
        <v>0.9</v>
      </c>
      <c r="R158" s="50" t="s">
        <v>587</v>
      </c>
      <c r="S158" s="50" t="s">
        <v>618</v>
      </c>
      <c r="T158" s="50" t="s">
        <v>1276</v>
      </c>
      <c r="U158" s="50" t="s">
        <v>590</v>
      </c>
      <c r="V158" s="53" t="s">
        <v>266</v>
      </c>
    </row>
    <row r="159" spans="1:22" ht="15" customHeight="1" x14ac:dyDescent="0.25">
      <c r="A159" s="50" t="s">
        <v>1546</v>
      </c>
      <c r="B159" s="50" t="s">
        <v>709</v>
      </c>
      <c r="C159" s="50" t="s">
        <v>1300</v>
      </c>
      <c r="D159" s="50" t="s">
        <v>1289</v>
      </c>
      <c r="E159" s="50" t="s">
        <v>1312</v>
      </c>
      <c r="F159" s="50" t="s">
        <v>1290</v>
      </c>
      <c r="G159" s="51">
        <v>664.79</v>
      </c>
      <c r="H159" s="51">
        <v>630.72</v>
      </c>
      <c r="I159" s="51">
        <v>40.071800000000003</v>
      </c>
      <c r="J159" s="51">
        <v>76.523600000000002</v>
      </c>
      <c r="K159" s="51">
        <v>27.68</v>
      </c>
      <c r="L159" s="51">
        <v>53.963999999999999</v>
      </c>
      <c r="M159" s="50">
        <v>13.78</v>
      </c>
      <c r="N159" s="51">
        <v>91.61</v>
      </c>
      <c r="O159" s="50">
        <v>-0.33900000000000002</v>
      </c>
      <c r="P159" s="51">
        <v>2846.29</v>
      </c>
      <c r="Q159" s="50">
        <f t="shared" si="4"/>
        <v>1.4</v>
      </c>
      <c r="R159" s="50" t="s">
        <v>587</v>
      </c>
      <c r="S159" s="50" t="s">
        <v>575</v>
      </c>
      <c r="T159" s="50" t="s">
        <v>1281</v>
      </c>
      <c r="U159" s="50" t="s">
        <v>590</v>
      </c>
      <c r="V159" s="53" t="s">
        <v>266</v>
      </c>
    </row>
    <row r="160" spans="1:22" ht="15" customHeight="1" x14ac:dyDescent="0.25">
      <c r="A160" s="50" t="s">
        <v>1547</v>
      </c>
      <c r="B160" s="50" t="s">
        <v>1548</v>
      </c>
      <c r="C160" s="50" t="s">
        <v>1267</v>
      </c>
      <c r="D160" s="50" t="s">
        <v>1244</v>
      </c>
      <c r="E160" s="50" t="s">
        <v>1312</v>
      </c>
      <c r="F160" s="50" t="s">
        <v>1269</v>
      </c>
      <c r="G160" s="51">
        <v>265.47000000000003</v>
      </c>
      <c r="H160" s="51">
        <v>268.72000000000003</v>
      </c>
      <c r="I160" s="51">
        <v>4.9954000000000001</v>
      </c>
      <c r="J160" s="51">
        <v>12.5961</v>
      </c>
      <c r="K160" s="51">
        <v>4.4137000000000004</v>
      </c>
      <c r="L160" s="51">
        <v>6.5035999999999996</v>
      </c>
      <c r="M160" s="50">
        <v>1.81</v>
      </c>
      <c r="N160" s="51">
        <v>4.8099999999999996</v>
      </c>
      <c r="O160" s="50">
        <v>0.63500000000000001</v>
      </c>
      <c r="P160" s="51">
        <v>1152.45</v>
      </c>
      <c r="Q160" s="50">
        <f t="shared" si="4"/>
        <v>0.4</v>
      </c>
      <c r="R160" s="50" t="s">
        <v>587</v>
      </c>
      <c r="S160" s="50" t="s">
        <v>575</v>
      </c>
      <c r="T160" s="50" t="s">
        <v>1285</v>
      </c>
      <c r="U160" s="50" t="s">
        <v>590</v>
      </c>
      <c r="V160" s="53" t="s">
        <v>266</v>
      </c>
    </row>
    <row r="161" spans="1:22" ht="15" customHeight="1" x14ac:dyDescent="0.25">
      <c r="A161" s="50" t="s">
        <v>1549</v>
      </c>
      <c r="B161" s="50" t="s">
        <v>1474</v>
      </c>
      <c r="C161" s="50" t="s">
        <v>1243</v>
      </c>
      <c r="D161" s="50" t="s">
        <v>1284</v>
      </c>
      <c r="E161" s="50" t="s">
        <v>1275</v>
      </c>
      <c r="F161" s="50" t="s">
        <v>1263</v>
      </c>
      <c r="G161" s="51">
        <v>298.55</v>
      </c>
      <c r="H161" s="51">
        <v>299.35000000000002</v>
      </c>
      <c r="I161" s="51">
        <v>13.918100000000001</v>
      </c>
      <c r="J161" s="51">
        <v>31.4207</v>
      </c>
      <c r="K161" s="51">
        <v>16.411000000000001</v>
      </c>
      <c r="L161" s="51">
        <v>20.975300000000001</v>
      </c>
      <c r="M161" s="50">
        <v>5.31</v>
      </c>
      <c r="N161" s="51">
        <v>15.85</v>
      </c>
      <c r="O161" s="50">
        <v>0.628</v>
      </c>
      <c r="P161" s="51">
        <v>1068.2</v>
      </c>
      <c r="Q161" s="50">
        <f t="shared" si="4"/>
        <v>1.3</v>
      </c>
      <c r="R161" s="50" t="s">
        <v>587</v>
      </c>
      <c r="S161" s="50" t="s">
        <v>602</v>
      </c>
      <c r="T161" s="50" t="s">
        <v>1329</v>
      </c>
      <c r="U161" s="50" t="s">
        <v>590</v>
      </c>
      <c r="V161" s="53" t="s">
        <v>266</v>
      </c>
    </row>
    <row r="162" spans="1:22" ht="15" customHeight="1" x14ac:dyDescent="0.25">
      <c r="A162" s="50" t="s">
        <v>1550</v>
      </c>
      <c r="B162" s="50" t="s">
        <v>1409</v>
      </c>
      <c r="C162" s="50" t="s">
        <v>1288</v>
      </c>
      <c r="D162" s="50" t="s">
        <v>1292</v>
      </c>
      <c r="E162" s="50" t="s">
        <v>1252</v>
      </c>
      <c r="F162" s="50" t="s">
        <v>1253</v>
      </c>
      <c r="G162" s="51">
        <v>478.64</v>
      </c>
      <c r="H162" s="51">
        <v>511.13</v>
      </c>
      <c r="I162" s="51">
        <v>26.6495</v>
      </c>
      <c r="J162" s="51">
        <v>69.397900000000007</v>
      </c>
      <c r="K162" s="51">
        <v>13.097099999999999</v>
      </c>
      <c r="L162" s="51">
        <v>44.6875</v>
      </c>
      <c r="M162" s="50">
        <v>5.08</v>
      </c>
      <c r="N162" s="51">
        <v>24.31</v>
      </c>
      <c r="O162" s="50">
        <v>-0.80500000000000005</v>
      </c>
      <c r="P162" s="51">
        <v>1563.17</v>
      </c>
      <c r="Q162" s="50">
        <f t="shared" si="4"/>
        <v>1.7</v>
      </c>
      <c r="R162" s="50" t="s">
        <v>587</v>
      </c>
      <c r="S162" s="50" t="s">
        <v>586</v>
      </c>
      <c r="T162" s="50" t="s">
        <v>1260</v>
      </c>
      <c r="U162" s="50" t="s">
        <v>590</v>
      </c>
      <c r="V162" s="53" t="s">
        <v>266</v>
      </c>
    </row>
    <row r="163" spans="1:22" ht="15" customHeight="1" x14ac:dyDescent="0.25">
      <c r="A163" s="50" t="s">
        <v>1551</v>
      </c>
      <c r="B163" s="50" t="s">
        <v>1552</v>
      </c>
      <c r="C163" s="50" t="s">
        <v>1288</v>
      </c>
      <c r="D163" s="50" t="s">
        <v>1244</v>
      </c>
      <c r="E163" s="50" t="s">
        <v>1306</v>
      </c>
      <c r="F163" s="50" t="s">
        <v>1246</v>
      </c>
      <c r="G163" s="51">
        <v>546.79999999999995</v>
      </c>
      <c r="H163" s="51">
        <v>544.49</v>
      </c>
      <c r="I163" s="51">
        <v>21.0425</v>
      </c>
      <c r="J163" s="51">
        <v>50.337800000000001</v>
      </c>
      <c r="K163" s="51">
        <v>9.9410000000000007</v>
      </c>
      <c r="L163" s="51">
        <v>39.004899999999999</v>
      </c>
      <c r="M163" s="50">
        <v>13.34</v>
      </c>
      <c r="N163" s="51">
        <v>72.94</v>
      </c>
      <c r="O163" s="50">
        <v>0.80700000000000005</v>
      </c>
      <c r="P163" s="51">
        <v>2029.02</v>
      </c>
      <c r="Q163" s="50">
        <f t="shared" ref="Q163:Q194" si="5">ROUND(I163/P163*100,1)</f>
        <v>1</v>
      </c>
      <c r="R163" s="50" t="s">
        <v>587</v>
      </c>
      <c r="S163" s="50" t="s">
        <v>716</v>
      </c>
      <c r="T163" s="50" t="s">
        <v>1254</v>
      </c>
      <c r="U163" s="50" t="s">
        <v>590</v>
      </c>
      <c r="V163" s="53" t="s">
        <v>266</v>
      </c>
    </row>
    <row r="164" spans="1:22" ht="15" customHeight="1" x14ac:dyDescent="0.25">
      <c r="A164" s="50" t="s">
        <v>1553</v>
      </c>
      <c r="B164" s="50" t="s">
        <v>1542</v>
      </c>
      <c r="C164" s="50" t="s">
        <v>1273</v>
      </c>
      <c r="D164" s="50" t="s">
        <v>1279</v>
      </c>
      <c r="E164" s="50" t="s">
        <v>1268</v>
      </c>
      <c r="F164" s="50" t="s">
        <v>1263</v>
      </c>
      <c r="G164" s="51">
        <v>442.43</v>
      </c>
      <c r="H164" s="51">
        <v>446.6</v>
      </c>
      <c r="I164" s="51">
        <v>9.2674000000000003</v>
      </c>
      <c r="J164" s="51">
        <v>24.585599999999999</v>
      </c>
      <c r="K164" s="51">
        <v>5.9291999999999998</v>
      </c>
      <c r="L164" s="51">
        <v>17.010100000000001</v>
      </c>
      <c r="M164" s="50">
        <v>10.29</v>
      </c>
      <c r="N164" s="51">
        <v>45.53</v>
      </c>
      <c r="O164" s="50">
        <v>0.83699999999999997</v>
      </c>
      <c r="P164" s="51">
        <v>2134.02</v>
      </c>
      <c r="Q164" s="50">
        <f t="shared" si="5"/>
        <v>0.4</v>
      </c>
      <c r="R164" s="50" t="s">
        <v>587</v>
      </c>
      <c r="S164" s="50" t="s">
        <v>575</v>
      </c>
      <c r="T164" s="50" t="s">
        <v>1276</v>
      </c>
      <c r="U164" s="50" t="s">
        <v>590</v>
      </c>
      <c r="V164" s="53" t="s">
        <v>266</v>
      </c>
    </row>
    <row r="165" spans="1:22" ht="15" customHeight="1" x14ac:dyDescent="0.25">
      <c r="A165" s="50" t="s">
        <v>1554</v>
      </c>
      <c r="B165" s="50" t="s">
        <v>1555</v>
      </c>
      <c r="C165" s="50" t="s">
        <v>1288</v>
      </c>
      <c r="D165" s="50" t="s">
        <v>1279</v>
      </c>
      <c r="E165" s="50" t="s">
        <v>1312</v>
      </c>
      <c r="F165" s="50" t="s">
        <v>1290</v>
      </c>
      <c r="G165" s="51">
        <v>601.17999999999995</v>
      </c>
      <c r="H165" s="51">
        <v>560.59</v>
      </c>
      <c r="I165" s="51">
        <v>35.802999999999997</v>
      </c>
      <c r="J165" s="51">
        <v>98.869200000000006</v>
      </c>
      <c r="K165" s="51">
        <v>14.3454</v>
      </c>
      <c r="L165" s="51">
        <v>59.004199999999997</v>
      </c>
      <c r="M165" s="50">
        <v>14.69</v>
      </c>
      <c r="N165" s="51">
        <v>88.31</v>
      </c>
      <c r="O165" s="50">
        <v>-0.78100000000000003</v>
      </c>
      <c r="P165" s="51">
        <v>1394.6</v>
      </c>
      <c r="Q165" s="50">
        <f t="shared" si="5"/>
        <v>2.6</v>
      </c>
      <c r="R165" s="50" t="s">
        <v>587</v>
      </c>
      <c r="S165" s="50" t="s">
        <v>716</v>
      </c>
      <c r="T165" s="50" t="s">
        <v>1332</v>
      </c>
      <c r="U165" s="50" t="s">
        <v>590</v>
      </c>
      <c r="V165" s="53" t="s">
        <v>266</v>
      </c>
    </row>
    <row r="166" spans="1:22" ht="15" customHeight="1" x14ac:dyDescent="0.25">
      <c r="A166" s="50" t="s">
        <v>1556</v>
      </c>
      <c r="B166" s="50" t="s">
        <v>1557</v>
      </c>
      <c r="C166" s="50" t="s">
        <v>1250</v>
      </c>
      <c r="D166" s="50" t="s">
        <v>1250</v>
      </c>
      <c r="E166" s="50" t="s">
        <v>1306</v>
      </c>
      <c r="F166" s="50" t="s">
        <v>1295</v>
      </c>
      <c r="G166" s="51">
        <v>506.89</v>
      </c>
      <c r="H166" s="51">
        <v>507.5</v>
      </c>
      <c r="I166" s="51">
        <v>17.753299999999999</v>
      </c>
      <c r="J166" s="51">
        <v>32.905000000000001</v>
      </c>
      <c r="K166" s="51">
        <v>9.5641999999999996</v>
      </c>
      <c r="L166" s="51">
        <v>23.2791</v>
      </c>
      <c r="M166" s="50">
        <v>8.4600000000000009</v>
      </c>
      <c r="N166" s="51">
        <v>42.88</v>
      </c>
      <c r="O166" s="50">
        <v>0.68700000000000006</v>
      </c>
      <c r="P166" s="51">
        <v>1401.21</v>
      </c>
      <c r="Q166" s="50">
        <f t="shared" si="5"/>
        <v>1.3</v>
      </c>
      <c r="R166" s="50" t="s">
        <v>587</v>
      </c>
      <c r="S166" s="50" t="s">
        <v>602</v>
      </c>
      <c r="T166" s="50" t="s">
        <v>1254</v>
      </c>
      <c r="U166" s="50" t="s">
        <v>590</v>
      </c>
      <c r="V166" s="53" t="s">
        <v>266</v>
      </c>
    </row>
    <row r="167" spans="1:22" ht="15" customHeight="1" x14ac:dyDescent="0.25">
      <c r="A167" s="50" t="s">
        <v>1558</v>
      </c>
      <c r="B167" s="50" t="s">
        <v>1031</v>
      </c>
      <c r="C167" s="50" t="s">
        <v>1243</v>
      </c>
      <c r="D167" s="50" t="s">
        <v>1274</v>
      </c>
      <c r="E167" s="50" t="s">
        <v>1252</v>
      </c>
      <c r="F167" s="50" t="s">
        <v>1269</v>
      </c>
      <c r="G167" s="51">
        <v>78.069999999999993</v>
      </c>
      <c r="H167" s="51">
        <v>72.069999999999993</v>
      </c>
      <c r="I167" s="51">
        <v>3.7997000000000001</v>
      </c>
      <c r="J167" s="51">
        <v>8.2987000000000002</v>
      </c>
      <c r="K167" s="51">
        <v>2.8473999999999999</v>
      </c>
      <c r="L167" s="51">
        <v>7.5697000000000001</v>
      </c>
      <c r="M167" s="50">
        <v>1.54</v>
      </c>
      <c r="N167" s="51">
        <v>1.2</v>
      </c>
      <c r="O167" s="50">
        <v>0.28399999999999997</v>
      </c>
      <c r="P167" s="51">
        <v>213</v>
      </c>
      <c r="Q167" s="50">
        <f t="shared" si="5"/>
        <v>1.8</v>
      </c>
      <c r="R167" s="50" t="s">
        <v>587</v>
      </c>
      <c r="S167" s="50" t="s">
        <v>618</v>
      </c>
      <c r="T167" s="50" t="s">
        <v>1270</v>
      </c>
      <c r="U167" s="50" t="s">
        <v>590</v>
      </c>
      <c r="V167" s="53" t="s">
        <v>266</v>
      </c>
    </row>
    <row r="168" spans="1:22" ht="15" customHeight="1" x14ac:dyDescent="0.25">
      <c r="A168" s="50" t="s">
        <v>1559</v>
      </c>
      <c r="B168" s="50" t="s">
        <v>1560</v>
      </c>
      <c r="C168" s="50" t="s">
        <v>1288</v>
      </c>
      <c r="D168" s="50" t="s">
        <v>1274</v>
      </c>
      <c r="E168" s="50" t="s">
        <v>1312</v>
      </c>
      <c r="F168" s="50" t="s">
        <v>1246</v>
      </c>
      <c r="G168" s="51">
        <v>314.16000000000003</v>
      </c>
      <c r="H168" s="51">
        <v>340.55</v>
      </c>
      <c r="I168" s="51">
        <v>10.847300000000001</v>
      </c>
      <c r="J168" s="51">
        <v>20.2941</v>
      </c>
      <c r="K168" s="51">
        <v>8.0250000000000004</v>
      </c>
      <c r="L168" s="51">
        <v>13.081200000000001</v>
      </c>
      <c r="M168" s="50">
        <v>7.62</v>
      </c>
      <c r="N168" s="51">
        <v>23.94</v>
      </c>
      <c r="O168" s="50">
        <v>0.46200000000000002</v>
      </c>
      <c r="P168" s="51">
        <v>1359.63</v>
      </c>
      <c r="Q168" s="50">
        <f t="shared" si="5"/>
        <v>0.8</v>
      </c>
      <c r="R168" s="50" t="s">
        <v>587</v>
      </c>
      <c r="S168" s="50" t="s">
        <v>586</v>
      </c>
      <c r="T168" s="50" t="s">
        <v>1260</v>
      </c>
      <c r="U168" s="50" t="s">
        <v>590</v>
      </c>
      <c r="V168" s="53" t="s">
        <v>266</v>
      </c>
    </row>
    <row r="169" spans="1:22" ht="15" customHeight="1" x14ac:dyDescent="0.25">
      <c r="A169" s="50" t="s">
        <v>1561</v>
      </c>
      <c r="B169" s="50" t="s">
        <v>1562</v>
      </c>
      <c r="C169" s="50" t="s">
        <v>1267</v>
      </c>
      <c r="D169" s="50" t="s">
        <v>1267</v>
      </c>
      <c r="E169" s="50" t="s">
        <v>1275</v>
      </c>
      <c r="F169" s="50" t="s">
        <v>1263</v>
      </c>
      <c r="G169" s="51">
        <v>502.27</v>
      </c>
      <c r="H169" s="51">
        <v>473.46</v>
      </c>
      <c r="I169" s="51">
        <v>17.922799999999999</v>
      </c>
      <c r="J169" s="51">
        <v>43.527299999999997</v>
      </c>
      <c r="K169" s="51">
        <v>9.2064000000000004</v>
      </c>
      <c r="L169" s="51">
        <v>31.992799999999999</v>
      </c>
      <c r="M169" s="50">
        <v>14.76</v>
      </c>
      <c r="N169" s="51">
        <v>74.14</v>
      </c>
      <c r="O169" s="50">
        <v>0.96699999999999997</v>
      </c>
      <c r="P169" s="51">
        <v>2000.86</v>
      </c>
      <c r="Q169" s="50">
        <f t="shared" si="5"/>
        <v>0.9</v>
      </c>
      <c r="R169" s="50" t="s">
        <v>587</v>
      </c>
      <c r="S169" s="50" t="s">
        <v>618</v>
      </c>
      <c r="T169" s="50" t="s">
        <v>1285</v>
      </c>
      <c r="U169" s="50" t="s">
        <v>590</v>
      </c>
      <c r="V169" s="53" t="s">
        <v>266</v>
      </c>
    </row>
    <row r="170" spans="1:22" ht="15" customHeight="1" x14ac:dyDescent="0.25">
      <c r="A170" s="50" t="s">
        <v>1563</v>
      </c>
      <c r="B170" s="50" t="s">
        <v>1352</v>
      </c>
      <c r="C170" s="50" t="s">
        <v>1288</v>
      </c>
      <c r="D170" s="50" t="s">
        <v>1244</v>
      </c>
      <c r="E170" s="50" t="s">
        <v>1252</v>
      </c>
      <c r="F170" s="50" t="s">
        <v>1263</v>
      </c>
      <c r="G170" s="51">
        <v>452.54</v>
      </c>
      <c r="H170" s="51">
        <v>476.41</v>
      </c>
      <c r="I170" s="51">
        <v>23.563500000000001</v>
      </c>
      <c r="J170" s="51">
        <v>57.044600000000003</v>
      </c>
      <c r="K170" s="51">
        <v>19.589700000000001</v>
      </c>
      <c r="L170" s="51">
        <v>39.2027</v>
      </c>
      <c r="M170" s="50">
        <v>9.31</v>
      </c>
      <c r="N170" s="51">
        <v>42.13</v>
      </c>
      <c r="O170" s="50">
        <v>0.80700000000000005</v>
      </c>
      <c r="P170" s="51">
        <v>1606.75</v>
      </c>
      <c r="Q170" s="50">
        <f t="shared" si="5"/>
        <v>1.5</v>
      </c>
      <c r="R170" s="50" t="s">
        <v>587</v>
      </c>
      <c r="S170" s="50" t="s">
        <v>716</v>
      </c>
      <c r="T170" s="50" t="s">
        <v>1281</v>
      </c>
      <c r="U170" s="50" t="s">
        <v>590</v>
      </c>
      <c r="V170" s="53" t="s">
        <v>266</v>
      </c>
    </row>
    <row r="171" spans="1:22" ht="15" customHeight="1" x14ac:dyDescent="0.25">
      <c r="A171" s="50" t="s">
        <v>1564</v>
      </c>
      <c r="B171" s="50" t="s">
        <v>1565</v>
      </c>
      <c r="C171" s="50" t="s">
        <v>1288</v>
      </c>
      <c r="D171" s="50" t="s">
        <v>1289</v>
      </c>
      <c r="E171" s="50" t="s">
        <v>1275</v>
      </c>
      <c r="F171" s="50" t="s">
        <v>1253</v>
      </c>
      <c r="G171" s="51">
        <v>252.11</v>
      </c>
      <c r="H171" s="51">
        <v>249.74</v>
      </c>
      <c r="I171" s="51">
        <v>17.1374</v>
      </c>
      <c r="J171" s="51">
        <v>33.4786</v>
      </c>
      <c r="K171" s="51">
        <v>9.1515000000000004</v>
      </c>
      <c r="L171" s="51">
        <v>30.094000000000001</v>
      </c>
      <c r="M171" s="50">
        <v>9.09</v>
      </c>
      <c r="N171" s="51">
        <v>22.92</v>
      </c>
      <c r="O171" s="50">
        <v>-0.39200000000000002</v>
      </c>
      <c r="P171" s="51">
        <v>1060.79</v>
      </c>
      <c r="Q171" s="50">
        <f t="shared" si="5"/>
        <v>1.6</v>
      </c>
      <c r="R171" s="50" t="s">
        <v>587</v>
      </c>
      <c r="S171" s="50" t="s">
        <v>586</v>
      </c>
      <c r="T171" s="50" t="s">
        <v>1264</v>
      </c>
      <c r="U171" s="50" t="s">
        <v>590</v>
      </c>
      <c r="V171" s="53" t="s">
        <v>266</v>
      </c>
    </row>
    <row r="172" spans="1:22" ht="15" customHeight="1" x14ac:dyDescent="0.25">
      <c r="A172" s="50" t="s">
        <v>1566</v>
      </c>
      <c r="B172" s="50" t="s">
        <v>831</v>
      </c>
      <c r="C172" s="50" t="s">
        <v>1288</v>
      </c>
      <c r="D172" s="50" t="s">
        <v>1274</v>
      </c>
      <c r="E172" s="50" t="s">
        <v>1275</v>
      </c>
      <c r="F172" s="50" t="s">
        <v>1269</v>
      </c>
      <c r="G172" s="51">
        <v>469.73</v>
      </c>
      <c r="H172" s="51">
        <v>459.56</v>
      </c>
      <c r="I172" s="51">
        <v>24.686399999999999</v>
      </c>
      <c r="J172" s="51">
        <v>40.306899999999999</v>
      </c>
      <c r="K172" s="51">
        <v>19.4481</v>
      </c>
      <c r="L172" s="51">
        <v>32.128300000000003</v>
      </c>
      <c r="M172" s="50">
        <v>1.43</v>
      </c>
      <c r="N172" s="51">
        <v>6.72</v>
      </c>
      <c r="O172" s="50">
        <v>0.56799999999999995</v>
      </c>
      <c r="P172" s="51">
        <v>1094.75</v>
      </c>
      <c r="Q172" s="50">
        <f t="shared" si="5"/>
        <v>2.2999999999999998</v>
      </c>
      <c r="R172" s="50" t="s">
        <v>587</v>
      </c>
      <c r="S172" s="50" t="s">
        <v>586</v>
      </c>
      <c r="T172" s="50" t="s">
        <v>1315</v>
      </c>
      <c r="U172" s="50" t="s">
        <v>590</v>
      </c>
      <c r="V172" s="53" t="s">
        <v>266</v>
      </c>
    </row>
    <row r="173" spans="1:22" ht="15" customHeight="1" x14ac:dyDescent="0.25">
      <c r="A173" s="50" t="s">
        <v>1567</v>
      </c>
      <c r="B173" s="50" t="s">
        <v>1568</v>
      </c>
      <c r="C173" s="50" t="s">
        <v>1267</v>
      </c>
      <c r="D173" s="50" t="s">
        <v>1244</v>
      </c>
      <c r="E173" s="50" t="s">
        <v>1275</v>
      </c>
      <c r="F173" s="50" t="s">
        <v>1290</v>
      </c>
      <c r="G173" s="51">
        <v>639.79</v>
      </c>
      <c r="H173" s="51">
        <v>683.16</v>
      </c>
      <c r="I173" s="51">
        <v>33.384399999999999</v>
      </c>
      <c r="J173" s="51">
        <v>68.228399999999993</v>
      </c>
      <c r="K173" s="51">
        <v>18.0382</v>
      </c>
      <c r="L173" s="51">
        <v>60.960700000000003</v>
      </c>
      <c r="M173" s="50">
        <v>3.77</v>
      </c>
      <c r="N173" s="51">
        <v>24.12</v>
      </c>
      <c r="O173" s="50">
        <v>-0.63800000000000001</v>
      </c>
      <c r="P173" s="51">
        <v>2285.7600000000002</v>
      </c>
      <c r="Q173" s="50">
        <f t="shared" si="5"/>
        <v>1.5</v>
      </c>
      <c r="R173" s="50" t="s">
        <v>587</v>
      </c>
      <c r="S173" s="50" t="s">
        <v>716</v>
      </c>
      <c r="T173" s="50" t="s">
        <v>1257</v>
      </c>
      <c r="U173" s="50" t="s">
        <v>590</v>
      </c>
      <c r="V173" s="53" t="s">
        <v>266</v>
      </c>
    </row>
    <row r="174" spans="1:22" ht="15" customHeight="1" x14ac:dyDescent="0.25">
      <c r="A174" s="50" t="s">
        <v>1569</v>
      </c>
      <c r="B174" s="50" t="s">
        <v>836</v>
      </c>
      <c r="C174" s="50" t="s">
        <v>1244</v>
      </c>
      <c r="D174" s="50" t="s">
        <v>1274</v>
      </c>
      <c r="E174" s="50" t="s">
        <v>1245</v>
      </c>
      <c r="F174" s="50" t="s">
        <v>1263</v>
      </c>
      <c r="G174" s="51">
        <v>534.35</v>
      </c>
      <c r="H174" s="51">
        <v>535.73</v>
      </c>
      <c r="I174" s="51">
        <v>17.012799999999999</v>
      </c>
      <c r="J174" s="51">
        <v>40.708199999999998</v>
      </c>
      <c r="K174" s="51">
        <v>16.6861</v>
      </c>
      <c r="L174" s="51">
        <v>22.6921</v>
      </c>
      <c r="M174" s="50">
        <v>8.7899999999999991</v>
      </c>
      <c r="N174" s="51">
        <v>46.97</v>
      </c>
      <c r="O174" s="50">
        <v>0.68400000000000005</v>
      </c>
      <c r="P174" s="51">
        <v>905.46</v>
      </c>
      <c r="Q174" s="50">
        <f t="shared" si="5"/>
        <v>1.9</v>
      </c>
      <c r="R174" s="50" t="s">
        <v>587</v>
      </c>
      <c r="S174" s="50" t="s">
        <v>586</v>
      </c>
      <c r="T174" s="50" t="s">
        <v>1276</v>
      </c>
      <c r="U174" s="50" t="s">
        <v>590</v>
      </c>
      <c r="V174" s="53" t="s">
        <v>266</v>
      </c>
    </row>
    <row r="175" spans="1:22" ht="15" customHeight="1" x14ac:dyDescent="0.25">
      <c r="A175" s="50" t="s">
        <v>1570</v>
      </c>
      <c r="B175" s="50" t="s">
        <v>1420</v>
      </c>
      <c r="C175" s="50" t="s">
        <v>1244</v>
      </c>
      <c r="D175" s="50" t="s">
        <v>1289</v>
      </c>
      <c r="E175" s="50" t="s">
        <v>1312</v>
      </c>
      <c r="F175" s="50" t="s">
        <v>1263</v>
      </c>
      <c r="G175" s="51">
        <v>231.92</v>
      </c>
      <c r="H175" s="51">
        <v>247.98</v>
      </c>
      <c r="I175" s="51">
        <v>13.552199999999999</v>
      </c>
      <c r="J175" s="51">
        <v>30.343699999999998</v>
      </c>
      <c r="K175" s="51">
        <v>9.5386000000000006</v>
      </c>
      <c r="L175" s="51">
        <v>23.912700000000001</v>
      </c>
      <c r="M175" s="50">
        <v>7.28</v>
      </c>
      <c r="N175" s="51">
        <v>16.88</v>
      </c>
      <c r="O175" s="50">
        <v>-0.71</v>
      </c>
      <c r="P175" s="51">
        <v>1127.31</v>
      </c>
      <c r="Q175" s="50">
        <f t="shared" si="5"/>
        <v>1.2</v>
      </c>
      <c r="R175" s="50" t="s">
        <v>587</v>
      </c>
      <c r="S175" s="50" t="s">
        <v>716</v>
      </c>
      <c r="T175" s="50" t="s">
        <v>1315</v>
      </c>
      <c r="U175" s="50" t="s">
        <v>590</v>
      </c>
      <c r="V175" s="53" t="s">
        <v>266</v>
      </c>
    </row>
    <row r="176" spans="1:22" ht="15" customHeight="1" x14ac:dyDescent="0.25">
      <c r="A176" s="50" t="s">
        <v>1571</v>
      </c>
      <c r="B176" s="50" t="s">
        <v>1572</v>
      </c>
      <c r="C176" s="50" t="s">
        <v>1273</v>
      </c>
      <c r="D176" s="50" t="s">
        <v>1251</v>
      </c>
      <c r="E176" s="50" t="s">
        <v>1275</v>
      </c>
      <c r="F176" s="50" t="s">
        <v>1253</v>
      </c>
      <c r="G176" s="51">
        <v>670.43</v>
      </c>
      <c r="H176" s="51">
        <v>629.85</v>
      </c>
      <c r="I176" s="51">
        <v>25.786200000000001</v>
      </c>
      <c r="J176" s="51">
        <v>52.206600000000002</v>
      </c>
      <c r="K176" s="51">
        <v>27.7303</v>
      </c>
      <c r="L176" s="51">
        <v>43.537100000000002</v>
      </c>
      <c r="M176" s="50">
        <v>9.89</v>
      </c>
      <c r="N176" s="51">
        <v>66.31</v>
      </c>
      <c r="O176" s="50">
        <v>-0.45500000000000002</v>
      </c>
      <c r="P176" s="51">
        <v>1540.7</v>
      </c>
      <c r="Q176" s="50">
        <f t="shared" si="5"/>
        <v>1.7</v>
      </c>
      <c r="R176" s="50" t="s">
        <v>587</v>
      </c>
      <c r="S176" s="50" t="s">
        <v>647</v>
      </c>
      <c r="T176" s="50" t="s">
        <v>1315</v>
      </c>
      <c r="U176" s="50" t="s">
        <v>590</v>
      </c>
      <c r="V176" s="53" t="s">
        <v>266</v>
      </c>
    </row>
    <row r="177" spans="1:22" ht="15" customHeight="1" x14ac:dyDescent="0.25">
      <c r="A177" s="50" t="s">
        <v>1573</v>
      </c>
      <c r="B177" s="50" t="s">
        <v>1574</v>
      </c>
      <c r="C177" s="50" t="s">
        <v>1273</v>
      </c>
      <c r="D177" s="50" t="s">
        <v>1292</v>
      </c>
      <c r="E177" s="50" t="s">
        <v>1306</v>
      </c>
      <c r="F177" s="50" t="s">
        <v>1253</v>
      </c>
      <c r="G177" s="51">
        <v>424.45</v>
      </c>
      <c r="H177" s="51">
        <v>407.04</v>
      </c>
      <c r="I177" s="51">
        <v>11.7713</v>
      </c>
      <c r="J177" s="51">
        <v>28.584599999999998</v>
      </c>
      <c r="K177" s="51">
        <v>6.4028</v>
      </c>
      <c r="L177" s="51">
        <v>19.282399999999999</v>
      </c>
      <c r="M177" s="50">
        <v>10.19</v>
      </c>
      <c r="N177" s="51">
        <v>43.25</v>
      </c>
      <c r="O177" s="50">
        <v>0.66300000000000003</v>
      </c>
      <c r="P177" s="51">
        <v>627.6</v>
      </c>
      <c r="Q177" s="50">
        <f t="shared" si="5"/>
        <v>1.9</v>
      </c>
      <c r="R177" s="50" t="s">
        <v>587</v>
      </c>
      <c r="S177" s="50" t="s">
        <v>647</v>
      </c>
      <c r="T177" s="50" t="s">
        <v>1285</v>
      </c>
      <c r="U177" s="50" t="s">
        <v>590</v>
      </c>
      <c r="V177" s="53" t="s">
        <v>266</v>
      </c>
    </row>
    <row r="178" spans="1:22" ht="15" customHeight="1" x14ac:dyDescent="0.25">
      <c r="A178" s="50" t="s">
        <v>1575</v>
      </c>
      <c r="B178" s="50" t="s">
        <v>1576</v>
      </c>
      <c r="C178" s="50" t="s">
        <v>1250</v>
      </c>
      <c r="D178" s="50" t="s">
        <v>1289</v>
      </c>
      <c r="E178" s="50" t="s">
        <v>1268</v>
      </c>
      <c r="F178" s="50" t="s">
        <v>1290</v>
      </c>
      <c r="G178" s="51">
        <v>515.91999999999996</v>
      </c>
      <c r="H178" s="51">
        <v>500.64</v>
      </c>
      <c r="I178" s="51">
        <v>5.0617999999999999</v>
      </c>
      <c r="J178" s="51">
        <v>11.8612</v>
      </c>
      <c r="K178" s="51">
        <v>2.2551000000000001</v>
      </c>
      <c r="L178" s="51">
        <v>8.4801000000000002</v>
      </c>
      <c r="M178" s="50">
        <v>13.44</v>
      </c>
      <c r="N178" s="51">
        <v>69.34</v>
      </c>
      <c r="O178" s="50">
        <v>-0.56599999999999995</v>
      </c>
      <c r="P178" s="51">
        <v>1801.23</v>
      </c>
      <c r="Q178" s="50">
        <f t="shared" si="5"/>
        <v>0.3</v>
      </c>
      <c r="R178" s="50" t="s">
        <v>587</v>
      </c>
      <c r="S178" s="50" t="s">
        <v>647</v>
      </c>
      <c r="T178" s="50" t="s">
        <v>1270</v>
      </c>
      <c r="U178" s="50" t="s">
        <v>590</v>
      </c>
      <c r="V178" s="53" t="s">
        <v>266</v>
      </c>
    </row>
    <row r="179" spans="1:22" ht="15" customHeight="1" x14ac:dyDescent="0.25">
      <c r="A179" s="50" t="s">
        <v>1577</v>
      </c>
      <c r="B179" s="50" t="s">
        <v>1578</v>
      </c>
      <c r="C179" s="50" t="s">
        <v>1267</v>
      </c>
      <c r="D179" s="50" t="s">
        <v>1274</v>
      </c>
      <c r="E179" s="50" t="s">
        <v>1312</v>
      </c>
      <c r="F179" s="50" t="s">
        <v>1253</v>
      </c>
      <c r="G179" s="51">
        <v>541.78</v>
      </c>
      <c r="H179" s="51">
        <v>568.64</v>
      </c>
      <c r="I179" s="51">
        <v>32.866500000000002</v>
      </c>
      <c r="J179" s="51">
        <v>59.873600000000003</v>
      </c>
      <c r="K179" s="51">
        <v>16.0611</v>
      </c>
      <c r="L179" s="51">
        <v>44.284700000000001</v>
      </c>
      <c r="M179" s="50">
        <v>4.63</v>
      </c>
      <c r="N179" s="51">
        <v>25.08</v>
      </c>
      <c r="O179" s="50">
        <v>0.32100000000000001</v>
      </c>
      <c r="P179" s="51">
        <v>1003.65</v>
      </c>
      <c r="Q179" s="50">
        <f t="shared" si="5"/>
        <v>3.3</v>
      </c>
      <c r="R179" s="50" t="s">
        <v>587</v>
      </c>
      <c r="S179" s="50" t="s">
        <v>618</v>
      </c>
      <c r="T179" s="50" t="s">
        <v>1315</v>
      </c>
      <c r="U179" s="50" t="s">
        <v>590</v>
      </c>
      <c r="V179" s="53" t="s">
        <v>266</v>
      </c>
    </row>
    <row r="180" spans="1:22" ht="15" customHeight="1" x14ac:dyDescent="0.25">
      <c r="A180" s="50" t="s">
        <v>1579</v>
      </c>
      <c r="B180" s="50" t="s">
        <v>1110</v>
      </c>
      <c r="C180" s="50" t="s">
        <v>1250</v>
      </c>
      <c r="D180" s="50" t="s">
        <v>1251</v>
      </c>
      <c r="E180" s="50" t="s">
        <v>1268</v>
      </c>
      <c r="F180" s="50" t="s">
        <v>1290</v>
      </c>
      <c r="G180" s="51">
        <v>553.09</v>
      </c>
      <c r="H180" s="51">
        <v>539.52</v>
      </c>
      <c r="I180" s="51">
        <v>6.4029999999999996</v>
      </c>
      <c r="J180" s="51">
        <v>13.230600000000001</v>
      </c>
      <c r="K180" s="51">
        <v>7.6628999999999996</v>
      </c>
      <c r="L180" s="51">
        <v>9.0063999999999993</v>
      </c>
      <c r="M180" s="50">
        <v>12.25</v>
      </c>
      <c r="N180" s="51">
        <v>67.75</v>
      </c>
      <c r="O180" s="50">
        <v>-0.64400000000000002</v>
      </c>
      <c r="P180" s="51">
        <v>940.33</v>
      </c>
      <c r="Q180" s="50">
        <f t="shared" si="5"/>
        <v>0.7</v>
      </c>
      <c r="R180" s="50" t="s">
        <v>587</v>
      </c>
      <c r="S180" s="50" t="s">
        <v>609</v>
      </c>
      <c r="T180" s="50" t="s">
        <v>1329</v>
      </c>
      <c r="U180" s="50" t="s">
        <v>590</v>
      </c>
      <c r="V180" s="53" t="s">
        <v>266</v>
      </c>
    </row>
    <row r="181" spans="1:22" ht="15" customHeight="1" x14ac:dyDescent="0.25">
      <c r="A181" s="50" t="s">
        <v>1580</v>
      </c>
      <c r="B181" s="50" t="s">
        <v>1581</v>
      </c>
      <c r="C181" s="50" t="s">
        <v>1244</v>
      </c>
      <c r="D181" s="50" t="s">
        <v>1289</v>
      </c>
      <c r="E181" s="50" t="s">
        <v>1301</v>
      </c>
      <c r="F181" s="50" t="s">
        <v>1290</v>
      </c>
      <c r="G181" s="51">
        <v>392.22</v>
      </c>
      <c r="H181" s="51">
        <v>394.67</v>
      </c>
      <c r="I181" s="51">
        <v>18.180800000000001</v>
      </c>
      <c r="J181" s="51">
        <v>31.407299999999999</v>
      </c>
      <c r="K181" s="51">
        <v>13.695</v>
      </c>
      <c r="L181" s="51">
        <v>25.584</v>
      </c>
      <c r="M181" s="50">
        <v>0.81</v>
      </c>
      <c r="N181" s="51">
        <v>3.18</v>
      </c>
      <c r="O181" s="50">
        <v>-0.85899999999999999</v>
      </c>
      <c r="P181" s="51">
        <v>1597</v>
      </c>
      <c r="Q181" s="50">
        <f t="shared" si="5"/>
        <v>1.1000000000000001</v>
      </c>
      <c r="R181" s="50" t="s">
        <v>587</v>
      </c>
      <c r="S181" s="50" t="s">
        <v>618</v>
      </c>
      <c r="T181" s="50" t="s">
        <v>1264</v>
      </c>
      <c r="U181" s="50" t="s">
        <v>590</v>
      </c>
      <c r="V181" s="53" t="s">
        <v>266</v>
      </c>
    </row>
    <row r="182" spans="1:22" ht="15" customHeight="1" x14ac:dyDescent="0.25">
      <c r="A182" s="50" t="s">
        <v>1582</v>
      </c>
      <c r="B182" s="50" t="s">
        <v>1583</v>
      </c>
      <c r="C182" s="50" t="s">
        <v>1244</v>
      </c>
      <c r="D182" s="50" t="s">
        <v>1267</v>
      </c>
      <c r="E182" s="50" t="s">
        <v>1301</v>
      </c>
      <c r="F182" s="50" t="s">
        <v>1253</v>
      </c>
      <c r="G182" s="51">
        <v>291.62</v>
      </c>
      <c r="H182" s="51">
        <v>277.13</v>
      </c>
      <c r="I182" s="51">
        <v>7.8841999999999999</v>
      </c>
      <c r="J182" s="51">
        <v>16.3171</v>
      </c>
      <c r="K182" s="51">
        <v>3.177</v>
      </c>
      <c r="L182" s="51">
        <v>13.924200000000001</v>
      </c>
      <c r="M182" s="50">
        <v>11.63</v>
      </c>
      <c r="N182" s="51">
        <v>33.92</v>
      </c>
      <c r="O182" s="50">
        <v>-4.3999999999999997E-2</v>
      </c>
      <c r="P182" s="51">
        <v>807.47</v>
      </c>
      <c r="Q182" s="50">
        <f t="shared" si="5"/>
        <v>1</v>
      </c>
      <c r="R182" s="50" t="s">
        <v>587</v>
      </c>
      <c r="S182" s="50" t="s">
        <v>647</v>
      </c>
      <c r="T182" s="50" t="s">
        <v>1285</v>
      </c>
      <c r="U182" s="50" t="s">
        <v>590</v>
      </c>
      <c r="V182" s="53" t="s">
        <v>266</v>
      </c>
    </row>
    <row r="183" spans="1:22" ht="15" customHeight="1" x14ac:dyDescent="0.25">
      <c r="A183" s="50" t="s">
        <v>1584</v>
      </c>
      <c r="B183" s="50" t="s">
        <v>1585</v>
      </c>
      <c r="C183" s="50" t="s">
        <v>1267</v>
      </c>
      <c r="D183" s="50" t="s">
        <v>1250</v>
      </c>
      <c r="E183" s="50" t="s">
        <v>1306</v>
      </c>
      <c r="F183" s="50" t="s">
        <v>1263</v>
      </c>
      <c r="G183" s="51">
        <v>111.21</v>
      </c>
      <c r="H183" s="51">
        <v>114.22</v>
      </c>
      <c r="I183" s="51">
        <v>7.9359000000000002</v>
      </c>
      <c r="J183" s="51">
        <v>15.8728</v>
      </c>
      <c r="K183" s="51">
        <v>5.0968999999999998</v>
      </c>
      <c r="L183" s="51">
        <v>9.8734999999999999</v>
      </c>
      <c r="M183" s="50">
        <v>14.96</v>
      </c>
      <c r="N183" s="51">
        <v>16.64</v>
      </c>
      <c r="O183" s="50">
        <v>0.29399999999999998</v>
      </c>
      <c r="P183" s="51">
        <v>317.39</v>
      </c>
      <c r="Q183" s="50">
        <f t="shared" si="5"/>
        <v>2.5</v>
      </c>
      <c r="R183" s="50" t="s">
        <v>587</v>
      </c>
      <c r="S183" s="50" t="s">
        <v>575</v>
      </c>
      <c r="T183" s="50" t="s">
        <v>1276</v>
      </c>
      <c r="U183" s="50" t="s">
        <v>590</v>
      </c>
      <c r="V183" s="53" t="s">
        <v>266</v>
      </c>
    </row>
    <row r="184" spans="1:22" ht="15" customHeight="1" x14ac:dyDescent="0.25">
      <c r="A184" s="50" t="s">
        <v>1586</v>
      </c>
      <c r="B184" s="50" t="s">
        <v>1314</v>
      </c>
      <c r="C184" s="50" t="s">
        <v>1243</v>
      </c>
      <c r="D184" s="50" t="s">
        <v>1284</v>
      </c>
      <c r="E184" s="50" t="s">
        <v>1306</v>
      </c>
      <c r="F184" s="50" t="s">
        <v>1290</v>
      </c>
      <c r="G184" s="51">
        <v>148.33000000000001</v>
      </c>
      <c r="H184" s="51">
        <v>137.63</v>
      </c>
      <c r="I184" s="51">
        <v>4.3791000000000002</v>
      </c>
      <c r="J184" s="51">
        <v>8.0103000000000009</v>
      </c>
      <c r="K184" s="51">
        <v>4.1894999999999998</v>
      </c>
      <c r="L184" s="51">
        <v>8.3955000000000002</v>
      </c>
      <c r="M184" s="50">
        <v>9.57</v>
      </c>
      <c r="N184" s="51">
        <v>14.2</v>
      </c>
      <c r="O184" s="50">
        <v>-0.28100000000000003</v>
      </c>
      <c r="P184" s="51">
        <v>247.32</v>
      </c>
      <c r="Q184" s="50">
        <f t="shared" si="5"/>
        <v>1.8</v>
      </c>
      <c r="R184" s="50" t="s">
        <v>587</v>
      </c>
      <c r="S184" s="50" t="s">
        <v>618</v>
      </c>
      <c r="T184" s="50" t="s">
        <v>1270</v>
      </c>
      <c r="U184" s="50" t="s">
        <v>590</v>
      </c>
      <c r="V184" s="53" t="s">
        <v>266</v>
      </c>
    </row>
    <row r="185" spans="1:22" ht="15" customHeight="1" x14ac:dyDescent="0.25">
      <c r="A185" s="50" t="s">
        <v>1587</v>
      </c>
      <c r="B185" s="50" t="s">
        <v>1588</v>
      </c>
      <c r="C185" s="50" t="s">
        <v>1244</v>
      </c>
      <c r="D185" s="50" t="s">
        <v>1267</v>
      </c>
      <c r="E185" s="50" t="s">
        <v>1252</v>
      </c>
      <c r="F185" s="50" t="s">
        <v>1269</v>
      </c>
      <c r="G185" s="51">
        <v>512.23</v>
      </c>
      <c r="H185" s="51">
        <v>532</v>
      </c>
      <c r="I185" s="51">
        <v>20.392800000000001</v>
      </c>
      <c r="J185" s="51">
        <v>34.17</v>
      </c>
      <c r="K185" s="51">
        <v>16.9758</v>
      </c>
      <c r="L185" s="51">
        <v>29.491800000000001</v>
      </c>
      <c r="M185" s="50">
        <v>8.15</v>
      </c>
      <c r="N185" s="51">
        <v>41.75</v>
      </c>
      <c r="O185" s="50">
        <v>0.66900000000000004</v>
      </c>
      <c r="P185" s="51">
        <v>1634.61</v>
      </c>
      <c r="Q185" s="50">
        <f t="shared" si="5"/>
        <v>1.2</v>
      </c>
      <c r="R185" s="50" t="s">
        <v>587</v>
      </c>
      <c r="S185" s="50" t="s">
        <v>716</v>
      </c>
      <c r="T185" s="50" t="s">
        <v>1264</v>
      </c>
      <c r="U185" s="50" t="s">
        <v>590</v>
      </c>
      <c r="V185" s="53" t="s">
        <v>266</v>
      </c>
    </row>
    <row r="186" spans="1:22" ht="15" customHeight="1" x14ac:dyDescent="0.25">
      <c r="A186" s="50" t="s">
        <v>1589</v>
      </c>
      <c r="B186" s="50" t="s">
        <v>1590</v>
      </c>
      <c r="C186" s="50" t="s">
        <v>1267</v>
      </c>
      <c r="D186" s="50" t="s">
        <v>1251</v>
      </c>
      <c r="E186" s="50" t="s">
        <v>1245</v>
      </c>
      <c r="F186" s="50" t="s">
        <v>1253</v>
      </c>
      <c r="G186" s="51">
        <v>58.69</v>
      </c>
      <c r="H186" s="51">
        <v>55.38</v>
      </c>
      <c r="I186" s="51">
        <v>3.2143000000000002</v>
      </c>
      <c r="J186" s="51">
        <v>7.7168000000000001</v>
      </c>
      <c r="K186" s="51">
        <v>2.4643999999999999</v>
      </c>
      <c r="L186" s="51">
        <v>5.6007999999999996</v>
      </c>
      <c r="M186" s="50">
        <v>13.15</v>
      </c>
      <c r="N186" s="51">
        <v>7.72</v>
      </c>
      <c r="O186" s="50">
        <v>-0.70199999999999996</v>
      </c>
      <c r="P186" s="51">
        <v>195.36</v>
      </c>
      <c r="Q186" s="50">
        <f t="shared" si="5"/>
        <v>1.6</v>
      </c>
      <c r="R186" s="50" t="s">
        <v>587</v>
      </c>
      <c r="S186" s="50" t="s">
        <v>647</v>
      </c>
      <c r="T186" s="50" t="s">
        <v>1264</v>
      </c>
      <c r="U186" s="50" t="s">
        <v>590</v>
      </c>
      <c r="V186" s="53" t="s">
        <v>266</v>
      </c>
    </row>
    <row r="187" spans="1:22" ht="15" customHeight="1" x14ac:dyDescent="0.25">
      <c r="A187" s="50" t="s">
        <v>1591</v>
      </c>
      <c r="B187" s="50" t="s">
        <v>1592</v>
      </c>
      <c r="C187" s="50" t="s">
        <v>1273</v>
      </c>
      <c r="D187" s="50" t="s">
        <v>1267</v>
      </c>
      <c r="E187" s="50" t="s">
        <v>1312</v>
      </c>
      <c r="F187" s="50" t="s">
        <v>1246</v>
      </c>
      <c r="G187" s="51">
        <v>60.69</v>
      </c>
      <c r="H187" s="51">
        <v>64.349999999999994</v>
      </c>
      <c r="I187" s="51">
        <v>1.0356000000000001</v>
      </c>
      <c r="J187" s="51">
        <v>1.871</v>
      </c>
      <c r="K187" s="51">
        <v>0.4556</v>
      </c>
      <c r="L187" s="51">
        <v>1.4973000000000001</v>
      </c>
      <c r="M187" s="50">
        <v>11.97</v>
      </c>
      <c r="N187" s="51">
        <v>7.26</v>
      </c>
      <c r="O187" s="50">
        <v>-8.7999999999999995E-2</v>
      </c>
      <c r="P187" s="51">
        <v>134.97</v>
      </c>
      <c r="Q187" s="50">
        <f t="shared" si="5"/>
        <v>0.8</v>
      </c>
      <c r="R187" s="50" t="s">
        <v>587</v>
      </c>
      <c r="S187" s="50" t="s">
        <v>647</v>
      </c>
      <c r="T187" s="50" t="s">
        <v>1276</v>
      </c>
      <c r="U187" s="50" t="s">
        <v>590</v>
      </c>
      <c r="V187" s="53" t="s">
        <v>266</v>
      </c>
    </row>
    <row r="188" spans="1:22" ht="15" customHeight="1" x14ac:dyDescent="0.25">
      <c r="A188" s="50" t="s">
        <v>1593</v>
      </c>
      <c r="B188" s="50" t="s">
        <v>1594</v>
      </c>
      <c r="C188" s="50" t="s">
        <v>1273</v>
      </c>
      <c r="D188" s="50" t="s">
        <v>1292</v>
      </c>
      <c r="E188" s="50" t="s">
        <v>1301</v>
      </c>
      <c r="F188" s="50" t="s">
        <v>1290</v>
      </c>
      <c r="G188" s="51">
        <v>315.56</v>
      </c>
      <c r="H188" s="51">
        <v>341.53</v>
      </c>
      <c r="I188" s="51">
        <v>23.53</v>
      </c>
      <c r="J188" s="51">
        <v>56.803199999999997</v>
      </c>
      <c r="K188" s="51">
        <v>15.5154</v>
      </c>
      <c r="L188" s="51">
        <v>46.605499999999999</v>
      </c>
      <c r="M188" s="50">
        <v>8.77</v>
      </c>
      <c r="N188" s="51">
        <v>27.67</v>
      </c>
      <c r="O188" s="50">
        <v>-0.72499999999999998</v>
      </c>
      <c r="P188" s="51">
        <v>1512.12</v>
      </c>
      <c r="Q188" s="50">
        <f t="shared" si="5"/>
        <v>1.6</v>
      </c>
      <c r="R188" s="50" t="s">
        <v>587</v>
      </c>
      <c r="S188" s="50" t="s">
        <v>609</v>
      </c>
      <c r="T188" s="50" t="s">
        <v>1264</v>
      </c>
      <c r="U188" s="50" t="s">
        <v>590</v>
      </c>
      <c r="V188" s="53" t="s">
        <v>266</v>
      </c>
    </row>
    <row r="189" spans="1:22" ht="15" customHeight="1" x14ac:dyDescent="0.25">
      <c r="A189" s="50" t="s">
        <v>1595</v>
      </c>
      <c r="B189" s="50" t="s">
        <v>643</v>
      </c>
      <c r="C189" s="50" t="s">
        <v>1300</v>
      </c>
      <c r="D189" s="50" t="s">
        <v>1244</v>
      </c>
      <c r="E189" s="50" t="s">
        <v>1301</v>
      </c>
      <c r="F189" s="50" t="s">
        <v>1295</v>
      </c>
      <c r="G189" s="51">
        <v>124.63</v>
      </c>
      <c r="H189" s="51">
        <v>125.01</v>
      </c>
      <c r="I189" s="51">
        <v>6.3967999999999998</v>
      </c>
      <c r="J189" s="51">
        <v>14.482900000000001</v>
      </c>
      <c r="K189" s="51">
        <v>4.8034999999999997</v>
      </c>
      <c r="L189" s="51">
        <v>12.4132</v>
      </c>
      <c r="M189" s="50">
        <v>0.9</v>
      </c>
      <c r="N189" s="51">
        <v>1.1200000000000001</v>
      </c>
      <c r="O189" s="50">
        <v>-0.8</v>
      </c>
      <c r="P189" s="51">
        <v>558.27</v>
      </c>
      <c r="Q189" s="50">
        <f t="shared" si="5"/>
        <v>1.1000000000000001</v>
      </c>
      <c r="R189" s="50" t="s">
        <v>587</v>
      </c>
      <c r="S189" s="50" t="s">
        <v>602</v>
      </c>
      <c r="T189" s="50" t="s">
        <v>1254</v>
      </c>
      <c r="U189" s="50" t="s">
        <v>590</v>
      </c>
      <c r="V189" s="53" t="s">
        <v>266</v>
      </c>
    </row>
    <row r="190" spans="1:22" ht="15" customHeight="1" x14ac:dyDescent="0.25">
      <c r="A190" s="50" t="s">
        <v>1596</v>
      </c>
      <c r="B190" s="50" t="s">
        <v>1597</v>
      </c>
      <c r="C190" s="50" t="s">
        <v>1273</v>
      </c>
      <c r="D190" s="50" t="s">
        <v>1244</v>
      </c>
      <c r="E190" s="50" t="s">
        <v>1301</v>
      </c>
      <c r="F190" s="50" t="s">
        <v>1269</v>
      </c>
      <c r="G190" s="51">
        <v>150.21</v>
      </c>
      <c r="H190" s="51">
        <v>140.87</v>
      </c>
      <c r="I190" s="51">
        <v>6.8193999999999999</v>
      </c>
      <c r="J190" s="51">
        <v>18.168900000000001</v>
      </c>
      <c r="K190" s="51">
        <v>4.9984999999999999</v>
      </c>
      <c r="L190" s="51">
        <v>12.588100000000001</v>
      </c>
      <c r="M190" s="50">
        <v>11.66</v>
      </c>
      <c r="N190" s="51">
        <v>17.510000000000002</v>
      </c>
      <c r="O190" s="50">
        <v>0.38500000000000001</v>
      </c>
      <c r="P190" s="51">
        <v>312.95</v>
      </c>
      <c r="Q190" s="50">
        <f t="shared" si="5"/>
        <v>2.2000000000000002</v>
      </c>
      <c r="R190" s="50" t="s">
        <v>587</v>
      </c>
      <c r="S190" s="50" t="s">
        <v>586</v>
      </c>
      <c r="T190" s="50" t="s">
        <v>1285</v>
      </c>
      <c r="U190" s="50" t="s">
        <v>590</v>
      </c>
      <c r="V190" s="53" t="s">
        <v>266</v>
      </c>
    </row>
    <row r="191" spans="1:22" ht="15" customHeight="1" x14ac:dyDescent="0.25">
      <c r="A191" s="50" t="s">
        <v>1598</v>
      </c>
      <c r="B191" s="50" t="s">
        <v>1599</v>
      </c>
      <c r="C191" s="50" t="s">
        <v>1273</v>
      </c>
      <c r="D191" s="50" t="s">
        <v>1292</v>
      </c>
      <c r="E191" s="50" t="s">
        <v>1252</v>
      </c>
      <c r="F191" s="50" t="s">
        <v>1246</v>
      </c>
      <c r="G191" s="51">
        <v>493.42</v>
      </c>
      <c r="H191" s="51">
        <v>512.79</v>
      </c>
      <c r="I191" s="51">
        <v>26.904199999999999</v>
      </c>
      <c r="J191" s="51">
        <v>62.806800000000003</v>
      </c>
      <c r="K191" s="51">
        <v>12.6562</v>
      </c>
      <c r="L191" s="51">
        <v>50.073700000000002</v>
      </c>
      <c r="M191" s="50">
        <v>4.7300000000000004</v>
      </c>
      <c r="N191" s="51">
        <v>23.34</v>
      </c>
      <c r="O191" s="50">
        <v>-0.16200000000000001</v>
      </c>
      <c r="P191" s="51">
        <v>1770.14</v>
      </c>
      <c r="Q191" s="50">
        <f t="shared" si="5"/>
        <v>1.5</v>
      </c>
      <c r="R191" s="50" t="s">
        <v>587</v>
      </c>
      <c r="S191" s="50" t="s">
        <v>609</v>
      </c>
      <c r="T191" s="50" t="s">
        <v>1276</v>
      </c>
      <c r="U191" s="50" t="s">
        <v>590</v>
      </c>
      <c r="V191" s="53" t="s">
        <v>266</v>
      </c>
    </row>
    <row r="192" spans="1:22" ht="15" customHeight="1" x14ac:dyDescent="0.25">
      <c r="A192" s="50" t="s">
        <v>1600</v>
      </c>
      <c r="B192" s="50" t="s">
        <v>1601</v>
      </c>
      <c r="C192" s="50" t="s">
        <v>1267</v>
      </c>
      <c r="D192" s="50" t="s">
        <v>1251</v>
      </c>
      <c r="E192" s="50" t="s">
        <v>1245</v>
      </c>
      <c r="F192" s="50" t="s">
        <v>1246</v>
      </c>
      <c r="G192" s="51">
        <v>370.05</v>
      </c>
      <c r="H192" s="51">
        <v>374.8</v>
      </c>
      <c r="I192" s="51">
        <v>17.555900000000001</v>
      </c>
      <c r="J192" s="51">
        <v>32.473700000000001</v>
      </c>
      <c r="K192" s="51">
        <v>7.7676999999999996</v>
      </c>
      <c r="L192" s="51">
        <v>22.6496</v>
      </c>
      <c r="M192" s="50">
        <v>2.4900000000000002</v>
      </c>
      <c r="N192" s="51">
        <v>9.2100000000000009</v>
      </c>
      <c r="O192" s="50">
        <v>0.68799999999999994</v>
      </c>
      <c r="P192" s="51">
        <v>1757.89</v>
      </c>
      <c r="Q192" s="50">
        <f t="shared" si="5"/>
        <v>1</v>
      </c>
      <c r="R192" s="50" t="s">
        <v>587</v>
      </c>
      <c r="S192" s="50" t="s">
        <v>618</v>
      </c>
      <c r="T192" s="50" t="s">
        <v>1254</v>
      </c>
      <c r="U192" s="50" t="s">
        <v>590</v>
      </c>
      <c r="V192" s="53" t="s">
        <v>266</v>
      </c>
    </row>
    <row r="193" spans="1:22" ht="15" customHeight="1" x14ac:dyDescent="0.25">
      <c r="A193" s="50" t="s">
        <v>1602</v>
      </c>
      <c r="B193" s="50" t="s">
        <v>1398</v>
      </c>
      <c r="C193" s="50" t="s">
        <v>1250</v>
      </c>
      <c r="D193" s="50" t="s">
        <v>1267</v>
      </c>
      <c r="E193" s="50" t="s">
        <v>1301</v>
      </c>
      <c r="F193" s="50" t="s">
        <v>1253</v>
      </c>
      <c r="G193" s="51">
        <v>274.01</v>
      </c>
      <c r="H193" s="51">
        <v>263.58</v>
      </c>
      <c r="I193" s="51">
        <v>6.2167000000000003</v>
      </c>
      <c r="J193" s="51">
        <v>14.5482</v>
      </c>
      <c r="K193" s="51">
        <v>6.9134000000000002</v>
      </c>
      <c r="L193" s="51">
        <v>9.7136999999999993</v>
      </c>
      <c r="M193" s="50">
        <v>1.83</v>
      </c>
      <c r="N193" s="51">
        <v>5.01</v>
      </c>
      <c r="O193" s="50">
        <v>-0.89500000000000002</v>
      </c>
      <c r="P193" s="51">
        <v>891.1</v>
      </c>
      <c r="Q193" s="50">
        <f t="shared" si="5"/>
        <v>0.7</v>
      </c>
      <c r="R193" s="50" t="s">
        <v>587</v>
      </c>
      <c r="S193" s="50" t="s">
        <v>638</v>
      </c>
      <c r="T193" s="50" t="s">
        <v>1264</v>
      </c>
      <c r="U193" s="50" t="s">
        <v>590</v>
      </c>
      <c r="V193" s="53" t="s">
        <v>266</v>
      </c>
    </row>
    <row r="194" spans="1:22" ht="15" customHeight="1" x14ac:dyDescent="0.25">
      <c r="A194" s="50" t="s">
        <v>1603</v>
      </c>
      <c r="B194" s="50" t="s">
        <v>969</v>
      </c>
      <c r="C194" s="50" t="s">
        <v>1288</v>
      </c>
      <c r="D194" s="50" t="s">
        <v>1244</v>
      </c>
      <c r="E194" s="50" t="s">
        <v>1301</v>
      </c>
      <c r="F194" s="50" t="s">
        <v>1290</v>
      </c>
      <c r="G194" s="51">
        <v>513.34</v>
      </c>
      <c r="H194" s="51">
        <v>533.12</v>
      </c>
      <c r="I194" s="51">
        <v>15.0395</v>
      </c>
      <c r="J194" s="51">
        <v>27.650099999999998</v>
      </c>
      <c r="K194" s="51">
        <v>14.1594</v>
      </c>
      <c r="L194" s="51">
        <v>21.965900000000001</v>
      </c>
      <c r="M194" s="50">
        <v>11.75</v>
      </c>
      <c r="N194" s="51">
        <v>60.32</v>
      </c>
      <c r="O194" s="50">
        <v>-0.34799999999999998</v>
      </c>
      <c r="P194" s="51">
        <v>982.66</v>
      </c>
      <c r="Q194" s="50">
        <f t="shared" si="5"/>
        <v>1.5</v>
      </c>
      <c r="R194" s="50" t="s">
        <v>587</v>
      </c>
      <c r="S194" s="50" t="s">
        <v>602</v>
      </c>
      <c r="T194" s="50" t="s">
        <v>1332</v>
      </c>
      <c r="U194" s="50" t="s">
        <v>590</v>
      </c>
      <c r="V194" s="53" t="s">
        <v>266</v>
      </c>
    </row>
    <row r="195" spans="1:22" ht="15" customHeight="1" x14ac:dyDescent="0.25">
      <c r="A195" s="50" t="s">
        <v>1604</v>
      </c>
      <c r="B195" s="50" t="s">
        <v>1605</v>
      </c>
      <c r="C195" s="50" t="s">
        <v>1244</v>
      </c>
      <c r="D195" s="50" t="s">
        <v>1244</v>
      </c>
      <c r="E195" s="50" t="s">
        <v>1312</v>
      </c>
      <c r="F195" s="50" t="s">
        <v>1246</v>
      </c>
      <c r="G195" s="51">
        <v>354.55</v>
      </c>
      <c r="H195" s="51">
        <v>389.33</v>
      </c>
      <c r="I195" s="51">
        <v>6.6132999999999997</v>
      </c>
      <c r="J195" s="51">
        <v>17.945</v>
      </c>
      <c r="K195" s="51">
        <v>5.0525000000000002</v>
      </c>
      <c r="L195" s="51">
        <v>9.9852000000000007</v>
      </c>
      <c r="M195" s="50">
        <v>2.31</v>
      </c>
      <c r="N195" s="51">
        <v>8.19</v>
      </c>
      <c r="O195" s="50">
        <v>0.44</v>
      </c>
      <c r="P195" s="51">
        <v>1445.22</v>
      </c>
      <c r="Q195" s="50">
        <f t="shared" ref="Q195:Q226" si="6">ROUND(I195/P195*100,1)</f>
        <v>0.5</v>
      </c>
      <c r="R195" s="50" t="s">
        <v>587</v>
      </c>
      <c r="S195" s="50" t="s">
        <v>586</v>
      </c>
      <c r="T195" s="50" t="s">
        <v>1332</v>
      </c>
      <c r="U195" s="50" t="s">
        <v>590</v>
      </c>
      <c r="V195" s="53" t="s">
        <v>266</v>
      </c>
    </row>
    <row r="196" spans="1:22" ht="15" customHeight="1" x14ac:dyDescent="0.25">
      <c r="A196" s="50" t="s">
        <v>1606</v>
      </c>
      <c r="B196" s="50" t="s">
        <v>963</v>
      </c>
      <c r="C196" s="50" t="s">
        <v>1244</v>
      </c>
      <c r="D196" s="50" t="s">
        <v>1267</v>
      </c>
      <c r="E196" s="50" t="s">
        <v>1306</v>
      </c>
      <c r="F196" s="50" t="s">
        <v>1246</v>
      </c>
      <c r="G196" s="51">
        <v>69.97</v>
      </c>
      <c r="H196" s="51">
        <v>66.28</v>
      </c>
      <c r="I196" s="51">
        <v>4.03</v>
      </c>
      <c r="J196" s="51">
        <v>8.6656999999999993</v>
      </c>
      <c r="K196" s="51">
        <v>2.1640000000000001</v>
      </c>
      <c r="L196" s="51">
        <v>5.9436999999999998</v>
      </c>
      <c r="M196" s="50">
        <v>13.33</v>
      </c>
      <c r="N196" s="51">
        <v>9.33</v>
      </c>
      <c r="O196" s="50">
        <v>0.20699999999999999</v>
      </c>
      <c r="P196" s="51">
        <v>282.58</v>
      </c>
      <c r="Q196" s="50">
        <f t="shared" si="6"/>
        <v>1.4</v>
      </c>
      <c r="R196" s="50" t="s">
        <v>587</v>
      </c>
      <c r="S196" s="50" t="s">
        <v>638</v>
      </c>
      <c r="T196" s="50" t="s">
        <v>1329</v>
      </c>
      <c r="U196" s="50" t="s">
        <v>590</v>
      </c>
      <c r="V196" s="53" t="s">
        <v>266</v>
      </c>
    </row>
    <row r="197" spans="1:22" ht="15" customHeight="1" x14ac:dyDescent="0.25">
      <c r="A197" s="50" t="s">
        <v>1607</v>
      </c>
      <c r="B197" s="50" t="s">
        <v>1608</v>
      </c>
      <c r="C197" s="50" t="s">
        <v>1267</v>
      </c>
      <c r="D197" s="50" t="s">
        <v>1250</v>
      </c>
      <c r="E197" s="50" t="s">
        <v>1245</v>
      </c>
      <c r="F197" s="50" t="s">
        <v>1246</v>
      </c>
      <c r="G197" s="51">
        <v>357.77</v>
      </c>
      <c r="H197" s="51">
        <v>400.39</v>
      </c>
      <c r="I197" s="51">
        <v>17.8886</v>
      </c>
      <c r="J197" s="51">
        <v>46.588799999999999</v>
      </c>
      <c r="K197" s="51">
        <v>11.150600000000001</v>
      </c>
      <c r="L197" s="51">
        <v>31.913499999999999</v>
      </c>
      <c r="M197" s="50">
        <v>11.12</v>
      </c>
      <c r="N197" s="51">
        <v>39.78</v>
      </c>
      <c r="O197" s="50">
        <v>-0.50700000000000001</v>
      </c>
      <c r="P197" s="51">
        <v>1059.25</v>
      </c>
      <c r="Q197" s="50">
        <f t="shared" si="6"/>
        <v>1.7</v>
      </c>
      <c r="R197" s="50" t="s">
        <v>587</v>
      </c>
      <c r="S197" s="50" t="s">
        <v>609</v>
      </c>
      <c r="T197" s="50" t="s">
        <v>1329</v>
      </c>
      <c r="U197" s="50" t="s">
        <v>590</v>
      </c>
      <c r="V197" s="53" t="s">
        <v>266</v>
      </c>
    </row>
    <row r="198" spans="1:22" ht="15" customHeight="1" x14ac:dyDescent="0.25">
      <c r="A198" s="50" t="s">
        <v>1609</v>
      </c>
      <c r="B198" s="50" t="s">
        <v>1542</v>
      </c>
      <c r="C198" s="50" t="s">
        <v>1288</v>
      </c>
      <c r="D198" s="50" t="s">
        <v>1267</v>
      </c>
      <c r="E198" s="50" t="s">
        <v>1312</v>
      </c>
      <c r="F198" s="50" t="s">
        <v>1269</v>
      </c>
      <c r="G198" s="51">
        <v>56.84</v>
      </c>
      <c r="H198" s="51">
        <v>57.64</v>
      </c>
      <c r="I198" s="51">
        <v>3.2079</v>
      </c>
      <c r="J198" s="51">
        <v>5.2621000000000002</v>
      </c>
      <c r="K198" s="51">
        <v>2.6461999999999999</v>
      </c>
      <c r="L198" s="51">
        <v>5.0793999999999997</v>
      </c>
      <c r="M198" s="50">
        <v>12.03</v>
      </c>
      <c r="N198" s="51">
        <v>6.84</v>
      </c>
      <c r="O198" s="50">
        <v>0.64300000000000002</v>
      </c>
      <c r="P198" s="51">
        <v>177.74</v>
      </c>
      <c r="Q198" s="50">
        <f t="shared" si="6"/>
        <v>1.8</v>
      </c>
      <c r="R198" s="50" t="s">
        <v>587</v>
      </c>
      <c r="S198" s="50" t="s">
        <v>609</v>
      </c>
      <c r="T198" s="50" t="s">
        <v>1276</v>
      </c>
      <c r="U198" s="50" t="s">
        <v>590</v>
      </c>
      <c r="V198" s="53" t="s">
        <v>266</v>
      </c>
    </row>
    <row r="199" spans="1:22" ht="15" customHeight="1" x14ac:dyDescent="0.25">
      <c r="A199" s="50" t="s">
        <v>1610</v>
      </c>
      <c r="B199" s="50" t="s">
        <v>1611</v>
      </c>
      <c r="C199" s="50" t="s">
        <v>1250</v>
      </c>
      <c r="D199" s="50" t="s">
        <v>1250</v>
      </c>
      <c r="E199" s="50" t="s">
        <v>1252</v>
      </c>
      <c r="F199" s="50" t="s">
        <v>1290</v>
      </c>
      <c r="G199" s="51">
        <v>270.13</v>
      </c>
      <c r="H199" s="51">
        <v>261.44</v>
      </c>
      <c r="I199" s="51">
        <v>18.283799999999999</v>
      </c>
      <c r="J199" s="51">
        <v>29.6036</v>
      </c>
      <c r="K199" s="51">
        <v>17.099499999999999</v>
      </c>
      <c r="L199" s="51">
        <v>24.307300000000001</v>
      </c>
      <c r="M199" s="50">
        <v>7.05</v>
      </c>
      <c r="N199" s="51">
        <v>19.04</v>
      </c>
      <c r="O199" s="50">
        <v>0.14099999999999999</v>
      </c>
      <c r="P199" s="51">
        <v>926.23</v>
      </c>
      <c r="Q199" s="50">
        <f t="shared" si="6"/>
        <v>2</v>
      </c>
      <c r="R199" s="50" t="s">
        <v>587</v>
      </c>
      <c r="S199" s="50" t="s">
        <v>618</v>
      </c>
      <c r="T199" s="50" t="s">
        <v>1281</v>
      </c>
      <c r="U199" s="50" t="s">
        <v>590</v>
      </c>
      <c r="V199" s="53" t="s">
        <v>266</v>
      </c>
    </row>
    <row r="200" spans="1:22" ht="15" customHeight="1" x14ac:dyDescent="0.25">
      <c r="A200" s="50" t="s">
        <v>1612</v>
      </c>
      <c r="B200" s="50" t="s">
        <v>1342</v>
      </c>
      <c r="C200" s="50" t="s">
        <v>1243</v>
      </c>
      <c r="D200" s="50" t="s">
        <v>1250</v>
      </c>
      <c r="E200" s="50" t="s">
        <v>1252</v>
      </c>
      <c r="F200" s="50" t="s">
        <v>1295</v>
      </c>
      <c r="G200" s="51">
        <v>449.96</v>
      </c>
      <c r="H200" s="51">
        <v>477.31</v>
      </c>
      <c r="I200" s="51">
        <v>3.8588</v>
      </c>
      <c r="J200" s="51">
        <v>9.0789000000000009</v>
      </c>
      <c r="K200" s="51">
        <v>2.7317</v>
      </c>
      <c r="L200" s="51">
        <v>6.7629000000000001</v>
      </c>
      <c r="M200" s="50">
        <v>8.1</v>
      </c>
      <c r="N200" s="51">
        <v>36.450000000000003</v>
      </c>
      <c r="O200" s="50">
        <v>-0.40699999999999997</v>
      </c>
      <c r="P200" s="51">
        <v>1973.73</v>
      </c>
      <c r="Q200" s="50">
        <f t="shared" si="6"/>
        <v>0.2</v>
      </c>
      <c r="R200" s="50" t="s">
        <v>587</v>
      </c>
      <c r="S200" s="50" t="s">
        <v>628</v>
      </c>
      <c r="T200" s="50" t="s">
        <v>1329</v>
      </c>
      <c r="U200" s="50" t="s">
        <v>590</v>
      </c>
      <c r="V200" s="53" t="s">
        <v>266</v>
      </c>
    </row>
    <row r="201" spans="1:22" ht="15" customHeight="1" x14ac:dyDescent="0.25">
      <c r="A201" s="50" t="s">
        <v>1613</v>
      </c>
      <c r="B201" s="50" t="s">
        <v>1338</v>
      </c>
      <c r="C201" s="50" t="s">
        <v>1243</v>
      </c>
      <c r="D201" s="50" t="s">
        <v>1244</v>
      </c>
      <c r="E201" s="50" t="s">
        <v>1275</v>
      </c>
      <c r="F201" s="50" t="s">
        <v>1295</v>
      </c>
      <c r="G201" s="51">
        <v>522.96</v>
      </c>
      <c r="H201" s="51">
        <v>486.86</v>
      </c>
      <c r="I201" s="51">
        <v>32.429699999999997</v>
      </c>
      <c r="J201" s="51">
        <v>78.142099999999999</v>
      </c>
      <c r="K201" s="51">
        <v>36.009399999999999</v>
      </c>
      <c r="L201" s="51">
        <v>41.794499999999999</v>
      </c>
      <c r="M201" s="50">
        <v>5.67</v>
      </c>
      <c r="N201" s="51">
        <v>29.65</v>
      </c>
      <c r="O201" s="50">
        <v>0.23799999999999999</v>
      </c>
      <c r="P201" s="51">
        <v>1353.23</v>
      </c>
      <c r="Q201" s="50">
        <f t="shared" si="6"/>
        <v>2.4</v>
      </c>
      <c r="R201" s="50" t="s">
        <v>587</v>
      </c>
      <c r="S201" s="50" t="s">
        <v>638</v>
      </c>
      <c r="T201" s="50" t="s">
        <v>1247</v>
      </c>
      <c r="U201" s="50" t="s">
        <v>590</v>
      </c>
      <c r="V201" s="53" t="s">
        <v>266</v>
      </c>
    </row>
    <row r="202" spans="1:22" ht="15" customHeight="1" x14ac:dyDescent="0.25">
      <c r="A202" s="50" t="s">
        <v>1614</v>
      </c>
      <c r="B202" s="50" t="s">
        <v>1615</v>
      </c>
      <c r="C202" s="50" t="s">
        <v>1288</v>
      </c>
      <c r="D202" s="50" t="s">
        <v>1292</v>
      </c>
      <c r="E202" s="50" t="s">
        <v>1252</v>
      </c>
      <c r="F202" s="50" t="s">
        <v>1295</v>
      </c>
      <c r="G202" s="51">
        <v>189.88</v>
      </c>
      <c r="H202" s="51">
        <v>179</v>
      </c>
      <c r="I202" s="51">
        <v>6.7423000000000002</v>
      </c>
      <c r="J202" s="51">
        <v>18.386099999999999</v>
      </c>
      <c r="K202" s="51">
        <v>5.8259999999999996</v>
      </c>
      <c r="L202" s="51">
        <v>13.263999999999999</v>
      </c>
      <c r="M202" s="50">
        <v>3.38</v>
      </c>
      <c r="N202" s="51">
        <v>6.42</v>
      </c>
      <c r="O202" s="50">
        <v>0.49</v>
      </c>
      <c r="P202" s="51">
        <v>409.74</v>
      </c>
      <c r="Q202" s="50">
        <f t="shared" si="6"/>
        <v>1.6</v>
      </c>
      <c r="R202" s="50" t="s">
        <v>587</v>
      </c>
      <c r="S202" s="50" t="s">
        <v>575</v>
      </c>
      <c r="T202" s="50" t="s">
        <v>1315</v>
      </c>
      <c r="U202" s="50" t="s">
        <v>590</v>
      </c>
      <c r="V202" s="53" t="s">
        <v>266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2"/>
  <sheetViews>
    <sheetView zoomScaleNormal="100" workbookViewId="0">
      <pane xSplit="2" ySplit="2" topLeftCell="F12" activePane="bottomRight" state="frozen"/>
      <selection pane="topRight" activeCell="F1" sqref="F1"/>
      <selection pane="bottomLeft" activeCell="A12" sqref="A12"/>
      <selection pane="bottomRight" activeCell="G18" sqref="G18"/>
    </sheetView>
  </sheetViews>
  <sheetFormatPr defaultColWidth="8.7109375" defaultRowHeight="15" x14ac:dyDescent="0.25"/>
  <cols>
    <col min="1" max="2" width="12" customWidth="1"/>
    <col min="3" max="3" width="16" customWidth="1"/>
    <col min="4" max="5" width="18" customWidth="1"/>
    <col min="6" max="8" width="14" customWidth="1"/>
    <col min="9" max="9" width="10" customWidth="1"/>
    <col min="10" max="11" width="12" customWidth="1"/>
    <col min="12" max="12" width="10" customWidth="1"/>
    <col min="13" max="13" width="16" customWidth="1"/>
    <col min="14" max="14" width="14" customWidth="1"/>
    <col min="15" max="15" width="16" customWidth="1"/>
    <col min="16" max="18" width="14" customWidth="1"/>
    <col min="19" max="20" width="10" customWidth="1"/>
  </cols>
  <sheetData>
    <row r="1" spans="1:20" ht="37.5" customHeight="1" x14ac:dyDescent="0.25">
      <c r="A1" s="137" t="s">
        <v>1616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5"/>
    </row>
    <row r="2" spans="1:20" ht="21.75" customHeight="1" x14ac:dyDescent="0.25">
      <c r="A2" s="45" t="s">
        <v>1617</v>
      </c>
      <c r="B2" s="45" t="s">
        <v>1618</v>
      </c>
      <c r="C2" s="45" t="s">
        <v>1619</v>
      </c>
      <c r="D2" s="45" t="s">
        <v>1620</v>
      </c>
      <c r="E2" s="45" t="s">
        <v>1621</v>
      </c>
      <c r="F2" s="45" t="s">
        <v>1622</v>
      </c>
      <c r="G2" s="45" t="s">
        <v>1623</v>
      </c>
      <c r="H2" s="45" t="s">
        <v>1624</v>
      </c>
      <c r="I2" s="45" t="s">
        <v>213</v>
      </c>
      <c r="J2" s="45" t="s">
        <v>1625</v>
      </c>
      <c r="K2" s="45" t="s">
        <v>1626</v>
      </c>
      <c r="L2" s="45" t="s">
        <v>1627</v>
      </c>
      <c r="M2" s="45" t="s">
        <v>1628</v>
      </c>
      <c r="N2" s="45" t="s">
        <v>1629</v>
      </c>
      <c r="O2" s="45" t="s">
        <v>1630</v>
      </c>
      <c r="P2" s="45" t="s">
        <v>1631</v>
      </c>
      <c r="Q2" s="45" t="s">
        <v>1632</v>
      </c>
      <c r="R2" s="45" t="s">
        <v>1633</v>
      </c>
      <c r="S2" s="45" t="s">
        <v>567</v>
      </c>
      <c r="T2" s="45" t="s">
        <v>568</v>
      </c>
    </row>
    <row r="3" spans="1:20" ht="15" customHeight="1" x14ac:dyDescent="0.25">
      <c r="A3" s="46" t="s">
        <v>1634</v>
      </c>
      <c r="B3" s="46" t="s">
        <v>1635</v>
      </c>
      <c r="C3" s="46" t="s">
        <v>1636</v>
      </c>
      <c r="D3" s="46" t="s">
        <v>1637</v>
      </c>
      <c r="E3" s="46" t="s">
        <v>1638</v>
      </c>
      <c r="F3" s="47">
        <v>0.42699999999999999</v>
      </c>
      <c r="G3" s="47">
        <f t="shared" ref="G3:G34" si="0">ROUND(F3-H3,2)</f>
        <v>0.3</v>
      </c>
      <c r="H3" s="47">
        <v>0.1245</v>
      </c>
      <c r="I3" s="46">
        <v>16</v>
      </c>
      <c r="J3" s="46">
        <v>3</v>
      </c>
      <c r="K3" s="46" t="s">
        <v>576</v>
      </c>
      <c r="L3" s="46" t="s">
        <v>587</v>
      </c>
      <c r="M3" s="46" t="s">
        <v>1639</v>
      </c>
      <c r="N3" s="46" t="s">
        <v>1640</v>
      </c>
      <c r="O3" s="47">
        <f t="shared" ref="O3:O34" si="1">ROUND(F3*I3*0.85,2)</f>
        <v>5.81</v>
      </c>
      <c r="P3" s="46" t="s">
        <v>1641</v>
      </c>
      <c r="Q3" s="46" t="s">
        <v>1642</v>
      </c>
      <c r="R3" s="47">
        <f t="shared" ref="R3:R34" si="2">ROUND(O3/100,2)</f>
        <v>0.06</v>
      </c>
      <c r="S3" s="46" t="s">
        <v>1643</v>
      </c>
      <c r="T3" s="49" t="s">
        <v>321</v>
      </c>
    </row>
    <row r="4" spans="1:20" ht="25.5" customHeight="1" x14ac:dyDescent="0.25">
      <c r="A4" s="46" t="s">
        <v>1644</v>
      </c>
      <c r="B4" s="46" t="s">
        <v>1645</v>
      </c>
      <c r="C4" s="46" t="s">
        <v>1646</v>
      </c>
      <c r="D4" s="46" t="s">
        <v>1647</v>
      </c>
      <c r="E4" s="46" t="s">
        <v>1648</v>
      </c>
      <c r="F4" s="47">
        <v>2.3746</v>
      </c>
      <c r="G4" s="47">
        <f t="shared" si="0"/>
        <v>1.96</v>
      </c>
      <c r="H4" s="47">
        <v>0.41599999999999998</v>
      </c>
      <c r="I4" s="46">
        <v>3</v>
      </c>
      <c r="J4" s="46">
        <v>1.4</v>
      </c>
      <c r="K4" s="46" t="s">
        <v>587</v>
      </c>
      <c r="L4" s="46" t="s">
        <v>576</v>
      </c>
      <c r="M4" s="46" t="s">
        <v>1649</v>
      </c>
      <c r="N4" s="46" t="s">
        <v>1640</v>
      </c>
      <c r="O4" s="47">
        <f t="shared" si="1"/>
        <v>6.06</v>
      </c>
      <c r="P4" s="46" t="s">
        <v>1650</v>
      </c>
      <c r="Q4" s="46" t="s">
        <v>1651</v>
      </c>
      <c r="R4" s="47">
        <f t="shared" si="2"/>
        <v>0.06</v>
      </c>
      <c r="S4" s="46" t="s">
        <v>1652</v>
      </c>
      <c r="T4" s="49" t="s">
        <v>321</v>
      </c>
    </row>
    <row r="5" spans="1:20" ht="15" customHeight="1" x14ac:dyDescent="0.25">
      <c r="A5" s="46" t="s">
        <v>1653</v>
      </c>
      <c r="B5" s="46" t="s">
        <v>1557</v>
      </c>
      <c r="C5" s="46" t="s">
        <v>1654</v>
      </c>
      <c r="D5" s="46" t="s">
        <v>1637</v>
      </c>
      <c r="E5" s="46" t="s">
        <v>1655</v>
      </c>
      <c r="F5" s="47">
        <v>5.819</v>
      </c>
      <c r="G5" s="47">
        <f t="shared" si="0"/>
        <v>3.32</v>
      </c>
      <c r="H5" s="47">
        <v>2.4964</v>
      </c>
      <c r="I5" s="46">
        <v>5</v>
      </c>
      <c r="J5" s="46">
        <v>2.9</v>
      </c>
      <c r="K5" s="46" t="s">
        <v>587</v>
      </c>
      <c r="L5" s="46" t="s">
        <v>587</v>
      </c>
      <c r="M5" s="46" t="s">
        <v>1656</v>
      </c>
      <c r="N5" s="46" t="s">
        <v>1640</v>
      </c>
      <c r="O5" s="47">
        <f t="shared" si="1"/>
        <v>24.73</v>
      </c>
      <c r="P5" s="46" t="s">
        <v>1657</v>
      </c>
      <c r="Q5" s="46" t="s">
        <v>1658</v>
      </c>
      <c r="R5" s="47">
        <f t="shared" si="2"/>
        <v>0.25</v>
      </c>
      <c r="S5" s="46" t="s">
        <v>1643</v>
      </c>
      <c r="T5" s="49" t="s">
        <v>321</v>
      </c>
    </row>
    <row r="6" spans="1:20" ht="15" customHeight="1" x14ac:dyDescent="0.25">
      <c r="A6" s="46" t="s">
        <v>1659</v>
      </c>
      <c r="B6" s="46" t="s">
        <v>1215</v>
      </c>
      <c r="C6" s="46" t="s">
        <v>1660</v>
      </c>
      <c r="D6" s="46" t="s">
        <v>1661</v>
      </c>
      <c r="E6" s="46" t="s">
        <v>1655</v>
      </c>
      <c r="F6" s="47">
        <v>3.4933000000000001</v>
      </c>
      <c r="G6" s="47">
        <f t="shared" si="0"/>
        <v>1.72</v>
      </c>
      <c r="H6" s="47">
        <v>1.7782</v>
      </c>
      <c r="I6" s="46">
        <v>11</v>
      </c>
      <c r="J6" s="46">
        <v>2.9</v>
      </c>
      <c r="K6" s="46" t="s">
        <v>587</v>
      </c>
      <c r="L6" s="46" t="s">
        <v>587</v>
      </c>
      <c r="M6" s="46" t="s">
        <v>1639</v>
      </c>
      <c r="N6" s="46" t="s">
        <v>622</v>
      </c>
      <c r="O6" s="47">
        <f t="shared" si="1"/>
        <v>32.659999999999997</v>
      </c>
      <c r="P6" s="46" t="s">
        <v>1662</v>
      </c>
      <c r="Q6" s="46" t="s">
        <v>1663</v>
      </c>
      <c r="R6" s="47">
        <f t="shared" si="2"/>
        <v>0.33</v>
      </c>
      <c r="S6" s="46" t="s">
        <v>544</v>
      </c>
      <c r="T6" s="49" t="s">
        <v>321</v>
      </c>
    </row>
    <row r="7" spans="1:20" ht="25.5" customHeight="1" x14ac:dyDescent="0.25">
      <c r="A7" s="46" t="s">
        <v>1664</v>
      </c>
      <c r="B7" s="46" t="s">
        <v>1665</v>
      </c>
      <c r="C7" s="46" t="s">
        <v>1666</v>
      </c>
      <c r="D7" s="46" t="s">
        <v>1667</v>
      </c>
      <c r="E7" s="46" t="s">
        <v>1668</v>
      </c>
      <c r="F7" s="47">
        <v>2.2627999999999999</v>
      </c>
      <c r="G7" s="47">
        <f t="shared" si="0"/>
        <v>1.69</v>
      </c>
      <c r="H7" s="47">
        <v>0.5696</v>
      </c>
      <c r="I7" s="46">
        <v>2</v>
      </c>
      <c r="J7" s="46">
        <v>1.6</v>
      </c>
      <c r="K7" s="46" t="s">
        <v>587</v>
      </c>
      <c r="L7" s="46" t="s">
        <v>587</v>
      </c>
      <c r="M7" s="46" t="s">
        <v>1649</v>
      </c>
      <c r="N7" s="46" t="s">
        <v>622</v>
      </c>
      <c r="O7" s="47">
        <f t="shared" si="1"/>
        <v>3.85</v>
      </c>
      <c r="P7" s="46" t="s">
        <v>1669</v>
      </c>
      <c r="Q7" s="46" t="s">
        <v>1670</v>
      </c>
      <c r="R7" s="47">
        <f t="shared" si="2"/>
        <v>0.04</v>
      </c>
      <c r="S7" s="46" t="s">
        <v>544</v>
      </c>
      <c r="T7" s="49" t="s">
        <v>321</v>
      </c>
    </row>
    <row r="8" spans="1:20" ht="15" customHeight="1" x14ac:dyDescent="0.25">
      <c r="A8" s="46" t="s">
        <v>1671</v>
      </c>
      <c r="B8" s="46" t="s">
        <v>1672</v>
      </c>
      <c r="C8" s="46" t="s">
        <v>1673</v>
      </c>
      <c r="D8" s="46" t="s">
        <v>1674</v>
      </c>
      <c r="E8" s="46" t="s">
        <v>1675</v>
      </c>
      <c r="F8" s="47">
        <v>1.4655</v>
      </c>
      <c r="G8" s="47">
        <f t="shared" si="0"/>
        <v>1.35</v>
      </c>
      <c r="H8" s="47">
        <v>0.11550000000000001</v>
      </c>
      <c r="I8" s="46">
        <v>11</v>
      </c>
      <c r="J8" s="46">
        <v>3.3</v>
      </c>
      <c r="K8" s="46" t="s">
        <v>587</v>
      </c>
      <c r="L8" s="46" t="s">
        <v>587</v>
      </c>
      <c r="M8" s="46" t="s">
        <v>1639</v>
      </c>
      <c r="N8" s="46" t="s">
        <v>1676</v>
      </c>
      <c r="O8" s="47">
        <f t="shared" si="1"/>
        <v>13.7</v>
      </c>
      <c r="P8" s="46" t="s">
        <v>1677</v>
      </c>
      <c r="Q8" s="46" t="s">
        <v>1678</v>
      </c>
      <c r="R8" s="47">
        <f t="shared" si="2"/>
        <v>0.14000000000000001</v>
      </c>
      <c r="S8" s="46" t="s">
        <v>1643</v>
      </c>
      <c r="T8" s="49" t="s">
        <v>321</v>
      </c>
    </row>
    <row r="9" spans="1:20" ht="15" customHeight="1" x14ac:dyDescent="0.25">
      <c r="A9" s="46" t="s">
        <v>1679</v>
      </c>
      <c r="B9" s="46" t="s">
        <v>1680</v>
      </c>
      <c r="C9" s="46" t="s">
        <v>680</v>
      </c>
      <c r="D9" s="46" t="s">
        <v>1661</v>
      </c>
      <c r="E9" s="46" t="s">
        <v>1675</v>
      </c>
      <c r="F9" s="47">
        <v>2.2688000000000001</v>
      </c>
      <c r="G9" s="47">
        <f t="shared" si="0"/>
        <v>1.3</v>
      </c>
      <c r="H9" s="47">
        <v>0.9708</v>
      </c>
      <c r="I9" s="46">
        <v>6</v>
      </c>
      <c r="J9" s="46">
        <v>3.1</v>
      </c>
      <c r="K9" s="46" t="s">
        <v>576</v>
      </c>
      <c r="L9" s="46" t="s">
        <v>576</v>
      </c>
      <c r="M9" s="46" t="s">
        <v>1681</v>
      </c>
      <c r="N9" s="46" t="s">
        <v>1640</v>
      </c>
      <c r="O9" s="47">
        <f t="shared" si="1"/>
        <v>11.57</v>
      </c>
      <c r="P9" s="46" t="s">
        <v>1682</v>
      </c>
      <c r="Q9" s="46" t="s">
        <v>1683</v>
      </c>
      <c r="R9" s="47">
        <f t="shared" si="2"/>
        <v>0.12</v>
      </c>
      <c r="S9" s="46" t="s">
        <v>1684</v>
      </c>
      <c r="T9" s="49" t="s">
        <v>321</v>
      </c>
    </row>
    <row r="10" spans="1:20" ht="15" customHeight="1" x14ac:dyDescent="0.25">
      <c r="A10" s="54" t="s">
        <v>1685</v>
      </c>
      <c r="B10" s="54" t="s">
        <v>1340</v>
      </c>
      <c r="C10" s="54" t="s">
        <v>1673</v>
      </c>
      <c r="D10" s="54" t="s">
        <v>1686</v>
      </c>
      <c r="E10" s="54" t="s">
        <v>1687</v>
      </c>
      <c r="F10" s="55">
        <v>5.8548</v>
      </c>
      <c r="G10" s="55">
        <f t="shared" si="0"/>
        <v>4.2</v>
      </c>
      <c r="H10" s="55">
        <v>1.6504000000000001</v>
      </c>
      <c r="I10" s="54">
        <v>23</v>
      </c>
      <c r="J10" s="54">
        <v>2.2000000000000002</v>
      </c>
      <c r="K10" s="54" t="s">
        <v>587</v>
      </c>
      <c r="L10" s="54" t="s">
        <v>1684</v>
      </c>
      <c r="M10" s="54" t="s">
        <v>1649</v>
      </c>
      <c r="N10" s="54" t="s">
        <v>622</v>
      </c>
      <c r="O10" s="55">
        <f t="shared" si="1"/>
        <v>114.46</v>
      </c>
      <c r="P10" s="54" t="s">
        <v>1688</v>
      </c>
      <c r="Q10" s="54" t="s">
        <v>1209</v>
      </c>
      <c r="R10" s="55">
        <f t="shared" si="2"/>
        <v>1.1399999999999999</v>
      </c>
      <c r="S10" s="54" t="s">
        <v>1684</v>
      </c>
      <c r="T10" s="57" t="s">
        <v>495</v>
      </c>
    </row>
    <row r="11" spans="1:20" ht="15" customHeight="1" x14ac:dyDescent="0.25">
      <c r="A11" s="50" t="s">
        <v>1689</v>
      </c>
      <c r="B11" s="50" t="s">
        <v>818</v>
      </c>
      <c r="C11" s="50" t="s">
        <v>1690</v>
      </c>
      <c r="D11" s="50" t="s">
        <v>1691</v>
      </c>
      <c r="E11" s="50" t="s">
        <v>1638</v>
      </c>
      <c r="F11" s="51">
        <v>0.87960000000000005</v>
      </c>
      <c r="G11" s="51">
        <f t="shared" si="0"/>
        <v>0.5</v>
      </c>
      <c r="H11" s="51">
        <v>0.38319999999999999</v>
      </c>
      <c r="I11" s="50">
        <v>10</v>
      </c>
      <c r="J11" s="50">
        <v>1.1000000000000001</v>
      </c>
      <c r="K11" s="50" t="s">
        <v>587</v>
      </c>
      <c r="L11" s="50" t="s">
        <v>587</v>
      </c>
      <c r="M11" s="50" t="s">
        <v>1639</v>
      </c>
      <c r="N11" s="50" t="s">
        <v>1676</v>
      </c>
      <c r="O11" s="51">
        <f t="shared" si="1"/>
        <v>7.48</v>
      </c>
      <c r="P11" s="50" t="s">
        <v>1692</v>
      </c>
      <c r="Q11" s="50" t="s">
        <v>1693</v>
      </c>
      <c r="R11" s="51">
        <f t="shared" si="2"/>
        <v>7.0000000000000007E-2</v>
      </c>
      <c r="S11" s="50" t="s">
        <v>1652</v>
      </c>
      <c r="T11" s="53" t="s">
        <v>266</v>
      </c>
    </row>
    <row r="12" spans="1:20" ht="15" customHeight="1" x14ac:dyDescent="0.25">
      <c r="A12" s="54" t="s">
        <v>1694</v>
      </c>
      <c r="B12" s="54" t="s">
        <v>1695</v>
      </c>
      <c r="C12" s="54" t="s">
        <v>1660</v>
      </c>
      <c r="D12" s="54" t="s">
        <v>1667</v>
      </c>
      <c r="E12" s="54" t="s">
        <v>1696</v>
      </c>
      <c r="F12" s="55">
        <v>1.2144999999999999</v>
      </c>
      <c r="G12" s="55">
        <f t="shared" si="0"/>
        <v>1.08</v>
      </c>
      <c r="H12" s="55">
        <v>0.1318</v>
      </c>
      <c r="I12" s="54">
        <v>15</v>
      </c>
      <c r="J12" s="54">
        <v>3.7</v>
      </c>
      <c r="K12" s="54" t="s">
        <v>576</v>
      </c>
      <c r="L12" s="54" t="s">
        <v>1684</v>
      </c>
      <c r="M12" s="54" t="s">
        <v>1681</v>
      </c>
      <c r="N12" s="54" t="s">
        <v>1676</v>
      </c>
      <c r="O12" s="55">
        <f t="shared" si="1"/>
        <v>15.48</v>
      </c>
      <c r="P12" s="54" t="s">
        <v>1697</v>
      </c>
      <c r="Q12" s="54" t="s">
        <v>1698</v>
      </c>
      <c r="R12" s="55">
        <f t="shared" si="2"/>
        <v>0.15</v>
      </c>
      <c r="S12" s="54" t="s">
        <v>1643</v>
      </c>
      <c r="T12" s="57" t="s">
        <v>495</v>
      </c>
    </row>
    <row r="13" spans="1:20" ht="15" customHeight="1" x14ac:dyDescent="0.25">
      <c r="A13" s="46" t="s">
        <v>1699</v>
      </c>
      <c r="B13" s="46" t="s">
        <v>1700</v>
      </c>
      <c r="C13" s="46" t="s">
        <v>680</v>
      </c>
      <c r="D13" s="46" t="s">
        <v>1701</v>
      </c>
      <c r="E13" s="46" t="s">
        <v>1675</v>
      </c>
      <c r="F13" s="47">
        <v>4.3099999999999996</v>
      </c>
      <c r="G13" s="47">
        <f t="shared" si="0"/>
        <v>2.8</v>
      </c>
      <c r="H13" s="47">
        <v>1.5057</v>
      </c>
      <c r="I13" s="46">
        <v>13</v>
      </c>
      <c r="J13" s="46">
        <v>2.5</v>
      </c>
      <c r="K13" s="46" t="s">
        <v>587</v>
      </c>
      <c r="L13" s="46" t="s">
        <v>587</v>
      </c>
      <c r="M13" s="46" t="s">
        <v>1639</v>
      </c>
      <c r="N13" s="46" t="s">
        <v>1640</v>
      </c>
      <c r="O13" s="47">
        <f t="shared" si="1"/>
        <v>47.63</v>
      </c>
      <c r="P13" s="46" t="s">
        <v>1702</v>
      </c>
      <c r="Q13" s="46" t="s">
        <v>1651</v>
      </c>
      <c r="R13" s="47">
        <f t="shared" si="2"/>
        <v>0.48</v>
      </c>
      <c r="S13" s="46" t="s">
        <v>1643</v>
      </c>
      <c r="T13" s="49" t="s">
        <v>321</v>
      </c>
    </row>
    <row r="14" spans="1:20" ht="15" customHeight="1" x14ac:dyDescent="0.25">
      <c r="A14" s="54" t="s">
        <v>1703</v>
      </c>
      <c r="B14" s="54" t="s">
        <v>1704</v>
      </c>
      <c r="C14" s="54" t="s">
        <v>1646</v>
      </c>
      <c r="D14" s="54" t="s">
        <v>1701</v>
      </c>
      <c r="E14" s="54" t="s">
        <v>1668</v>
      </c>
      <c r="F14" s="55">
        <v>1.7674000000000001</v>
      </c>
      <c r="G14" s="55">
        <f t="shared" si="0"/>
        <v>0.68</v>
      </c>
      <c r="H14" s="55">
        <v>1.0851</v>
      </c>
      <c r="I14" s="54">
        <v>14</v>
      </c>
      <c r="J14" s="54">
        <v>3.9</v>
      </c>
      <c r="K14" s="54" t="s">
        <v>587</v>
      </c>
      <c r="L14" s="54" t="s">
        <v>576</v>
      </c>
      <c r="M14" s="54" t="s">
        <v>1656</v>
      </c>
      <c r="N14" s="54" t="s">
        <v>1676</v>
      </c>
      <c r="O14" s="55">
        <f t="shared" si="1"/>
        <v>21.03</v>
      </c>
      <c r="P14" s="54" t="s">
        <v>1677</v>
      </c>
      <c r="Q14" s="54" t="s">
        <v>1705</v>
      </c>
      <c r="R14" s="55">
        <f t="shared" si="2"/>
        <v>0.21</v>
      </c>
      <c r="S14" s="54" t="s">
        <v>1684</v>
      </c>
      <c r="T14" s="57" t="s">
        <v>495</v>
      </c>
    </row>
    <row r="15" spans="1:20" ht="15" customHeight="1" x14ac:dyDescent="0.25">
      <c r="A15" s="54" t="s">
        <v>1706</v>
      </c>
      <c r="B15" s="54" t="s">
        <v>1707</v>
      </c>
      <c r="C15" s="54" t="s">
        <v>680</v>
      </c>
      <c r="D15" s="54" t="s">
        <v>1647</v>
      </c>
      <c r="E15" s="54" t="s">
        <v>1708</v>
      </c>
      <c r="F15" s="55">
        <v>4.5488999999999997</v>
      </c>
      <c r="G15" s="55">
        <f t="shared" si="0"/>
        <v>4.04</v>
      </c>
      <c r="H15" s="55">
        <v>0.5091</v>
      </c>
      <c r="I15" s="54">
        <v>14</v>
      </c>
      <c r="J15" s="54">
        <v>3.6</v>
      </c>
      <c r="K15" s="54" t="s">
        <v>587</v>
      </c>
      <c r="L15" s="54" t="s">
        <v>587</v>
      </c>
      <c r="M15" s="54" t="s">
        <v>1649</v>
      </c>
      <c r="N15" s="54" t="s">
        <v>622</v>
      </c>
      <c r="O15" s="55">
        <f t="shared" si="1"/>
        <v>54.13</v>
      </c>
      <c r="P15" s="54" t="s">
        <v>1709</v>
      </c>
      <c r="Q15" s="54" t="s">
        <v>1710</v>
      </c>
      <c r="R15" s="55">
        <f t="shared" si="2"/>
        <v>0.54</v>
      </c>
      <c r="S15" s="54" t="s">
        <v>1652</v>
      </c>
      <c r="T15" s="57" t="s">
        <v>495</v>
      </c>
    </row>
    <row r="16" spans="1:20" ht="15" customHeight="1" x14ac:dyDescent="0.25">
      <c r="A16" s="54" t="s">
        <v>1711</v>
      </c>
      <c r="B16" s="54" t="s">
        <v>1712</v>
      </c>
      <c r="C16" s="54" t="s">
        <v>1673</v>
      </c>
      <c r="D16" s="54" t="s">
        <v>1701</v>
      </c>
      <c r="E16" s="54" t="s">
        <v>1696</v>
      </c>
      <c r="F16" s="55">
        <v>3.3454999999999999</v>
      </c>
      <c r="G16" s="55">
        <f t="shared" si="0"/>
        <v>3.08</v>
      </c>
      <c r="H16" s="55">
        <v>0.26619999999999999</v>
      </c>
      <c r="I16" s="54">
        <v>10</v>
      </c>
      <c r="J16" s="54">
        <v>4.3</v>
      </c>
      <c r="K16" s="54" t="s">
        <v>587</v>
      </c>
      <c r="L16" s="54" t="s">
        <v>587</v>
      </c>
      <c r="M16" s="54" t="s">
        <v>1681</v>
      </c>
      <c r="N16" s="54" t="s">
        <v>1676</v>
      </c>
      <c r="O16" s="55">
        <f t="shared" si="1"/>
        <v>28.44</v>
      </c>
      <c r="P16" s="54" t="s">
        <v>1713</v>
      </c>
      <c r="Q16" s="54" t="s">
        <v>1714</v>
      </c>
      <c r="R16" s="55">
        <f t="shared" si="2"/>
        <v>0.28000000000000003</v>
      </c>
      <c r="S16" s="54" t="s">
        <v>1643</v>
      </c>
      <c r="T16" s="57" t="s">
        <v>495</v>
      </c>
    </row>
    <row r="17" spans="1:20" ht="15" customHeight="1" x14ac:dyDescent="0.25">
      <c r="A17" s="46" t="s">
        <v>1715</v>
      </c>
      <c r="B17" s="46" t="s">
        <v>1062</v>
      </c>
      <c r="C17" s="46" t="s">
        <v>1666</v>
      </c>
      <c r="D17" s="46" t="s">
        <v>1637</v>
      </c>
      <c r="E17" s="46" t="s">
        <v>1668</v>
      </c>
      <c r="F17" s="47">
        <v>0.78890000000000005</v>
      </c>
      <c r="G17" s="47">
        <f t="shared" si="0"/>
        <v>0.38</v>
      </c>
      <c r="H17" s="47">
        <v>0.40720000000000001</v>
      </c>
      <c r="I17" s="46">
        <v>10</v>
      </c>
      <c r="J17" s="46">
        <v>2.7</v>
      </c>
      <c r="K17" s="46" t="s">
        <v>587</v>
      </c>
      <c r="L17" s="46" t="s">
        <v>1684</v>
      </c>
      <c r="M17" s="46" t="s">
        <v>1649</v>
      </c>
      <c r="N17" s="46" t="s">
        <v>1676</v>
      </c>
      <c r="O17" s="47">
        <f t="shared" si="1"/>
        <v>6.71</v>
      </c>
      <c r="P17" s="46" t="s">
        <v>1716</v>
      </c>
      <c r="Q17" s="46" t="s">
        <v>1101</v>
      </c>
      <c r="R17" s="47">
        <f t="shared" si="2"/>
        <v>7.0000000000000007E-2</v>
      </c>
      <c r="S17" s="46" t="s">
        <v>544</v>
      </c>
      <c r="T17" s="49" t="s">
        <v>321</v>
      </c>
    </row>
    <row r="18" spans="1:20" ht="15" customHeight="1" x14ac:dyDescent="0.25">
      <c r="A18" s="46" t="s">
        <v>1717</v>
      </c>
      <c r="B18" s="46" t="s">
        <v>1718</v>
      </c>
      <c r="C18" s="46" t="s">
        <v>1690</v>
      </c>
      <c r="D18" s="46" t="s">
        <v>1719</v>
      </c>
      <c r="E18" s="46" t="s">
        <v>1720</v>
      </c>
      <c r="F18" s="47">
        <v>3.5072999999999999</v>
      </c>
      <c r="G18" s="47">
        <f t="shared" si="0"/>
        <v>1.94</v>
      </c>
      <c r="H18" s="47">
        <v>1.5639000000000001</v>
      </c>
      <c r="I18" s="46">
        <v>9</v>
      </c>
      <c r="J18" s="46">
        <v>3.5</v>
      </c>
      <c r="K18" s="46" t="s">
        <v>587</v>
      </c>
      <c r="L18" s="46" t="s">
        <v>1684</v>
      </c>
      <c r="M18" s="46" t="s">
        <v>1656</v>
      </c>
      <c r="N18" s="46" t="s">
        <v>1640</v>
      </c>
      <c r="O18" s="47">
        <f t="shared" si="1"/>
        <v>26.83</v>
      </c>
      <c r="P18" s="46" t="s">
        <v>1721</v>
      </c>
      <c r="Q18" s="46" t="s">
        <v>1084</v>
      </c>
      <c r="R18" s="47">
        <f t="shared" si="2"/>
        <v>0.27</v>
      </c>
      <c r="S18" s="46" t="s">
        <v>1643</v>
      </c>
      <c r="T18" s="49" t="s">
        <v>321</v>
      </c>
    </row>
    <row r="19" spans="1:20" ht="25.5" customHeight="1" x14ac:dyDescent="0.25">
      <c r="A19" s="50" t="s">
        <v>1722</v>
      </c>
      <c r="B19" s="50" t="s">
        <v>1723</v>
      </c>
      <c r="C19" s="50" t="s">
        <v>1673</v>
      </c>
      <c r="D19" s="50" t="s">
        <v>1719</v>
      </c>
      <c r="E19" s="50" t="s">
        <v>1638</v>
      </c>
      <c r="F19" s="51">
        <v>0.91949999999999998</v>
      </c>
      <c r="G19" s="51">
        <f t="shared" si="0"/>
        <v>0.57999999999999996</v>
      </c>
      <c r="H19" s="51">
        <v>0.3427</v>
      </c>
      <c r="I19" s="50">
        <v>23</v>
      </c>
      <c r="J19" s="50">
        <v>1.5</v>
      </c>
      <c r="K19" s="50" t="s">
        <v>587</v>
      </c>
      <c r="L19" s="50" t="s">
        <v>576</v>
      </c>
      <c r="M19" s="50" t="s">
        <v>1639</v>
      </c>
      <c r="N19" s="50" t="s">
        <v>1640</v>
      </c>
      <c r="O19" s="51">
        <f t="shared" si="1"/>
        <v>17.98</v>
      </c>
      <c r="P19" s="50" t="s">
        <v>1724</v>
      </c>
      <c r="Q19" s="50" t="s">
        <v>1725</v>
      </c>
      <c r="R19" s="51">
        <f t="shared" si="2"/>
        <v>0.18</v>
      </c>
      <c r="S19" s="50" t="s">
        <v>544</v>
      </c>
      <c r="T19" s="53" t="s">
        <v>266</v>
      </c>
    </row>
    <row r="20" spans="1:20" ht="15" customHeight="1" x14ac:dyDescent="0.25">
      <c r="A20" s="54" t="s">
        <v>1726</v>
      </c>
      <c r="B20" s="54" t="s">
        <v>1727</v>
      </c>
      <c r="C20" s="54" t="s">
        <v>1666</v>
      </c>
      <c r="D20" s="54" t="s">
        <v>1637</v>
      </c>
      <c r="E20" s="54" t="s">
        <v>1687</v>
      </c>
      <c r="F20" s="55">
        <v>3.8517000000000001</v>
      </c>
      <c r="G20" s="55">
        <f t="shared" si="0"/>
        <v>3.45</v>
      </c>
      <c r="H20" s="55">
        <v>0.3997</v>
      </c>
      <c r="I20" s="54">
        <v>7</v>
      </c>
      <c r="J20" s="54">
        <v>4.0999999999999996</v>
      </c>
      <c r="K20" s="54" t="s">
        <v>587</v>
      </c>
      <c r="L20" s="54" t="s">
        <v>576</v>
      </c>
      <c r="M20" s="54" t="s">
        <v>1649</v>
      </c>
      <c r="N20" s="54" t="s">
        <v>622</v>
      </c>
      <c r="O20" s="55">
        <f t="shared" si="1"/>
        <v>22.92</v>
      </c>
      <c r="P20" s="54" t="s">
        <v>1692</v>
      </c>
      <c r="Q20" s="54" t="s">
        <v>1728</v>
      </c>
      <c r="R20" s="55">
        <f t="shared" si="2"/>
        <v>0.23</v>
      </c>
      <c r="S20" s="54" t="s">
        <v>544</v>
      </c>
      <c r="T20" s="57" t="s">
        <v>495</v>
      </c>
    </row>
    <row r="21" spans="1:20" ht="25.5" customHeight="1" x14ac:dyDescent="0.25">
      <c r="A21" s="46" t="s">
        <v>1729</v>
      </c>
      <c r="B21" s="46" t="s">
        <v>1730</v>
      </c>
      <c r="C21" s="46" t="s">
        <v>1666</v>
      </c>
      <c r="D21" s="46" t="s">
        <v>1661</v>
      </c>
      <c r="E21" s="46" t="s">
        <v>1648</v>
      </c>
      <c r="F21" s="47">
        <v>3.2298</v>
      </c>
      <c r="G21" s="47">
        <f t="shared" si="0"/>
        <v>2.27</v>
      </c>
      <c r="H21" s="47">
        <v>0.95650000000000002</v>
      </c>
      <c r="I21" s="46">
        <v>5</v>
      </c>
      <c r="J21" s="46">
        <v>1.1000000000000001</v>
      </c>
      <c r="K21" s="46" t="s">
        <v>587</v>
      </c>
      <c r="L21" s="46" t="s">
        <v>587</v>
      </c>
      <c r="M21" s="46" t="s">
        <v>1681</v>
      </c>
      <c r="N21" s="46" t="s">
        <v>1640</v>
      </c>
      <c r="O21" s="47">
        <f t="shared" si="1"/>
        <v>13.73</v>
      </c>
      <c r="P21" s="46" t="s">
        <v>1731</v>
      </c>
      <c r="Q21" s="46" t="s">
        <v>887</v>
      </c>
      <c r="R21" s="47">
        <f t="shared" si="2"/>
        <v>0.14000000000000001</v>
      </c>
      <c r="S21" s="46" t="s">
        <v>1652</v>
      </c>
      <c r="T21" s="49" t="s">
        <v>321</v>
      </c>
    </row>
    <row r="22" spans="1:20" ht="15" customHeight="1" x14ac:dyDescent="0.25">
      <c r="A22" s="46" t="s">
        <v>1732</v>
      </c>
      <c r="B22" s="46" t="s">
        <v>910</v>
      </c>
      <c r="C22" s="46" t="s">
        <v>674</v>
      </c>
      <c r="D22" s="46" t="s">
        <v>1674</v>
      </c>
      <c r="E22" s="46" t="s">
        <v>1687</v>
      </c>
      <c r="F22" s="47">
        <v>1.3655999999999999</v>
      </c>
      <c r="G22" s="47">
        <f t="shared" si="0"/>
        <v>1.1200000000000001</v>
      </c>
      <c r="H22" s="47">
        <v>0.24840000000000001</v>
      </c>
      <c r="I22" s="46">
        <v>18</v>
      </c>
      <c r="J22" s="46">
        <v>3.5</v>
      </c>
      <c r="K22" s="46" t="s">
        <v>576</v>
      </c>
      <c r="L22" s="46" t="s">
        <v>587</v>
      </c>
      <c r="M22" s="46" t="s">
        <v>1681</v>
      </c>
      <c r="N22" s="46" t="s">
        <v>1676</v>
      </c>
      <c r="O22" s="47">
        <f t="shared" si="1"/>
        <v>20.89</v>
      </c>
      <c r="P22" s="46" t="s">
        <v>1716</v>
      </c>
      <c r="Q22" s="46" t="s">
        <v>1183</v>
      </c>
      <c r="R22" s="47">
        <f t="shared" si="2"/>
        <v>0.21</v>
      </c>
      <c r="S22" s="46" t="s">
        <v>1652</v>
      </c>
      <c r="T22" s="49" t="s">
        <v>321</v>
      </c>
    </row>
    <row r="23" spans="1:20" ht="15" customHeight="1" x14ac:dyDescent="0.25">
      <c r="A23" s="54" t="s">
        <v>1733</v>
      </c>
      <c r="B23" s="54" t="s">
        <v>1734</v>
      </c>
      <c r="C23" s="54" t="s">
        <v>1646</v>
      </c>
      <c r="D23" s="54" t="s">
        <v>1661</v>
      </c>
      <c r="E23" s="54" t="s">
        <v>1696</v>
      </c>
      <c r="F23" s="55">
        <v>4.1618000000000004</v>
      </c>
      <c r="G23" s="55">
        <f t="shared" si="0"/>
        <v>3.55</v>
      </c>
      <c r="H23" s="55">
        <v>0.61309999999999998</v>
      </c>
      <c r="I23" s="54">
        <v>15</v>
      </c>
      <c r="J23" s="54">
        <v>4.5999999999999996</v>
      </c>
      <c r="K23" s="54" t="s">
        <v>587</v>
      </c>
      <c r="L23" s="54" t="s">
        <v>576</v>
      </c>
      <c r="M23" s="54" t="s">
        <v>1639</v>
      </c>
      <c r="N23" s="54" t="s">
        <v>1676</v>
      </c>
      <c r="O23" s="55">
        <f t="shared" si="1"/>
        <v>53.06</v>
      </c>
      <c r="P23" s="54" t="s">
        <v>1735</v>
      </c>
      <c r="Q23" s="54" t="s">
        <v>1736</v>
      </c>
      <c r="R23" s="55">
        <f t="shared" si="2"/>
        <v>0.53</v>
      </c>
      <c r="S23" s="54" t="s">
        <v>1643</v>
      </c>
      <c r="T23" s="57" t="s">
        <v>495</v>
      </c>
    </row>
    <row r="24" spans="1:20" ht="25.5" customHeight="1" x14ac:dyDescent="0.25">
      <c r="A24" s="46" t="s">
        <v>1737</v>
      </c>
      <c r="B24" s="46" t="s">
        <v>1364</v>
      </c>
      <c r="C24" s="46" t="s">
        <v>1673</v>
      </c>
      <c r="D24" s="46" t="s">
        <v>1674</v>
      </c>
      <c r="E24" s="46" t="s">
        <v>1738</v>
      </c>
      <c r="F24" s="47">
        <v>1.8792</v>
      </c>
      <c r="G24" s="47">
        <f t="shared" si="0"/>
        <v>1.51</v>
      </c>
      <c r="H24" s="47">
        <v>0.37</v>
      </c>
      <c r="I24" s="46">
        <v>3</v>
      </c>
      <c r="J24" s="46">
        <v>2.7</v>
      </c>
      <c r="K24" s="46" t="s">
        <v>576</v>
      </c>
      <c r="L24" s="46" t="s">
        <v>576</v>
      </c>
      <c r="M24" s="46" t="s">
        <v>1656</v>
      </c>
      <c r="N24" s="46" t="s">
        <v>1640</v>
      </c>
      <c r="O24" s="47">
        <f t="shared" si="1"/>
        <v>4.79</v>
      </c>
      <c r="P24" s="46" t="s">
        <v>1739</v>
      </c>
      <c r="Q24" s="46" t="s">
        <v>1740</v>
      </c>
      <c r="R24" s="47">
        <f t="shared" si="2"/>
        <v>0.05</v>
      </c>
      <c r="S24" s="46" t="s">
        <v>1643</v>
      </c>
      <c r="T24" s="49" t="s">
        <v>321</v>
      </c>
    </row>
    <row r="25" spans="1:20" ht="15" customHeight="1" x14ac:dyDescent="0.25">
      <c r="A25" s="54" t="s">
        <v>1741</v>
      </c>
      <c r="B25" s="54" t="s">
        <v>1317</v>
      </c>
      <c r="C25" s="54" t="s">
        <v>1690</v>
      </c>
      <c r="D25" s="54" t="s">
        <v>1686</v>
      </c>
      <c r="E25" s="54" t="s">
        <v>1687</v>
      </c>
      <c r="F25" s="55">
        <v>3.5794000000000001</v>
      </c>
      <c r="G25" s="55">
        <f t="shared" si="0"/>
        <v>2.23</v>
      </c>
      <c r="H25" s="55">
        <v>1.3543000000000001</v>
      </c>
      <c r="I25" s="54">
        <v>9</v>
      </c>
      <c r="J25" s="54">
        <v>1.2</v>
      </c>
      <c r="K25" s="54" t="s">
        <v>587</v>
      </c>
      <c r="L25" s="54" t="s">
        <v>1684</v>
      </c>
      <c r="M25" s="54" t="s">
        <v>1656</v>
      </c>
      <c r="N25" s="54" t="s">
        <v>1676</v>
      </c>
      <c r="O25" s="55">
        <f t="shared" si="1"/>
        <v>27.38</v>
      </c>
      <c r="P25" s="54" t="s">
        <v>1716</v>
      </c>
      <c r="Q25" s="54" t="s">
        <v>887</v>
      </c>
      <c r="R25" s="55">
        <f t="shared" si="2"/>
        <v>0.27</v>
      </c>
      <c r="S25" s="54" t="s">
        <v>1652</v>
      </c>
      <c r="T25" s="57" t="s">
        <v>495</v>
      </c>
    </row>
    <row r="26" spans="1:20" ht="15" customHeight="1" x14ac:dyDescent="0.25">
      <c r="A26" s="54" t="s">
        <v>1742</v>
      </c>
      <c r="B26" s="54" t="s">
        <v>1743</v>
      </c>
      <c r="C26" s="54" t="s">
        <v>674</v>
      </c>
      <c r="D26" s="54" t="s">
        <v>1674</v>
      </c>
      <c r="E26" s="54" t="s">
        <v>1720</v>
      </c>
      <c r="F26" s="55">
        <v>0.22409999999999999</v>
      </c>
      <c r="G26" s="55">
        <f t="shared" si="0"/>
        <v>0.19</v>
      </c>
      <c r="H26" s="55">
        <v>3.4000000000000002E-2</v>
      </c>
      <c r="I26" s="54">
        <v>24</v>
      </c>
      <c r="J26" s="54">
        <v>4.8</v>
      </c>
      <c r="K26" s="54" t="s">
        <v>587</v>
      </c>
      <c r="L26" s="54" t="s">
        <v>587</v>
      </c>
      <c r="M26" s="54" t="s">
        <v>1649</v>
      </c>
      <c r="N26" s="54" t="s">
        <v>622</v>
      </c>
      <c r="O26" s="55">
        <f t="shared" si="1"/>
        <v>4.57</v>
      </c>
      <c r="P26" s="54" t="s">
        <v>1682</v>
      </c>
      <c r="Q26" s="54" t="s">
        <v>1744</v>
      </c>
      <c r="R26" s="55">
        <f t="shared" si="2"/>
        <v>0.05</v>
      </c>
      <c r="S26" s="54" t="s">
        <v>1652</v>
      </c>
      <c r="T26" s="57" t="s">
        <v>495</v>
      </c>
    </row>
    <row r="27" spans="1:20" ht="15" customHeight="1" x14ac:dyDescent="0.25">
      <c r="A27" s="46" t="s">
        <v>1745</v>
      </c>
      <c r="B27" s="46" t="s">
        <v>1746</v>
      </c>
      <c r="C27" s="46" t="s">
        <v>1747</v>
      </c>
      <c r="D27" s="46" t="s">
        <v>1647</v>
      </c>
      <c r="E27" s="46" t="s">
        <v>1648</v>
      </c>
      <c r="F27" s="47">
        <v>4.9264999999999999</v>
      </c>
      <c r="G27" s="47">
        <f t="shared" si="0"/>
        <v>2.0499999999999998</v>
      </c>
      <c r="H27" s="47">
        <v>2.8784000000000001</v>
      </c>
      <c r="I27" s="46">
        <v>17</v>
      </c>
      <c r="J27" s="46">
        <v>1.9</v>
      </c>
      <c r="K27" s="46" t="s">
        <v>587</v>
      </c>
      <c r="L27" s="46" t="s">
        <v>587</v>
      </c>
      <c r="M27" s="46" t="s">
        <v>1649</v>
      </c>
      <c r="N27" s="46" t="s">
        <v>622</v>
      </c>
      <c r="O27" s="47">
        <f t="shared" si="1"/>
        <v>71.19</v>
      </c>
      <c r="P27" s="46" t="s">
        <v>1748</v>
      </c>
      <c r="Q27" s="46" t="s">
        <v>1749</v>
      </c>
      <c r="R27" s="47">
        <f t="shared" si="2"/>
        <v>0.71</v>
      </c>
      <c r="S27" s="46" t="s">
        <v>1643</v>
      </c>
      <c r="T27" s="49" t="s">
        <v>321</v>
      </c>
    </row>
    <row r="28" spans="1:20" ht="15" customHeight="1" x14ac:dyDescent="0.25">
      <c r="A28" s="54" t="s">
        <v>1750</v>
      </c>
      <c r="B28" s="54" t="s">
        <v>1751</v>
      </c>
      <c r="C28" s="54" t="s">
        <v>1660</v>
      </c>
      <c r="D28" s="54" t="s">
        <v>1691</v>
      </c>
      <c r="E28" s="54" t="s">
        <v>1720</v>
      </c>
      <c r="F28" s="55">
        <v>4.2039</v>
      </c>
      <c r="G28" s="55">
        <f t="shared" si="0"/>
        <v>3.45</v>
      </c>
      <c r="H28" s="55">
        <v>0.755</v>
      </c>
      <c r="I28" s="54">
        <v>22</v>
      </c>
      <c r="J28" s="54">
        <v>4.8</v>
      </c>
      <c r="K28" s="54" t="s">
        <v>587</v>
      </c>
      <c r="L28" s="54" t="s">
        <v>587</v>
      </c>
      <c r="M28" s="54" t="s">
        <v>1681</v>
      </c>
      <c r="N28" s="54" t="s">
        <v>1640</v>
      </c>
      <c r="O28" s="55">
        <f t="shared" si="1"/>
        <v>78.61</v>
      </c>
      <c r="P28" s="54" t="s">
        <v>1677</v>
      </c>
      <c r="Q28" s="54" t="s">
        <v>1752</v>
      </c>
      <c r="R28" s="55">
        <f t="shared" si="2"/>
        <v>0.79</v>
      </c>
      <c r="S28" s="54" t="s">
        <v>1652</v>
      </c>
      <c r="T28" s="57" t="s">
        <v>495</v>
      </c>
    </row>
    <row r="29" spans="1:20" ht="15" customHeight="1" x14ac:dyDescent="0.25">
      <c r="A29" s="54" t="s">
        <v>1753</v>
      </c>
      <c r="B29" s="54" t="s">
        <v>983</v>
      </c>
      <c r="C29" s="54" t="s">
        <v>1690</v>
      </c>
      <c r="D29" s="54" t="s">
        <v>1661</v>
      </c>
      <c r="E29" s="54" t="s">
        <v>1648</v>
      </c>
      <c r="F29" s="55">
        <v>2.8220999999999998</v>
      </c>
      <c r="G29" s="55">
        <f t="shared" si="0"/>
        <v>1.65</v>
      </c>
      <c r="H29" s="55">
        <v>1.1677999999999999</v>
      </c>
      <c r="I29" s="54">
        <v>16</v>
      </c>
      <c r="J29" s="54">
        <v>4</v>
      </c>
      <c r="K29" s="54" t="s">
        <v>587</v>
      </c>
      <c r="L29" s="54" t="s">
        <v>1684</v>
      </c>
      <c r="M29" s="54" t="s">
        <v>1656</v>
      </c>
      <c r="N29" s="54" t="s">
        <v>1676</v>
      </c>
      <c r="O29" s="55">
        <f t="shared" si="1"/>
        <v>38.380000000000003</v>
      </c>
      <c r="P29" s="54" t="s">
        <v>1692</v>
      </c>
      <c r="Q29" s="54" t="s">
        <v>1754</v>
      </c>
      <c r="R29" s="55">
        <f t="shared" si="2"/>
        <v>0.38</v>
      </c>
      <c r="S29" s="54" t="s">
        <v>1643</v>
      </c>
      <c r="T29" s="57" t="s">
        <v>495</v>
      </c>
    </row>
    <row r="30" spans="1:20" ht="15" customHeight="1" x14ac:dyDescent="0.25">
      <c r="A30" s="46" t="s">
        <v>1755</v>
      </c>
      <c r="B30" s="46" t="s">
        <v>1756</v>
      </c>
      <c r="C30" s="46" t="s">
        <v>1666</v>
      </c>
      <c r="D30" s="46" t="s">
        <v>1691</v>
      </c>
      <c r="E30" s="46" t="s">
        <v>1708</v>
      </c>
      <c r="F30" s="47">
        <v>4.4302000000000001</v>
      </c>
      <c r="G30" s="47">
        <f t="shared" si="0"/>
        <v>2.08</v>
      </c>
      <c r="H30" s="47">
        <v>2.3521000000000001</v>
      </c>
      <c r="I30" s="46">
        <v>15</v>
      </c>
      <c r="J30" s="46">
        <v>1.9</v>
      </c>
      <c r="K30" s="46" t="s">
        <v>587</v>
      </c>
      <c r="L30" s="46" t="s">
        <v>587</v>
      </c>
      <c r="M30" s="46" t="s">
        <v>1681</v>
      </c>
      <c r="N30" s="46" t="s">
        <v>1676</v>
      </c>
      <c r="O30" s="47">
        <f t="shared" si="1"/>
        <v>56.49</v>
      </c>
      <c r="P30" s="46" t="s">
        <v>1757</v>
      </c>
      <c r="Q30" s="46" t="s">
        <v>1758</v>
      </c>
      <c r="R30" s="47">
        <f t="shared" si="2"/>
        <v>0.56000000000000005</v>
      </c>
      <c r="S30" s="46" t="s">
        <v>1684</v>
      </c>
      <c r="T30" s="49" t="s">
        <v>321</v>
      </c>
    </row>
    <row r="31" spans="1:20" ht="15" customHeight="1" x14ac:dyDescent="0.25">
      <c r="A31" s="54" t="s">
        <v>1759</v>
      </c>
      <c r="B31" s="54" t="s">
        <v>1760</v>
      </c>
      <c r="C31" s="54" t="s">
        <v>680</v>
      </c>
      <c r="D31" s="54" t="s">
        <v>1674</v>
      </c>
      <c r="E31" s="54" t="s">
        <v>1638</v>
      </c>
      <c r="F31" s="55">
        <v>5.9923999999999999</v>
      </c>
      <c r="G31" s="55">
        <f t="shared" si="0"/>
        <v>3.63</v>
      </c>
      <c r="H31" s="55">
        <v>2.3618999999999999</v>
      </c>
      <c r="I31" s="54">
        <v>4</v>
      </c>
      <c r="J31" s="54">
        <v>2.6</v>
      </c>
      <c r="K31" s="54" t="s">
        <v>576</v>
      </c>
      <c r="L31" s="54" t="s">
        <v>576</v>
      </c>
      <c r="M31" s="54" t="s">
        <v>1649</v>
      </c>
      <c r="N31" s="54" t="s">
        <v>1640</v>
      </c>
      <c r="O31" s="55">
        <f t="shared" si="1"/>
        <v>20.37</v>
      </c>
      <c r="P31" s="54" t="s">
        <v>1761</v>
      </c>
      <c r="Q31" s="54" t="s">
        <v>1762</v>
      </c>
      <c r="R31" s="55">
        <f t="shared" si="2"/>
        <v>0.2</v>
      </c>
      <c r="S31" s="54" t="s">
        <v>1643</v>
      </c>
      <c r="T31" s="57" t="s">
        <v>495</v>
      </c>
    </row>
    <row r="32" spans="1:20" ht="25.5" customHeight="1" x14ac:dyDescent="0.25">
      <c r="A32" s="46" t="s">
        <v>1763</v>
      </c>
      <c r="B32" s="46" t="s">
        <v>1764</v>
      </c>
      <c r="C32" s="46" t="s">
        <v>1690</v>
      </c>
      <c r="D32" s="46" t="s">
        <v>1661</v>
      </c>
      <c r="E32" s="46" t="s">
        <v>1738</v>
      </c>
      <c r="F32" s="47">
        <v>2.0649000000000002</v>
      </c>
      <c r="G32" s="47">
        <f t="shared" si="0"/>
        <v>1.1000000000000001</v>
      </c>
      <c r="H32" s="47">
        <v>0.96319999999999995</v>
      </c>
      <c r="I32" s="46">
        <v>13</v>
      </c>
      <c r="J32" s="46">
        <v>1.5</v>
      </c>
      <c r="K32" s="46" t="s">
        <v>587</v>
      </c>
      <c r="L32" s="46" t="s">
        <v>1684</v>
      </c>
      <c r="M32" s="46" t="s">
        <v>1681</v>
      </c>
      <c r="N32" s="46" t="s">
        <v>1640</v>
      </c>
      <c r="O32" s="47">
        <f t="shared" si="1"/>
        <v>22.82</v>
      </c>
      <c r="P32" s="46" t="s">
        <v>1739</v>
      </c>
      <c r="Q32" s="46" t="s">
        <v>1765</v>
      </c>
      <c r="R32" s="47">
        <f t="shared" si="2"/>
        <v>0.23</v>
      </c>
      <c r="S32" s="46" t="s">
        <v>544</v>
      </c>
      <c r="T32" s="49" t="s">
        <v>321</v>
      </c>
    </row>
    <row r="33" spans="1:20" ht="15" customHeight="1" x14ac:dyDescent="0.25">
      <c r="A33" s="46" t="s">
        <v>1766</v>
      </c>
      <c r="B33" s="46" t="s">
        <v>1752</v>
      </c>
      <c r="C33" s="46" t="s">
        <v>1636</v>
      </c>
      <c r="D33" s="46" t="s">
        <v>1661</v>
      </c>
      <c r="E33" s="46" t="s">
        <v>1668</v>
      </c>
      <c r="F33" s="47">
        <v>4.0167000000000002</v>
      </c>
      <c r="G33" s="47">
        <f t="shared" si="0"/>
        <v>1.1399999999999999</v>
      </c>
      <c r="H33" s="47">
        <v>2.8723000000000001</v>
      </c>
      <c r="I33" s="46">
        <v>16</v>
      </c>
      <c r="J33" s="46">
        <v>3</v>
      </c>
      <c r="K33" s="46" t="s">
        <v>587</v>
      </c>
      <c r="L33" s="46" t="s">
        <v>587</v>
      </c>
      <c r="M33" s="46" t="s">
        <v>1656</v>
      </c>
      <c r="N33" s="46" t="s">
        <v>1676</v>
      </c>
      <c r="O33" s="47">
        <f t="shared" si="1"/>
        <v>54.63</v>
      </c>
      <c r="P33" s="46" t="s">
        <v>1767</v>
      </c>
      <c r="Q33" s="46" t="s">
        <v>1768</v>
      </c>
      <c r="R33" s="47">
        <f t="shared" si="2"/>
        <v>0.55000000000000004</v>
      </c>
      <c r="S33" s="46" t="s">
        <v>1684</v>
      </c>
      <c r="T33" s="49" t="s">
        <v>321</v>
      </c>
    </row>
    <row r="34" spans="1:20" ht="15" customHeight="1" x14ac:dyDescent="0.25">
      <c r="A34" s="54" t="s">
        <v>1769</v>
      </c>
      <c r="B34" s="54" t="s">
        <v>1242</v>
      </c>
      <c r="C34" s="54" t="s">
        <v>1673</v>
      </c>
      <c r="D34" s="54" t="s">
        <v>1686</v>
      </c>
      <c r="E34" s="54" t="s">
        <v>1648</v>
      </c>
      <c r="F34" s="55">
        <v>4.4398999999999997</v>
      </c>
      <c r="G34" s="55">
        <f t="shared" si="0"/>
        <v>1.64</v>
      </c>
      <c r="H34" s="55">
        <v>2.8025000000000002</v>
      </c>
      <c r="I34" s="54">
        <v>16</v>
      </c>
      <c r="J34" s="54">
        <v>3.7</v>
      </c>
      <c r="K34" s="54" t="s">
        <v>587</v>
      </c>
      <c r="L34" s="54" t="s">
        <v>587</v>
      </c>
      <c r="M34" s="54" t="s">
        <v>1639</v>
      </c>
      <c r="N34" s="54" t="s">
        <v>1676</v>
      </c>
      <c r="O34" s="55">
        <f t="shared" si="1"/>
        <v>60.38</v>
      </c>
      <c r="P34" s="54" t="s">
        <v>1770</v>
      </c>
      <c r="Q34" s="54" t="s">
        <v>1000</v>
      </c>
      <c r="R34" s="55">
        <f t="shared" si="2"/>
        <v>0.6</v>
      </c>
      <c r="S34" s="54" t="s">
        <v>1643</v>
      </c>
      <c r="T34" s="57" t="s">
        <v>495</v>
      </c>
    </row>
    <row r="35" spans="1:20" ht="15" customHeight="1" x14ac:dyDescent="0.25">
      <c r="A35" s="46" t="s">
        <v>1771</v>
      </c>
      <c r="B35" s="46" t="s">
        <v>1772</v>
      </c>
      <c r="C35" s="46" t="s">
        <v>1660</v>
      </c>
      <c r="D35" s="46" t="s">
        <v>1691</v>
      </c>
      <c r="E35" s="46" t="s">
        <v>1668</v>
      </c>
      <c r="F35" s="47">
        <v>1.2515000000000001</v>
      </c>
      <c r="G35" s="47">
        <f t="shared" ref="G35:G66" si="3">ROUND(F35-H35,2)</f>
        <v>0.61</v>
      </c>
      <c r="H35" s="47">
        <v>0.64259999999999995</v>
      </c>
      <c r="I35" s="46">
        <v>16</v>
      </c>
      <c r="J35" s="46">
        <v>3</v>
      </c>
      <c r="K35" s="46" t="s">
        <v>587</v>
      </c>
      <c r="L35" s="46" t="s">
        <v>1684</v>
      </c>
      <c r="M35" s="46" t="s">
        <v>1656</v>
      </c>
      <c r="N35" s="46" t="s">
        <v>1676</v>
      </c>
      <c r="O35" s="47">
        <f t="shared" ref="O35:O66" si="4">ROUND(F35*I35*0.85,2)</f>
        <v>17.02</v>
      </c>
      <c r="P35" s="46" t="s">
        <v>1773</v>
      </c>
      <c r="Q35" s="46" t="s">
        <v>1774</v>
      </c>
      <c r="R35" s="47">
        <f t="shared" ref="R35:R66" si="5">ROUND(O35/100,2)</f>
        <v>0.17</v>
      </c>
      <c r="S35" s="46" t="s">
        <v>1643</v>
      </c>
      <c r="T35" s="49" t="s">
        <v>321</v>
      </c>
    </row>
    <row r="36" spans="1:20" ht="15" customHeight="1" x14ac:dyDescent="0.25">
      <c r="A36" s="46" t="s">
        <v>1775</v>
      </c>
      <c r="B36" s="46" t="s">
        <v>1266</v>
      </c>
      <c r="C36" s="46" t="s">
        <v>1646</v>
      </c>
      <c r="D36" s="46" t="s">
        <v>1661</v>
      </c>
      <c r="E36" s="46" t="s">
        <v>1655</v>
      </c>
      <c r="F36" s="47">
        <v>2.6831999999999998</v>
      </c>
      <c r="G36" s="47">
        <f t="shared" si="3"/>
        <v>2.48</v>
      </c>
      <c r="H36" s="47">
        <v>0.20169999999999999</v>
      </c>
      <c r="I36" s="46">
        <v>6</v>
      </c>
      <c r="J36" s="46">
        <v>3.2</v>
      </c>
      <c r="K36" s="46" t="s">
        <v>587</v>
      </c>
      <c r="L36" s="46" t="s">
        <v>1684</v>
      </c>
      <c r="M36" s="46" t="s">
        <v>1649</v>
      </c>
      <c r="N36" s="46" t="s">
        <v>1640</v>
      </c>
      <c r="O36" s="47">
        <f t="shared" si="4"/>
        <v>13.68</v>
      </c>
      <c r="P36" s="46" t="s">
        <v>1773</v>
      </c>
      <c r="Q36" s="46" t="s">
        <v>1776</v>
      </c>
      <c r="R36" s="47">
        <f t="shared" si="5"/>
        <v>0.14000000000000001</v>
      </c>
      <c r="S36" s="46" t="s">
        <v>544</v>
      </c>
      <c r="T36" s="49" t="s">
        <v>321</v>
      </c>
    </row>
    <row r="37" spans="1:20" ht="15" customHeight="1" x14ac:dyDescent="0.25">
      <c r="A37" s="46" t="s">
        <v>1777</v>
      </c>
      <c r="B37" s="46" t="s">
        <v>1303</v>
      </c>
      <c r="C37" s="46" t="s">
        <v>1646</v>
      </c>
      <c r="D37" s="46" t="s">
        <v>1647</v>
      </c>
      <c r="E37" s="46" t="s">
        <v>1708</v>
      </c>
      <c r="F37" s="47">
        <v>4.0663999999999998</v>
      </c>
      <c r="G37" s="47">
        <f t="shared" si="3"/>
        <v>1.98</v>
      </c>
      <c r="H37" s="47">
        <v>2.0821999999999998</v>
      </c>
      <c r="I37" s="46">
        <v>22</v>
      </c>
      <c r="J37" s="46">
        <v>3.2</v>
      </c>
      <c r="K37" s="46" t="s">
        <v>587</v>
      </c>
      <c r="L37" s="46" t="s">
        <v>587</v>
      </c>
      <c r="M37" s="46" t="s">
        <v>1649</v>
      </c>
      <c r="N37" s="46" t="s">
        <v>622</v>
      </c>
      <c r="O37" s="47">
        <f t="shared" si="4"/>
        <v>76.040000000000006</v>
      </c>
      <c r="P37" s="46" t="s">
        <v>1778</v>
      </c>
      <c r="Q37" s="46" t="s">
        <v>1056</v>
      </c>
      <c r="R37" s="47">
        <f t="shared" si="5"/>
        <v>0.76</v>
      </c>
      <c r="S37" s="46" t="s">
        <v>544</v>
      </c>
      <c r="T37" s="49" t="s">
        <v>321</v>
      </c>
    </row>
    <row r="38" spans="1:20" ht="25.5" customHeight="1" x14ac:dyDescent="0.25">
      <c r="A38" s="46" t="s">
        <v>1779</v>
      </c>
      <c r="B38" s="46" t="s">
        <v>675</v>
      </c>
      <c r="C38" s="46" t="s">
        <v>1747</v>
      </c>
      <c r="D38" s="46" t="s">
        <v>1701</v>
      </c>
      <c r="E38" s="46" t="s">
        <v>1708</v>
      </c>
      <c r="F38" s="47">
        <v>4.0750999999999999</v>
      </c>
      <c r="G38" s="47">
        <f t="shared" si="3"/>
        <v>1.68</v>
      </c>
      <c r="H38" s="47">
        <v>2.3902000000000001</v>
      </c>
      <c r="I38" s="46">
        <v>10</v>
      </c>
      <c r="J38" s="46">
        <v>2.2999999999999998</v>
      </c>
      <c r="K38" s="46" t="s">
        <v>576</v>
      </c>
      <c r="L38" s="46" t="s">
        <v>1684</v>
      </c>
      <c r="M38" s="46" t="s">
        <v>1656</v>
      </c>
      <c r="N38" s="46" t="s">
        <v>1676</v>
      </c>
      <c r="O38" s="47">
        <f t="shared" si="4"/>
        <v>34.64</v>
      </c>
      <c r="P38" s="46" t="s">
        <v>1780</v>
      </c>
      <c r="Q38" s="46" t="s">
        <v>1781</v>
      </c>
      <c r="R38" s="47">
        <f t="shared" si="5"/>
        <v>0.35</v>
      </c>
      <c r="S38" s="46" t="s">
        <v>1643</v>
      </c>
      <c r="T38" s="49" t="s">
        <v>321</v>
      </c>
    </row>
    <row r="39" spans="1:20" ht="15" customHeight="1" x14ac:dyDescent="0.25">
      <c r="A39" s="46" t="s">
        <v>1782</v>
      </c>
      <c r="B39" s="46" t="s">
        <v>1783</v>
      </c>
      <c r="C39" s="46" t="s">
        <v>680</v>
      </c>
      <c r="D39" s="46" t="s">
        <v>1701</v>
      </c>
      <c r="E39" s="46" t="s">
        <v>1648</v>
      </c>
      <c r="F39" s="47">
        <v>2.5975000000000001</v>
      </c>
      <c r="G39" s="47">
        <f t="shared" si="3"/>
        <v>0.66</v>
      </c>
      <c r="H39" s="47">
        <v>1.9335</v>
      </c>
      <c r="I39" s="46">
        <v>14</v>
      </c>
      <c r="J39" s="46">
        <v>2.4</v>
      </c>
      <c r="K39" s="46" t="s">
        <v>587</v>
      </c>
      <c r="L39" s="46" t="s">
        <v>576</v>
      </c>
      <c r="M39" s="46" t="s">
        <v>1649</v>
      </c>
      <c r="N39" s="46" t="s">
        <v>622</v>
      </c>
      <c r="O39" s="47">
        <f t="shared" si="4"/>
        <v>30.91</v>
      </c>
      <c r="P39" s="46" t="s">
        <v>1770</v>
      </c>
      <c r="Q39" s="46" t="s">
        <v>948</v>
      </c>
      <c r="R39" s="47">
        <f t="shared" si="5"/>
        <v>0.31</v>
      </c>
      <c r="S39" s="46" t="s">
        <v>1643</v>
      </c>
      <c r="T39" s="49" t="s">
        <v>321</v>
      </c>
    </row>
    <row r="40" spans="1:20" ht="15" customHeight="1" x14ac:dyDescent="0.25">
      <c r="A40" s="46" t="s">
        <v>1784</v>
      </c>
      <c r="B40" s="46" t="s">
        <v>1785</v>
      </c>
      <c r="C40" s="46" t="s">
        <v>1666</v>
      </c>
      <c r="D40" s="46" t="s">
        <v>1647</v>
      </c>
      <c r="E40" s="46" t="s">
        <v>1720</v>
      </c>
      <c r="F40" s="47">
        <v>1.0602</v>
      </c>
      <c r="G40" s="47">
        <f t="shared" si="3"/>
        <v>0.61</v>
      </c>
      <c r="H40" s="47">
        <v>0.4526</v>
      </c>
      <c r="I40" s="46">
        <v>2</v>
      </c>
      <c r="J40" s="46">
        <v>2.8</v>
      </c>
      <c r="K40" s="46" t="s">
        <v>587</v>
      </c>
      <c r="L40" s="46" t="s">
        <v>1684</v>
      </c>
      <c r="M40" s="46" t="s">
        <v>1681</v>
      </c>
      <c r="N40" s="46" t="s">
        <v>1640</v>
      </c>
      <c r="O40" s="47">
        <f t="shared" si="4"/>
        <v>1.8</v>
      </c>
      <c r="P40" s="46" t="s">
        <v>1713</v>
      </c>
      <c r="Q40" s="46" t="s">
        <v>1786</v>
      </c>
      <c r="R40" s="47">
        <f t="shared" si="5"/>
        <v>0.02</v>
      </c>
      <c r="S40" s="46" t="s">
        <v>1684</v>
      </c>
      <c r="T40" s="49" t="s">
        <v>321</v>
      </c>
    </row>
    <row r="41" spans="1:20" ht="15" customHeight="1" x14ac:dyDescent="0.25">
      <c r="A41" s="54" t="s">
        <v>1787</v>
      </c>
      <c r="B41" s="54" t="s">
        <v>1788</v>
      </c>
      <c r="C41" s="54" t="s">
        <v>1654</v>
      </c>
      <c r="D41" s="54" t="s">
        <v>1661</v>
      </c>
      <c r="E41" s="54" t="s">
        <v>1655</v>
      </c>
      <c r="F41" s="55">
        <v>3.4436</v>
      </c>
      <c r="G41" s="55">
        <f t="shared" si="3"/>
        <v>2.4900000000000002</v>
      </c>
      <c r="H41" s="55">
        <v>0.94940000000000002</v>
      </c>
      <c r="I41" s="54">
        <v>4</v>
      </c>
      <c r="J41" s="54">
        <v>4.2</v>
      </c>
      <c r="K41" s="54" t="s">
        <v>576</v>
      </c>
      <c r="L41" s="54" t="s">
        <v>1684</v>
      </c>
      <c r="M41" s="54" t="s">
        <v>1649</v>
      </c>
      <c r="N41" s="54" t="s">
        <v>1640</v>
      </c>
      <c r="O41" s="55">
        <f t="shared" si="4"/>
        <v>11.71</v>
      </c>
      <c r="P41" s="54" t="s">
        <v>1697</v>
      </c>
      <c r="Q41" s="54" t="s">
        <v>1789</v>
      </c>
      <c r="R41" s="55">
        <f t="shared" si="5"/>
        <v>0.12</v>
      </c>
      <c r="S41" s="54" t="s">
        <v>544</v>
      </c>
      <c r="T41" s="57" t="s">
        <v>495</v>
      </c>
    </row>
    <row r="42" spans="1:20" ht="15" customHeight="1" x14ac:dyDescent="0.25">
      <c r="A42" s="54" t="s">
        <v>1790</v>
      </c>
      <c r="B42" s="54" t="s">
        <v>1402</v>
      </c>
      <c r="C42" s="54" t="s">
        <v>1747</v>
      </c>
      <c r="D42" s="54" t="s">
        <v>1637</v>
      </c>
      <c r="E42" s="54" t="s">
        <v>1720</v>
      </c>
      <c r="F42" s="55">
        <v>5.8181000000000003</v>
      </c>
      <c r="G42" s="55">
        <f t="shared" si="3"/>
        <v>4.71</v>
      </c>
      <c r="H42" s="55">
        <v>1.1126</v>
      </c>
      <c r="I42" s="54">
        <v>21</v>
      </c>
      <c r="J42" s="54">
        <v>4.4000000000000004</v>
      </c>
      <c r="K42" s="54" t="s">
        <v>576</v>
      </c>
      <c r="L42" s="54" t="s">
        <v>1684</v>
      </c>
      <c r="M42" s="54" t="s">
        <v>1649</v>
      </c>
      <c r="N42" s="54" t="s">
        <v>1640</v>
      </c>
      <c r="O42" s="55">
        <f t="shared" si="4"/>
        <v>103.85</v>
      </c>
      <c r="P42" s="54" t="s">
        <v>1767</v>
      </c>
      <c r="Q42" s="54" t="s">
        <v>1791</v>
      </c>
      <c r="R42" s="55">
        <f t="shared" si="5"/>
        <v>1.04</v>
      </c>
      <c r="S42" s="54" t="s">
        <v>544</v>
      </c>
      <c r="T42" s="57" t="s">
        <v>495</v>
      </c>
    </row>
    <row r="43" spans="1:20" ht="15" customHeight="1" x14ac:dyDescent="0.25">
      <c r="A43" s="46" t="s">
        <v>1792</v>
      </c>
      <c r="B43" s="46" t="s">
        <v>969</v>
      </c>
      <c r="C43" s="46" t="s">
        <v>1636</v>
      </c>
      <c r="D43" s="46" t="s">
        <v>1667</v>
      </c>
      <c r="E43" s="46" t="s">
        <v>1708</v>
      </c>
      <c r="F43" s="47">
        <v>4.4702000000000002</v>
      </c>
      <c r="G43" s="47">
        <f t="shared" si="3"/>
        <v>3.96</v>
      </c>
      <c r="H43" s="47">
        <v>0.51129999999999998</v>
      </c>
      <c r="I43" s="46">
        <v>19</v>
      </c>
      <c r="J43" s="46">
        <v>1.4</v>
      </c>
      <c r="K43" s="46" t="s">
        <v>587</v>
      </c>
      <c r="L43" s="46" t="s">
        <v>587</v>
      </c>
      <c r="M43" s="46" t="s">
        <v>1656</v>
      </c>
      <c r="N43" s="46" t="s">
        <v>622</v>
      </c>
      <c r="O43" s="47">
        <f t="shared" si="4"/>
        <v>72.19</v>
      </c>
      <c r="P43" s="46" t="s">
        <v>1793</v>
      </c>
      <c r="Q43" s="46" t="s">
        <v>849</v>
      </c>
      <c r="R43" s="47">
        <f t="shared" si="5"/>
        <v>0.72</v>
      </c>
      <c r="S43" s="46" t="s">
        <v>1684</v>
      </c>
      <c r="T43" s="49" t="s">
        <v>321</v>
      </c>
    </row>
    <row r="44" spans="1:20" ht="15" customHeight="1" x14ac:dyDescent="0.25">
      <c r="A44" s="46" t="s">
        <v>1794</v>
      </c>
      <c r="B44" s="46" t="s">
        <v>1795</v>
      </c>
      <c r="C44" s="46" t="s">
        <v>680</v>
      </c>
      <c r="D44" s="46" t="s">
        <v>1647</v>
      </c>
      <c r="E44" s="46" t="s">
        <v>1696</v>
      </c>
      <c r="F44" s="47">
        <v>3.0526</v>
      </c>
      <c r="G44" s="47">
        <f t="shared" si="3"/>
        <v>2.2599999999999998</v>
      </c>
      <c r="H44" s="47">
        <v>0.79349999999999998</v>
      </c>
      <c r="I44" s="46">
        <v>22</v>
      </c>
      <c r="J44" s="46">
        <v>3.2</v>
      </c>
      <c r="K44" s="46" t="s">
        <v>587</v>
      </c>
      <c r="L44" s="46" t="s">
        <v>587</v>
      </c>
      <c r="M44" s="46" t="s">
        <v>1681</v>
      </c>
      <c r="N44" s="46" t="s">
        <v>1640</v>
      </c>
      <c r="O44" s="47">
        <f t="shared" si="4"/>
        <v>57.08</v>
      </c>
      <c r="P44" s="46" t="s">
        <v>1641</v>
      </c>
      <c r="Q44" s="46" t="s">
        <v>1752</v>
      </c>
      <c r="R44" s="47">
        <f t="shared" si="5"/>
        <v>0.56999999999999995</v>
      </c>
      <c r="S44" s="46" t="s">
        <v>1684</v>
      </c>
      <c r="T44" s="49" t="s">
        <v>321</v>
      </c>
    </row>
    <row r="45" spans="1:20" ht="15" customHeight="1" x14ac:dyDescent="0.25">
      <c r="A45" s="54" t="s">
        <v>1796</v>
      </c>
      <c r="B45" s="54" t="s">
        <v>1797</v>
      </c>
      <c r="C45" s="54" t="s">
        <v>1660</v>
      </c>
      <c r="D45" s="54" t="s">
        <v>1674</v>
      </c>
      <c r="E45" s="54" t="s">
        <v>1638</v>
      </c>
      <c r="F45" s="55">
        <v>3.7856999999999998</v>
      </c>
      <c r="G45" s="55">
        <f t="shared" si="3"/>
        <v>2.23</v>
      </c>
      <c r="H45" s="55">
        <v>1.5572999999999999</v>
      </c>
      <c r="I45" s="54">
        <v>6</v>
      </c>
      <c r="J45" s="54">
        <v>3.3</v>
      </c>
      <c r="K45" s="54" t="s">
        <v>587</v>
      </c>
      <c r="L45" s="54" t="s">
        <v>1684</v>
      </c>
      <c r="M45" s="54" t="s">
        <v>1681</v>
      </c>
      <c r="N45" s="54" t="s">
        <v>1640</v>
      </c>
      <c r="O45" s="55">
        <f t="shared" si="4"/>
        <v>19.309999999999999</v>
      </c>
      <c r="P45" s="54" t="s">
        <v>1798</v>
      </c>
      <c r="Q45" s="54" t="s">
        <v>1799</v>
      </c>
      <c r="R45" s="55">
        <f t="shared" si="5"/>
        <v>0.19</v>
      </c>
      <c r="S45" s="54" t="s">
        <v>1684</v>
      </c>
      <c r="T45" s="57" t="s">
        <v>495</v>
      </c>
    </row>
    <row r="46" spans="1:20" ht="15" customHeight="1" x14ac:dyDescent="0.25">
      <c r="A46" s="54" t="s">
        <v>1800</v>
      </c>
      <c r="B46" s="54" t="s">
        <v>1801</v>
      </c>
      <c r="C46" s="54" t="s">
        <v>1654</v>
      </c>
      <c r="D46" s="54" t="s">
        <v>1802</v>
      </c>
      <c r="E46" s="54" t="s">
        <v>1738</v>
      </c>
      <c r="F46" s="55">
        <v>2.2174</v>
      </c>
      <c r="G46" s="55">
        <f t="shared" si="3"/>
        <v>1.88</v>
      </c>
      <c r="H46" s="55">
        <v>0.3402</v>
      </c>
      <c r="I46" s="54">
        <v>5</v>
      </c>
      <c r="J46" s="54">
        <v>4</v>
      </c>
      <c r="K46" s="54" t="s">
        <v>587</v>
      </c>
      <c r="L46" s="54" t="s">
        <v>587</v>
      </c>
      <c r="M46" s="54" t="s">
        <v>1681</v>
      </c>
      <c r="N46" s="54" t="s">
        <v>1640</v>
      </c>
      <c r="O46" s="55">
        <f t="shared" si="4"/>
        <v>9.42</v>
      </c>
      <c r="P46" s="54" t="s">
        <v>1757</v>
      </c>
      <c r="Q46" s="54" t="s">
        <v>1803</v>
      </c>
      <c r="R46" s="55">
        <f t="shared" si="5"/>
        <v>0.09</v>
      </c>
      <c r="S46" s="54" t="s">
        <v>1652</v>
      </c>
      <c r="T46" s="57" t="s">
        <v>495</v>
      </c>
    </row>
    <row r="47" spans="1:20" ht="25.5" customHeight="1" x14ac:dyDescent="0.25">
      <c r="A47" s="50" t="s">
        <v>1804</v>
      </c>
      <c r="B47" s="50" t="s">
        <v>843</v>
      </c>
      <c r="C47" s="50" t="s">
        <v>1666</v>
      </c>
      <c r="D47" s="50" t="s">
        <v>1637</v>
      </c>
      <c r="E47" s="50" t="s">
        <v>1675</v>
      </c>
      <c r="F47" s="51">
        <v>1.5759000000000001</v>
      </c>
      <c r="G47" s="51">
        <f t="shared" si="3"/>
        <v>0.83</v>
      </c>
      <c r="H47" s="51">
        <v>0.74199999999999999</v>
      </c>
      <c r="I47" s="50">
        <v>13</v>
      </c>
      <c r="J47" s="50">
        <v>2</v>
      </c>
      <c r="K47" s="50" t="s">
        <v>587</v>
      </c>
      <c r="L47" s="50" t="s">
        <v>576</v>
      </c>
      <c r="M47" s="50" t="s">
        <v>1656</v>
      </c>
      <c r="N47" s="50" t="s">
        <v>1676</v>
      </c>
      <c r="O47" s="51">
        <f t="shared" si="4"/>
        <v>17.41</v>
      </c>
      <c r="P47" s="50" t="s">
        <v>1770</v>
      </c>
      <c r="Q47" s="50" t="s">
        <v>1601</v>
      </c>
      <c r="R47" s="51">
        <f t="shared" si="5"/>
        <v>0.17</v>
      </c>
      <c r="S47" s="50" t="s">
        <v>1684</v>
      </c>
      <c r="T47" s="53" t="s">
        <v>266</v>
      </c>
    </row>
    <row r="48" spans="1:20" ht="25.5" customHeight="1" x14ac:dyDescent="0.25">
      <c r="A48" s="50" t="s">
        <v>1805</v>
      </c>
      <c r="B48" s="50" t="s">
        <v>1806</v>
      </c>
      <c r="C48" s="50" t="s">
        <v>1636</v>
      </c>
      <c r="D48" s="50" t="s">
        <v>1701</v>
      </c>
      <c r="E48" s="50" t="s">
        <v>1638</v>
      </c>
      <c r="F48" s="51">
        <v>1.2518</v>
      </c>
      <c r="G48" s="51">
        <f t="shared" si="3"/>
        <v>0.95</v>
      </c>
      <c r="H48" s="51">
        <v>0.30159999999999998</v>
      </c>
      <c r="I48" s="50">
        <v>1</v>
      </c>
      <c r="J48" s="50">
        <v>2</v>
      </c>
      <c r="K48" s="50" t="s">
        <v>587</v>
      </c>
      <c r="L48" s="50" t="s">
        <v>1684</v>
      </c>
      <c r="M48" s="50" t="s">
        <v>1649</v>
      </c>
      <c r="N48" s="50" t="s">
        <v>622</v>
      </c>
      <c r="O48" s="51">
        <f t="shared" si="4"/>
        <v>1.06</v>
      </c>
      <c r="P48" s="50" t="s">
        <v>1807</v>
      </c>
      <c r="Q48" s="50" t="s">
        <v>1808</v>
      </c>
      <c r="R48" s="51">
        <f t="shared" si="5"/>
        <v>0.01</v>
      </c>
      <c r="S48" s="50" t="s">
        <v>1684</v>
      </c>
      <c r="T48" s="53" t="s">
        <v>266</v>
      </c>
    </row>
    <row r="49" spans="1:20" ht="25.5" customHeight="1" x14ac:dyDescent="0.25">
      <c r="A49" s="54" t="s">
        <v>1809</v>
      </c>
      <c r="B49" s="54" t="s">
        <v>1810</v>
      </c>
      <c r="C49" s="54" t="s">
        <v>1654</v>
      </c>
      <c r="D49" s="54" t="s">
        <v>1647</v>
      </c>
      <c r="E49" s="54" t="s">
        <v>1720</v>
      </c>
      <c r="F49" s="55">
        <v>3.6295000000000002</v>
      </c>
      <c r="G49" s="55">
        <f t="shared" si="3"/>
        <v>1.24</v>
      </c>
      <c r="H49" s="55">
        <v>2.3847</v>
      </c>
      <c r="I49" s="54">
        <v>14</v>
      </c>
      <c r="J49" s="54">
        <v>4.5999999999999996</v>
      </c>
      <c r="K49" s="54" t="s">
        <v>576</v>
      </c>
      <c r="L49" s="54" t="s">
        <v>587</v>
      </c>
      <c r="M49" s="54" t="s">
        <v>1649</v>
      </c>
      <c r="N49" s="54" t="s">
        <v>1676</v>
      </c>
      <c r="O49" s="55">
        <f t="shared" si="4"/>
        <v>43.19</v>
      </c>
      <c r="P49" s="54" t="s">
        <v>1716</v>
      </c>
      <c r="Q49" s="54" t="s">
        <v>1811</v>
      </c>
      <c r="R49" s="55">
        <f t="shared" si="5"/>
        <v>0.43</v>
      </c>
      <c r="S49" s="54" t="s">
        <v>1643</v>
      </c>
      <c r="T49" s="57" t="s">
        <v>495</v>
      </c>
    </row>
    <row r="50" spans="1:20" ht="25.5" customHeight="1" x14ac:dyDescent="0.25">
      <c r="A50" s="46" t="s">
        <v>1812</v>
      </c>
      <c r="B50" s="46" t="s">
        <v>1813</v>
      </c>
      <c r="C50" s="46" t="s">
        <v>1747</v>
      </c>
      <c r="D50" s="46" t="s">
        <v>1802</v>
      </c>
      <c r="E50" s="46" t="s">
        <v>1696</v>
      </c>
      <c r="F50" s="47">
        <v>3.0038999999999998</v>
      </c>
      <c r="G50" s="47">
        <f t="shared" si="3"/>
        <v>2.66</v>
      </c>
      <c r="H50" s="47">
        <v>0.34</v>
      </c>
      <c r="I50" s="46">
        <v>20</v>
      </c>
      <c r="J50" s="46">
        <v>1.5</v>
      </c>
      <c r="K50" s="46" t="s">
        <v>587</v>
      </c>
      <c r="L50" s="46" t="s">
        <v>587</v>
      </c>
      <c r="M50" s="46" t="s">
        <v>1681</v>
      </c>
      <c r="N50" s="46" t="s">
        <v>622</v>
      </c>
      <c r="O50" s="47">
        <f t="shared" si="4"/>
        <v>51.07</v>
      </c>
      <c r="P50" s="46" t="s">
        <v>1735</v>
      </c>
      <c r="Q50" s="46" t="s">
        <v>1814</v>
      </c>
      <c r="R50" s="47">
        <f t="shared" si="5"/>
        <v>0.51</v>
      </c>
      <c r="S50" s="46" t="s">
        <v>1684</v>
      </c>
      <c r="T50" s="49" t="s">
        <v>321</v>
      </c>
    </row>
    <row r="51" spans="1:20" ht="15" customHeight="1" x14ac:dyDescent="0.25">
      <c r="A51" s="50" t="s">
        <v>1815</v>
      </c>
      <c r="B51" s="50" t="s">
        <v>957</v>
      </c>
      <c r="C51" s="50" t="s">
        <v>1673</v>
      </c>
      <c r="D51" s="50" t="s">
        <v>1647</v>
      </c>
      <c r="E51" s="50" t="s">
        <v>1675</v>
      </c>
      <c r="F51" s="51">
        <v>1.3239000000000001</v>
      </c>
      <c r="G51" s="51">
        <f t="shared" si="3"/>
        <v>1</v>
      </c>
      <c r="H51" s="51">
        <v>0.3206</v>
      </c>
      <c r="I51" s="50">
        <v>14</v>
      </c>
      <c r="J51" s="50">
        <v>2</v>
      </c>
      <c r="K51" s="50" t="s">
        <v>576</v>
      </c>
      <c r="L51" s="50" t="s">
        <v>587</v>
      </c>
      <c r="M51" s="50" t="s">
        <v>1639</v>
      </c>
      <c r="N51" s="50" t="s">
        <v>622</v>
      </c>
      <c r="O51" s="51">
        <f t="shared" si="4"/>
        <v>15.75</v>
      </c>
      <c r="P51" s="50" t="s">
        <v>1716</v>
      </c>
      <c r="Q51" s="50" t="s">
        <v>1698</v>
      </c>
      <c r="R51" s="51">
        <f t="shared" si="5"/>
        <v>0.16</v>
      </c>
      <c r="S51" s="50" t="s">
        <v>1684</v>
      </c>
      <c r="T51" s="53" t="s">
        <v>266</v>
      </c>
    </row>
    <row r="52" spans="1:20" ht="15" customHeight="1" x14ac:dyDescent="0.25">
      <c r="A52" s="46" t="s">
        <v>1816</v>
      </c>
      <c r="B52" s="46" t="s">
        <v>1034</v>
      </c>
      <c r="C52" s="46" t="s">
        <v>674</v>
      </c>
      <c r="D52" s="46" t="s">
        <v>1637</v>
      </c>
      <c r="E52" s="46" t="s">
        <v>1675</v>
      </c>
      <c r="F52" s="47">
        <v>2.2098</v>
      </c>
      <c r="G52" s="47">
        <f t="shared" si="3"/>
        <v>0.99</v>
      </c>
      <c r="H52" s="47">
        <v>1.2175</v>
      </c>
      <c r="I52" s="46">
        <v>10</v>
      </c>
      <c r="J52" s="46">
        <v>1.1000000000000001</v>
      </c>
      <c r="K52" s="46" t="s">
        <v>576</v>
      </c>
      <c r="L52" s="46" t="s">
        <v>1684</v>
      </c>
      <c r="M52" s="46" t="s">
        <v>1656</v>
      </c>
      <c r="N52" s="46" t="s">
        <v>622</v>
      </c>
      <c r="O52" s="47">
        <f t="shared" si="4"/>
        <v>18.78</v>
      </c>
      <c r="P52" s="46" t="s">
        <v>1817</v>
      </c>
      <c r="Q52" s="46" t="s">
        <v>1818</v>
      </c>
      <c r="R52" s="47">
        <f t="shared" si="5"/>
        <v>0.19</v>
      </c>
      <c r="S52" s="46" t="s">
        <v>544</v>
      </c>
      <c r="T52" s="49" t="s">
        <v>321</v>
      </c>
    </row>
    <row r="53" spans="1:20" ht="15" customHeight="1" x14ac:dyDescent="0.25">
      <c r="A53" s="54" t="s">
        <v>1819</v>
      </c>
      <c r="B53" s="54" t="s">
        <v>1820</v>
      </c>
      <c r="C53" s="54" t="s">
        <v>1636</v>
      </c>
      <c r="D53" s="54" t="s">
        <v>1637</v>
      </c>
      <c r="E53" s="54" t="s">
        <v>1720</v>
      </c>
      <c r="F53" s="55">
        <v>5.4238</v>
      </c>
      <c r="G53" s="55">
        <f t="shared" si="3"/>
        <v>2.5499999999999998</v>
      </c>
      <c r="H53" s="55">
        <v>2.8727999999999998</v>
      </c>
      <c r="I53" s="54">
        <v>18</v>
      </c>
      <c r="J53" s="54">
        <v>4.5</v>
      </c>
      <c r="K53" s="54" t="s">
        <v>587</v>
      </c>
      <c r="L53" s="54" t="s">
        <v>587</v>
      </c>
      <c r="M53" s="54" t="s">
        <v>1656</v>
      </c>
      <c r="N53" s="54" t="s">
        <v>1640</v>
      </c>
      <c r="O53" s="55">
        <f t="shared" si="4"/>
        <v>82.98</v>
      </c>
      <c r="P53" s="54" t="s">
        <v>1767</v>
      </c>
      <c r="Q53" s="54" t="s">
        <v>1572</v>
      </c>
      <c r="R53" s="55">
        <f t="shared" si="5"/>
        <v>0.83</v>
      </c>
      <c r="S53" s="54" t="s">
        <v>1643</v>
      </c>
      <c r="T53" s="57" t="s">
        <v>495</v>
      </c>
    </row>
    <row r="54" spans="1:20" ht="15" customHeight="1" x14ac:dyDescent="0.25">
      <c r="A54" s="54" t="s">
        <v>1821</v>
      </c>
      <c r="B54" s="54" t="s">
        <v>1822</v>
      </c>
      <c r="C54" s="54" t="s">
        <v>1666</v>
      </c>
      <c r="D54" s="54" t="s">
        <v>1667</v>
      </c>
      <c r="E54" s="54" t="s">
        <v>1675</v>
      </c>
      <c r="F54" s="55">
        <v>5.4996</v>
      </c>
      <c r="G54" s="55">
        <f t="shared" si="3"/>
        <v>2.79</v>
      </c>
      <c r="H54" s="55">
        <v>2.7054999999999998</v>
      </c>
      <c r="I54" s="54">
        <v>25</v>
      </c>
      <c r="J54" s="54">
        <v>3.6</v>
      </c>
      <c r="K54" s="54" t="s">
        <v>576</v>
      </c>
      <c r="L54" s="54" t="s">
        <v>587</v>
      </c>
      <c r="M54" s="54" t="s">
        <v>1656</v>
      </c>
      <c r="N54" s="54" t="s">
        <v>1640</v>
      </c>
      <c r="O54" s="55">
        <f t="shared" si="4"/>
        <v>116.87</v>
      </c>
      <c r="P54" s="54" t="s">
        <v>1823</v>
      </c>
      <c r="Q54" s="54" t="s">
        <v>679</v>
      </c>
      <c r="R54" s="55">
        <f t="shared" si="5"/>
        <v>1.17</v>
      </c>
      <c r="S54" s="54" t="s">
        <v>1684</v>
      </c>
      <c r="T54" s="57" t="s">
        <v>495</v>
      </c>
    </row>
    <row r="55" spans="1:20" ht="25.5" customHeight="1" x14ac:dyDescent="0.25">
      <c r="A55" s="46" t="s">
        <v>1824</v>
      </c>
      <c r="B55" s="46" t="s">
        <v>1825</v>
      </c>
      <c r="C55" s="46" t="s">
        <v>1636</v>
      </c>
      <c r="D55" s="46" t="s">
        <v>1647</v>
      </c>
      <c r="E55" s="46" t="s">
        <v>1675</v>
      </c>
      <c r="F55" s="47">
        <v>4.2060000000000004</v>
      </c>
      <c r="G55" s="47">
        <f t="shared" si="3"/>
        <v>2.5</v>
      </c>
      <c r="H55" s="47">
        <v>1.7011000000000001</v>
      </c>
      <c r="I55" s="46">
        <v>12</v>
      </c>
      <c r="J55" s="46">
        <v>2.7</v>
      </c>
      <c r="K55" s="46" t="s">
        <v>587</v>
      </c>
      <c r="L55" s="46" t="s">
        <v>587</v>
      </c>
      <c r="M55" s="46" t="s">
        <v>1656</v>
      </c>
      <c r="N55" s="46" t="s">
        <v>1676</v>
      </c>
      <c r="O55" s="47">
        <f t="shared" si="4"/>
        <v>42.9</v>
      </c>
      <c r="P55" s="46" t="s">
        <v>1826</v>
      </c>
      <c r="Q55" s="46" t="s">
        <v>1141</v>
      </c>
      <c r="R55" s="47">
        <f t="shared" si="5"/>
        <v>0.43</v>
      </c>
      <c r="S55" s="46" t="s">
        <v>1652</v>
      </c>
      <c r="T55" s="49" t="s">
        <v>321</v>
      </c>
    </row>
    <row r="56" spans="1:20" ht="15" customHeight="1" x14ac:dyDescent="0.25">
      <c r="A56" s="46" t="s">
        <v>1827</v>
      </c>
      <c r="B56" s="46" t="s">
        <v>1828</v>
      </c>
      <c r="C56" s="46" t="s">
        <v>1646</v>
      </c>
      <c r="D56" s="46" t="s">
        <v>1674</v>
      </c>
      <c r="E56" s="46" t="s">
        <v>1638</v>
      </c>
      <c r="F56" s="47">
        <v>2.4339</v>
      </c>
      <c r="G56" s="47">
        <f t="shared" si="3"/>
        <v>1.24</v>
      </c>
      <c r="H56" s="47">
        <v>1.1920999999999999</v>
      </c>
      <c r="I56" s="46">
        <v>11</v>
      </c>
      <c r="J56" s="46">
        <v>3.3</v>
      </c>
      <c r="K56" s="46" t="s">
        <v>576</v>
      </c>
      <c r="L56" s="46" t="s">
        <v>576</v>
      </c>
      <c r="M56" s="46" t="s">
        <v>1649</v>
      </c>
      <c r="N56" s="46" t="s">
        <v>622</v>
      </c>
      <c r="O56" s="47">
        <f t="shared" si="4"/>
        <v>22.76</v>
      </c>
      <c r="P56" s="46" t="s">
        <v>1829</v>
      </c>
      <c r="Q56" s="46" t="s">
        <v>1200</v>
      </c>
      <c r="R56" s="47">
        <f t="shared" si="5"/>
        <v>0.23</v>
      </c>
      <c r="S56" s="46" t="s">
        <v>1652</v>
      </c>
      <c r="T56" s="49" t="s">
        <v>321</v>
      </c>
    </row>
    <row r="57" spans="1:20" ht="15" customHeight="1" x14ac:dyDescent="0.25">
      <c r="A57" s="46" t="s">
        <v>1830</v>
      </c>
      <c r="B57" s="46" t="s">
        <v>1831</v>
      </c>
      <c r="C57" s="46" t="s">
        <v>1636</v>
      </c>
      <c r="D57" s="46" t="s">
        <v>1661</v>
      </c>
      <c r="E57" s="46" t="s">
        <v>1668</v>
      </c>
      <c r="F57" s="47">
        <v>2.8963000000000001</v>
      </c>
      <c r="G57" s="47">
        <f t="shared" si="3"/>
        <v>1.26</v>
      </c>
      <c r="H57" s="47">
        <v>1.6353</v>
      </c>
      <c r="I57" s="46">
        <v>9</v>
      </c>
      <c r="J57" s="46">
        <v>1.7</v>
      </c>
      <c r="K57" s="46" t="s">
        <v>587</v>
      </c>
      <c r="L57" s="46" t="s">
        <v>587</v>
      </c>
      <c r="M57" s="46" t="s">
        <v>1649</v>
      </c>
      <c r="N57" s="46" t="s">
        <v>1676</v>
      </c>
      <c r="O57" s="47">
        <f t="shared" si="4"/>
        <v>22.16</v>
      </c>
      <c r="P57" s="46" t="s">
        <v>1724</v>
      </c>
      <c r="Q57" s="46" t="s">
        <v>1642</v>
      </c>
      <c r="R57" s="47">
        <f t="shared" si="5"/>
        <v>0.22</v>
      </c>
      <c r="S57" s="46" t="s">
        <v>1652</v>
      </c>
      <c r="T57" s="49" t="s">
        <v>321</v>
      </c>
    </row>
    <row r="58" spans="1:20" ht="15" customHeight="1" x14ac:dyDescent="0.25">
      <c r="A58" s="54" t="s">
        <v>1832</v>
      </c>
      <c r="B58" s="54" t="s">
        <v>1354</v>
      </c>
      <c r="C58" s="54" t="s">
        <v>1636</v>
      </c>
      <c r="D58" s="54" t="s">
        <v>1719</v>
      </c>
      <c r="E58" s="54" t="s">
        <v>1738</v>
      </c>
      <c r="F58" s="55">
        <v>0.1734</v>
      </c>
      <c r="G58" s="55">
        <f t="shared" si="3"/>
        <v>0.16</v>
      </c>
      <c r="H58" s="55">
        <v>1.15E-2</v>
      </c>
      <c r="I58" s="54">
        <v>18</v>
      </c>
      <c r="J58" s="54">
        <v>3.6</v>
      </c>
      <c r="K58" s="54" t="s">
        <v>587</v>
      </c>
      <c r="L58" s="54" t="s">
        <v>576</v>
      </c>
      <c r="M58" s="54" t="s">
        <v>1681</v>
      </c>
      <c r="N58" s="54" t="s">
        <v>1676</v>
      </c>
      <c r="O58" s="55">
        <f t="shared" si="4"/>
        <v>2.65</v>
      </c>
      <c r="P58" s="54" t="s">
        <v>1767</v>
      </c>
      <c r="Q58" s="54" t="s">
        <v>1833</v>
      </c>
      <c r="R58" s="55">
        <f t="shared" si="5"/>
        <v>0.03</v>
      </c>
      <c r="S58" s="54" t="s">
        <v>1652</v>
      </c>
      <c r="T58" s="57" t="s">
        <v>495</v>
      </c>
    </row>
    <row r="59" spans="1:20" ht="15" customHeight="1" x14ac:dyDescent="0.25">
      <c r="A59" s="46" t="s">
        <v>1834</v>
      </c>
      <c r="B59" s="46" t="s">
        <v>1835</v>
      </c>
      <c r="C59" s="46" t="s">
        <v>1636</v>
      </c>
      <c r="D59" s="46" t="s">
        <v>1719</v>
      </c>
      <c r="E59" s="46" t="s">
        <v>1655</v>
      </c>
      <c r="F59" s="47">
        <v>3.6223000000000001</v>
      </c>
      <c r="G59" s="47">
        <f t="shared" si="3"/>
        <v>3.06</v>
      </c>
      <c r="H59" s="47">
        <v>0.55959999999999999</v>
      </c>
      <c r="I59" s="46">
        <v>12</v>
      </c>
      <c r="J59" s="46">
        <v>1.7</v>
      </c>
      <c r="K59" s="46" t="s">
        <v>576</v>
      </c>
      <c r="L59" s="46" t="s">
        <v>576</v>
      </c>
      <c r="M59" s="46" t="s">
        <v>1681</v>
      </c>
      <c r="N59" s="46" t="s">
        <v>1640</v>
      </c>
      <c r="O59" s="47">
        <f t="shared" si="4"/>
        <v>36.950000000000003</v>
      </c>
      <c r="P59" s="46" t="s">
        <v>1836</v>
      </c>
      <c r="Q59" s="46" t="s">
        <v>706</v>
      </c>
      <c r="R59" s="47">
        <f t="shared" si="5"/>
        <v>0.37</v>
      </c>
      <c r="S59" s="46" t="s">
        <v>1643</v>
      </c>
      <c r="T59" s="49" t="s">
        <v>321</v>
      </c>
    </row>
    <row r="60" spans="1:20" ht="15" customHeight="1" x14ac:dyDescent="0.25">
      <c r="A60" s="46" t="s">
        <v>1837</v>
      </c>
      <c r="B60" s="46" t="s">
        <v>758</v>
      </c>
      <c r="C60" s="46" t="s">
        <v>674</v>
      </c>
      <c r="D60" s="46" t="s">
        <v>1667</v>
      </c>
      <c r="E60" s="46" t="s">
        <v>1696</v>
      </c>
      <c r="F60" s="47">
        <v>1.7634000000000001</v>
      </c>
      <c r="G60" s="47">
        <f t="shared" si="3"/>
        <v>1.07</v>
      </c>
      <c r="H60" s="47">
        <v>0.69820000000000004</v>
      </c>
      <c r="I60" s="46">
        <v>5</v>
      </c>
      <c r="J60" s="46">
        <v>2.7</v>
      </c>
      <c r="K60" s="46" t="s">
        <v>587</v>
      </c>
      <c r="L60" s="46" t="s">
        <v>1684</v>
      </c>
      <c r="M60" s="46" t="s">
        <v>1649</v>
      </c>
      <c r="N60" s="46" t="s">
        <v>1640</v>
      </c>
      <c r="O60" s="47">
        <f t="shared" si="4"/>
        <v>7.49</v>
      </c>
      <c r="P60" s="46" t="s">
        <v>1688</v>
      </c>
      <c r="Q60" s="46" t="s">
        <v>1838</v>
      </c>
      <c r="R60" s="47">
        <f t="shared" si="5"/>
        <v>7.0000000000000007E-2</v>
      </c>
      <c r="S60" s="46" t="s">
        <v>1652</v>
      </c>
      <c r="T60" s="49" t="s">
        <v>321</v>
      </c>
    </row>
    <row r="61" spans="1:20" ht="15" customHeight="1" x14ac:dyDescent="0.25">
      <c r="A61" s="46" t="s">
        <v>1839</v>
      </c>
      <c r="B61" s="46" t="s">
        <v>1658</v>
      </c>
      <c r="C61" s="46" t="s">
        <v>1673</v>
      </c>
      <c r="D61" s="46" t="s">
        <v>1701</v>
      </c>
      <c r="E61" s="46" t="s">
        <v>1675</v>
      </c>
      <c r="F61" s="47">
        <v>0.22120000000000001</v>
      </c>
      <c r="G61" s="47">
        <f t="shared" si="3"/>
        <v>0.06</v>
      </c>
      <c r="H61" s="47">
        <v>0.16220000000000001</v>
      </c>
      <c r="I61" s="46">
        <v>8</v>
      </c>
      <c r="J61" s="46">
        <v>3.5</v>
      </c>
      <c r="K61" s="46" t="s">
        <v>587</v>
      </c>
      <c r="L61" s="46" t="s">
        <v>587</v>
      </c>
      <c r="M61" s="46" t="s">
        <v>1681</v>
      </c>
      <c r="N61" s="46" t="s">
        <v>1676</v>
      </c>
      <c r="O61" s="47">
        <f t="shared" si="4"/>
        <v>1.5</v>
      </c>
      <c r="P61" s="46" t="s">
        <v>1748</v>
      </c>
      <c r="Q61" s="46" t="s">
        <v>1840</v>
      </c>
      <c r="R61" s="47">
        <f t="shared" si="5"/>
        <v>0.02</v>
      </c>
      <c r="S61" s="46" t="s">
        <v>1652</v>
      </c>
      <c r="T61" s="49" t="s">
        <v>321</v>
      </c>
    </row>
    <row r="62" spans="1:20" ht="15" customHeight="1" x14ac:dyDescent="0.25">
      <c r="A62" s="46" t="s">
        <v>1841</v>
      </c>
      <c r="B62" s="46" t="s">
        <v>785</v>
      </c>
      <c r="C62" s="46" t="s">
        <v>1636</v>
      </c>
      <c r="D62" s="46" t="s">
        <v>1667</v>
      </c>
      <c r="E62" s="46" t="s">
        <v>1655</v>
      </c>
      <c r="F62" s="47">
        <v>4.2652999999999999</v>
      </c>
      <c r="G62" s="47">
        <f t="shared" si="3"/>
        <v>1.85</v>
      </c>
      <c r="H62" s="47">
        <v>2.4110999999999998</v>
      </c>
      <c r="I62" s="46">
        <v>9</v>
      </c>
      <c r="J62" s="46">
        <v>1.3</v>
      </c>
      <c r="K62" s="46" t="s">
        <v>576</v>
      </c>
      <c r="L62" s="46" t="s">
        <v>576</v>
      </c>
      <c r="M62" s="46" t="s">
        <v>1639</v>
      </c>
      <c r="N62" s="46" t="s">
        <v>1676</v>
      </c>
      <c r="O62" s="47">
        <f t="shared" si="4"/>
        <v>32.630000000000003</v>
      </c>
      <c r="P62" s="46" t="s">
        <v>1823</v>
      </c>
      <c r="Q62" s="46" t="s">
        <v>1842</v>
      </c>
      <c r="R62" s="47">
        <f t="shared" si="5"/>
        <v>0.33</v>
      </c>
      <c r="S62" s="46" t="s">
        <v>544</v>
      </c>
      <c r="T62" s="49" t="s">
        <v>321</v>
      </c>
    </row>
    <row r="63" spans="1:20" ht="25.5" customHeight="1" x14ac:dyDescent="0.25">
      <c r="A63" s="54" t="s">
        <v>1843</v>
      </c>
      <c r="B63" s="54" t="s">
        <v>1844</v>
      </c>
      <c r="C63" s="54" t="s">
        <v>1747</v>
      </c>
      <c r="D63" s="54" t="s">
        <v>1686</v>
      </c>
      <c r="E63" s="54" t="s">
        <v>1638</v>
      </c>
      <c r="F63" s="55">
        <v>1.5592999999999999</v>
      </c>
      <c r="G63" s="55">
        <f t="shared" si="3"/>
        <v>0.81</v>
      </c>
      <c r="H63" s="55">
        <v>0.75429999999999997</v>
      </c>
      <c r="I63" s="54">
        <v>10</v>
      </c>
      <c r="J63" s="54">
        <v>4.9000000000000004</v>
      </c>
      <c r="K63" s="54" t="s">
        <v>587</v>
      </c>
      <c r="L63" s="54" t="s">
        <v>576</v>
      </c>
      <c r="M63" s="54" t="s">
        <v>1656</v>
      </c>
      <c r="N63" s="54" t="s">
        <v>622</v>
      </c>
      <c r="O63" s="55">
        <f t="shared" si="4"/>
        <v>13.25</v>
      </c>
      <c r="P63" s="54" t="s">
        <v>1845</v>
      </c>
      <c r="Q63" s="54" t="s">
        <v>1846</v>
      </c>
      <c r="R63" s="55">
        <f t="shared" si="5"/>
        <v>0.13</v>
      </c>
      <c r="S63" s="54" t="s">
        <v>1652</v>
      </c>
      <c r="T63" s="57" t="s">
        <v>495</v>
      </c>
    </row>
    <row r="64" spans="1:20" ht="15" customHeight="1" x14ac:dyDescent="0.25">
      <c r="A64" s="46" t="s">
        <v>1847</v>
      </c>
      <c r="B64" s="46" t="s">
        <v>1635</v>
      </c>
      <c r="C64" s="46" t="s">
        <v>1646</v>
      </c>
      <c r="D64" s="46" t="s">
        <v>1661</v>
      </c>
      <c r="E64" s="46" t="s">
        <v>1668</v>
      </c>
      <c r="F64" s="47">
        <v>0.83489999999999998</v>
      </c>
      <c r="G64" s="47">
        <f t="shared" si="3"/>
        <v>0.61</v>
      </c>
      <c r="H64" s="47">
        <v>0.22720000000000001</v>
      </c>
      <c r="I64" s="46">
        <v>17</v>
      </c>
      <c r="J64" s="46">
        <v>2.7</v>
      </c>
      <c r="K64" s="46" t="s">
        <v>587</v>
      </c>
      <c r="L64" s="46" t="s">
        <v>576</v>
      </c>
      <c r="M64" s="46" t="s">
        <v>1639</v>
      </c>
      <c r="N64" s="46" t="s">
        <v>1676</v>
      </c>
      <c r="O64" s="47">
        <f t="shared" si="4"/>
        <v>12.06</v>
      </c>
      <c r="P64" s="46" t="s">
        <v>1662</v>
      </c>
      <c r="Q64" s="46" t="s">
        <v>1848</v>
      </c>
      <c r="R64" s="47">
        <f t="shared" si="5"/>
        <v>0.12</v>
      </c>
      <c r="S64" s="46" t="s">
        <v>544</v>
      </c>
      <c r="T64" s="49" t="s">
        <v>321</v>
      </c>
    </row>
    <row r="65" spans="1:20" ht="25.5" customHeight="1" x14ac:dyDescent="0.25">
      <c r="A65" s="46" t="s">
        <v>1849</v>
      </c>
      <c r="B65" s="46" t="s">
        <v>797</v>
      </c>
      <c r="C65" s="46" t="s">
        <v>1636</v>
      </c>
      <c r="D65" s="46" t="s">
        <v>1637</v>
      </c>
      <c r="E65" s="46" t="s">
        <v>1696</v>
      </c>
      <c r="F65" s="47">
        <v>3.6968999999999999</v>
      </c>
      <c r="G65" s="47">
        <f t="shared" si="3"/>
        <v>1.54</v>
      </c>
      <c r="H65" s="47">
        <v>2.1556000000000002</v>
      </c>
      <c r="I65" s="46">
        <v>9</v>
      </c>
      <c r="J65" s="46">
        <v>3.1</v>
      </c>
      <c r="K65" s="46" t="s">
        <v>587</v>
      </c>
      <c r="L65" s="46" t="s">
        <v>576</v>
      </c>
      <c r="M65" s="46" t="s">
        <v>1639</v>
      </c>
      <c r="N65" s="46" t="s">
        <v>622</v>
      </c>
      <c r="O65" s="47">
        <f t="shared" si="4"/>
        <v>28.28</v>
      </c>
      <c r="P65" s="46" t="s">
        <v>1697</v>
      </c>
      <c r="Q65" s="46" t="s">
        <v>1101</v>
      </c>
      <c r="R65" s="47">
        <f t="shared" si="5"/>
        <v>0.28000000000000003</v>
      </c>
      <c r="S65" s="46" t="s">
        <v>1652</v>
      </c>
      <c r="T65" s="49" t="s">
        <v>321</v>
      </c>
    </row>
    <row r="66" spans="1:20" ht="15" customHeight="1" x14ac:dyDescent="0.25">
      <c r="A66" s="46" t="s">
        <v>1850</v>
      </c>
      <c r="B66" s="46" t="s">
        <v>857</v>
      </c>
      <c r="C66" s="46" t="s">
        <v>1646</v>
      </c>
      <c r="D66" s="46" t="s">
        <v>1686</v>
      </c>
      <c r="E66" s="46" t="s">
        <v>1738</v>
      </c>
      <c r="F66" s="47">
        <v>0.93430000000000002</v>
      </c>
      <c r="G66" s="47">
        <f t="shared" si="3"/>
        <v>0.74</v>
      </c>
      <c r="H66" s="47">
        <v>0.19700000000000001</v>
      </c>
      <c r="I66" s="46">
        <v>2</v>
      </c>
      <c r="J66" s="46">
        <v>2.9</v>
      </c>
      <c r="K66" s="46" t="s">
        <v>587</v>
      </c>
      <c r="L66" s="46" t="s">
        <v>1684</v>
      </c>
      <c r="M66" s="46" t="s">
        <v>1681</v>
      </c>
      <c r="N66" s="46" t="s">
        <v>1640</v>
      </c>
      <c r="O66" s="47">
        <f t="shared" si="4"/>
        <v>1.59</v>
      </c>
      <c r="P66" s="46" t="s">
        <v>1716</v>
      </c>
      <c r="Q66" s="46" t="s">
        <v>1851</v>
      </c>
      <c r="R66" s="47">
        <f t="shared" si="5"/>
        <v>0.02</v>
      </c>
      <c r="S66" s="46" t="s">
        <v>1684</v>
      </c>
      <c r="T66" s="49" t="s">
        <v>321</v>
      </c>
    </row>
    <row r="67" spans="1:20" ht="25.5" customHeight="1" x14ac:dyDescent="0.25">
      <c r="A67" s="54" t="s">
        <v>1852</v>
      </c>
      <c r="B67" s="54" t="s">
        <v>1853</v>
      </c>
      <c r="C67" s="54" t="s">
        <v>1646</v>
      </c>
      <c r="D67" s="54" t="s">
        <v>1661</v>
      </c>
      <c r="E67" s="54" t="s">
        <v>1687</v>
      </c>
      <c r="F67" s="55">
        <v>2.9369000000000001</v>
      </c>
      <c r="G67" s="55">
        <f t="shared" ref="G67:G98" si="6">ROUND(F67-H67,2)</f>
        <v>1.78</v>
      </c>
      <c r="H67" s="55">
        <v>1.1603000000000001</v>
      </c>
      <c r="I67" s="54">
        <v>24</v>
      </c>
      <c r="J67" s="54">
        <v>4.5</v>
      </c>
      <c r="K67" s="54" t="s">
        <v>576</v>
      </c>
      <c r="L67" s="54" t="s">
        <v>587</v>
      </c>
      <c r="M67" s="54" t="s">
        <v>1656</v>
      </c>
      <c r="N67" s="54" t="s">
        <v>1676</v>
      </c>
      <c r="O67" s="55">
        <f t="shared" ref="O67:O98" si="7">ROUND(F67*I67*0.85,2)</f>
        <v>59.91</v>
      </c>
      <c r="P67" s="54" t="s">
        <v>1854</v>
      </c>
      <c r="Q67" s="54" t="s">
        <v>1294</v>
      </c>
      <c r="R67" s="55">
        <f t="shared" ref="R67:R98" si="8">ROUND(O67/100,2)</f>
        <v>0.6</v>
      </c>
      <c r="S67" s="54" t="s">
        <v>1652</v>
      </c>
      <c r="T67" s="57" t="s">
        <v>495</v>
      </c>
    </row>
    <row r="68" spans="1:20" ht="15" customHeight="1" x14ac:dyDescent="0.25">
      <c r="A68" s="46" t="s">
        <v>1855</v>
      </c>
      <c r="B68" s="46" t="s">
        <v>1856</v>
      </c>
      <c r="C68" s="46" t="s">
        <v>1666</v>
      </c>
      <c r="D68" s="46" t="s">
        <v>1719</v>
      </c>
      <c r="E68" s="46" t="s">
        <v>1708</v>
      </c>
      <c r="F68" s="47">
        <v>1.3138000000000001</v>
      </c>
      <c r="G68" s="47">
        <f t="shared" si="6"/>
        <v>0.33</v>
      </c>
      <c r="H68" s="47">
        <v>0.98350000000000004</v>
      </c>
      <c r="I68" s="46">
        <v>1</v>
      </c>
      <c r="J68" s="46">
        <v>3.1</v>
      </c>
      <c r="K68" s="46" t="s">
        <v>587</v>
      </c>
      <c r="L68" s="46" t="s">
        <v>587</v>
      </c>
      <c r="M68" s="46" t="s">
        <v>1656</v>
      </c>
      <c r="N68" s="46" t="s">
        <v>1676</v>
      </c>
      <c r="O68" s="47">
        <f t="shared" si="7"/>
        <v>1.1200000000000001</v>
      </c>
      <c r="P68" s="46" t="s">
        <v>1682</v>
      </c>
      <c r="Q68" s="46" t="s">
        <v>1848</v>
      </c>
      <c r="R68" s="47">
        <f t="shared" si="8"/>
        <v>0.01</v>
      </c>
      <c r="S68" s="46" t="s">
        <v>1643</v>
      </c>
      <c r="T68" s="49" t="s">
        <v>321</v>
      </c>
    </row>
    <row r="69" spans="1:20" ht="15" customHeight="1" x14ac:dyDescent="0.25">
      <c r="A69" s="54" t="s">
        <v>1857</v>
      </c>
      <c r="B69" s="54" t="s">
        <v>1858</v>
      </c>
      <c r="C69" s="54" t="s">
        <v>1654</v>
      </c>
      <c r="D69" s="54" t="s">
        <v>1637</v>
      </c>
      <c r="E69" s="54" t="s">
        <v>1648</v>
      </c>
      <c r="F69" s="55">
        <v>2.3953000000000002</v>
      </c>
      <c r="G69" s="55">
        <f t="shared" si="6"/>
        <v>1.29</v>
      </c>
      <c r="H69" s="55">
        <v>1.1095999999999999</v>
      </c>
      <c r="I69" s="54">
        <v>4</v>
      </c>
      <c r="J69" s="54">
        <v>4.3</v>
      </c>
      <c r="K69" s="54" t="s">
        <v>587</v>
      </c>
      <c r="L69" s="54" t="s">
        <v>576</v>
      </c>
      <c r="M69" s="54" t="s">
        <v>1656</v>
      </c>
      <c r="N69" s="54" t="s">
        <v>1640</v>
      </c>
      <c r="O69" s="55">
        <f t="shared" si="7"/>
        <v>8.14</v>
      </c>
      <c r="P69" s="54" t="s">
        <v>1829</v>
      </c>
      <c r="Q69" s="54" t="s">
        <v>1859</v>
      </c>
      <c r="R69" s="55">
        <f t="shared" si="8"/>
        <v>0.08</v>
      </c>
      <c r="S69" s="54" t="s">
        <v>1684</v>
      </c>
      <c r="T69" s="57" t="s">
        <v>495</v>
      </c>
    </row>
    <row r="70" spans="1:20" ht="15" customHeight="1" x14ac:dyDescent="0.25">
      <c r="A70" s="54" t="s">
        <v>1860</v>
      </c>
      <c r="B70" s="54" t="s">
        <v>1776</v>
      </c>
      <c r="C70" s="54" t="s">
        <v>1666</v>
      </c>
      <c r="D70" s="54" t="s">
        <v>1719</v>
      </c>
      <c r="E70" s="54" t="s">
        <v>1638</v>
      </c>
      <c r="F70" s="55">
        <v>2.0101</v>
      </c>
      <c r="G70" s="55">
        <f t="shared" si="6"/>
        <v>1.85</v>
      </c>
      <c r="H70" s="55">
        <v>0.16220000000000001</v>
      </c>
      <c r="I70" s="54">
        <v>20</v>
      </c>
      <c r="J70" s="54">
        <v>4.8</v>
      </c>
      <c r="K70" s="54" t="s">
        <v>587</v>
      </c>
      <c r="L70" s="54" t="s">
        <v>1684</v>
      </c>
      <c r="M70" s="54" t="s">
        <v>1649</v>
      </c>
      <c r="N70" s="54" t="s">
        <v>1676</v>
      </c>
      <c r="O70" s="55">
        <f t="shared" si="7"/>
        <v>34.17</v>
      </c>
      <c r="P70" s="54" t="s">
        <v>1778</v>
      </c>
      <c r="Q70" s="54" t="s">
        <v>1861</v>
      </c>
      <c r="R70" s="55">
        <f t="shared" si="8"/>
        <v>0.34</v>
      </c>
      <c r="S70" s="54" t="s">
        <v>544</v>
      </c>
      <c r="T70" s="57" t="s">
        <v>495</v>
      </c>
    </row>
    <row r="71" spans="1:20" ht="15" customHeight="1" x14ac:dyDescent="0.25">
      <c r="A71" s="46" t="s">
        <v>1862</v>
      </c>
      <c r="B71" s="46" t="s">
        <v>1863</v>
      </c>
      <c r="C71" s="46" t="s">
        <v>1654</v>
      </c>
      <c r="D71" s="46" t="s">
        <v>1647</v>
      </c>
      <c r="E71" s="46" t="s">
        <v>1687</v>
      </c>
      <c r="F71" s="47">
        <v>5.7138</v>
      </c>
      <c r="G71" s="47">
        <f t="shared" si="6"/>
        <v>3.9</v>
      </c>
      <c r="H71" s="47">
        <v>1.8110999999999999</v>
      </c>
      <c r="I71" s="46">
        <v>13</v>
      </c>
      <c r="J71" s="46">
        <v>2</v>
      </c>
      <c r="K71" s="46" t="s">
        <v>587</v>
      </c>
      <c r="L71" s="46" t="s">
        <v>587</v>
      </c>
      <c r="M71" s="46" t="s">
        <v>1656</v>
      </c>
      <c r="N71" s="46" t="s">
        <v>1676</v>
      </c>
      <c r="O71" s="47">
        <f t="shared" si="7"/>
        <v>63.14</v>
      </c>
      <c r="P71" s="46" t="s">
        <v>1677</v>
      </c>
      <c r="Q71" s="46" t="s">
        <v>1346</v>
      </c>
      <c r="R71" s="47">
        <f t="shared" si="8"/>
        <v>0.63</v>
      </c>
      <c r="S71" s="46" t="s">
        <v>1684</v>
      </c>
      <c r="T71" s="49" t="s">
        <v>321</v>
      </c>
    </row>
    <row r="72" spans="1:20" ht="25.5" customHeight="1" x14ac:dyDescent="0.25">
      <c r="A72" s="54" t="s">
        <v>1864</v>
      </c>
      <c r="B72" s="54" t="s">
        <v>1865</v>
      </c>
      <c r="C72" s="54" t="s">
        <v>1666</v>
      </c>
      <c r="D72" s="54" t="s">
        <v>1674</v>
      </c>
      <c r="E72" s="54" t="s">
        <v>1648</v>
      </c>
      <c r="F72" s="55">
        <v>1.8264</v>
      </c>
      <c r="G72" s="55">
        <f t="shared" si="6"/>
        <v>0.71</v>
      </c>
      <c r="H72" s="55">
        <v>1.1154999999999999</v>
      </c>
      <c r="I72" s="54">
        <v>24</v>
      </c>
      <c r="J72" s="54">
        <v>4.2</v>
      </c>
      <c r="K72" s="54" t="s">
        <v>587</v>
      </c>
      <c r="L72" s="54" t="s">
        <v>1684</v>
      </c>
      <c r="M72" s="54" t="s">
        <v>1649</v>
      </c>
      <c r="N72" s="54" t="s">
        <v>1640</v>
      </c>
      <c r="O72" s="55">
        <f t="shared" si="7"/>
        <v>37.26</v>
      </c>
      <c r="P72" s="54" t="s">
        <v>1817</v>
      </c>
      <c r="Q72" s="54" t="s">
        <v>1866</v>
      </c>
      <c r="R72" s="55">
        <f t="shared" si="8"/>
        <v>0.37</v>
      </c>
      <c r="S72" s="54" t="s">
        <v>544</v>
      </c>
      <c r="T72" s="57" t="s">
        <v>495</v>
      </c>
    </row>
    <row r="73" spans="1:20" ht="25.5" customHeight="1" x14ac:dyDescent="0.25">
      <c r="A73" s="46" t="s">
        <v>1867</v>
      </c>
      <c r="B73" s="46" t="s">
        <v>755</v>
      </c>
      <c r="C73" s="46" t="s">
        <v>674</v>
      </c>
      <c r="D73" s="46" t="s">
        <v>1691</v>
      </c>
      <c r="E73" s="46" t="s">
        <v>1668</v>
      </c>
      <c r="F73" s="47">
        <v>5.3182</v>
      </c>
      <c r="G73" s="47">
        <f t="shared" si="6"/>
        <v>3.28</v>
      </c>
      <c r="H73" s="47">
        <v>2.0396000000000001</v>
      </c>
      <c r="I73" s="46">
        <v>19</v>
      </c>
      <c r="J73" s="46">
        <v>3.4</v>
      </c>
      <c r="K73" s="46" t="s">
        <v>576</v>
      </c>
      <c r="L73" s="46" t="s">
        <v>587</v>
      </c>
      <c r="M73" s="46" t="s">
        <v>1639</v>
      </c>
      <c r="N73" s="46" t="s">
        <v>622</v>
      </c>
      <c r="O73" s="47">
        <f t="shared" si="7"/>
        <v>85.89</v>
      </c>
      <c r="P73" s="46" t="s">
        <v>1845</v>
      </c>
      <c r="Q73" s="46" t="s">
        <v>1868</v>
      </c>
      <c r="R73" s="47">
        <f t="shared" si="8"/>
        <v>0.86</v>
      </c>
      <c r="S73" s="46" t="s">
        <v>1684</v>
      </c>
      <c r="T73" s="49" t="s">
        <v>321</v>
      </c>
    </row>
    <row r="74" spans="1:20" ht="15" customHeight="1" x14ac:dyDescent="0.25">
      <c r="A74" s="54" t="s">
        <v>1869</v>
      </c>
      <c r="B74" s="54" t="s">
        <v>1328</v>
      </c>
      <c r="C74" s="54" t="s">
        <v>1654</v>
      </c>
      <c r="D74" s="54" t="s">
        <v>1802</v>
      </c>
      <c r="E74" s="54" t="s">
        <v>1720</v>
      </c>
      <c r="F74" s="55">
        <v>5.8410000000000002</v>
      </c>
      <c r="G74" s="55">
        <f t="shared" si="6"/>
        <v>2.78</v>
      </c>
      <c r="H74" s="55">
        <v>3.0577999999999999</v>
      </c>
      <c r="I74" s="54">
        <v>21</v>
      </c>
      <c r="J74" s="54">
        <v>3.7</v>
      </c>
      <c r="K74" s="54" t="s">
        <v>587</v>
      </c>
      <c r="L74" s="54" t="s">
        <v>587</v>
      </c>
      <c r="M74" s="54" t="s">
        <v>1656</v>
      </c>
      <c r="N74" s="54" t="s">
        <v>1640</v>
      </c>
      <c r="O74" s="55">
        <f t="shared" si="7"/>
        <v>104.26</v>
      </c>
      <c r="P74" s="54" t="s">
        <v>1709</v>
      </c>
      <c r="Q74" s="54" t="s">
        <v>913</v>
      </c>
      <c r="R74" s="55">
        <f t="shared" si="8"/>
        <v>1.04</v>
      </c>
      <c r="S74" s="54" t="s">
        <v>1643</v>
      </c>
      <c r="T74" s="57" t="s">
        <v>495</v>
      </c>
    </row>
    <row r="75" spans="1:20" ht="15" customHeight="1" x14ac:dyDescent="0.25">
      <c r="A75" s="54" t="s">
        <v>1870</v>
      </c>
      <c r="B75" s="54" t="s">
        <v>1534</v>
      </c>
      <c r="C75" s="54" t="s">
        <v>1666</v>
      </c>
      <c r="D75" s="54" t="s">
        <v>1674</v>
      </c>
      <c r="E75" s="54" t="s">
        <v>1675</v>
      </c>
      <c r="F75" s="55">
        <v>4.1216999999999997</v>
      </c>
      <c r="G75" s="55">
        <f t="shared" si="6"/>
        <v>3.05</v>
      </c>
      <c r="H75" s="55">
        <v>1.0728</v>
      </c>
      <c r="I75" s="54">
        <v>8</v>
      </c>
      <c r="J75" s="54">
        <v>3.1</v>
      </c>
      <c r="K75" s="54" t="s">
        <v>587</v>
      </c>
      <c r="L75" s="54" t="s">
        <v>1684</v>
      </c>
      <c r="M75" s="54" t="s">
        <v>1656</v>
      </c>
      <c r="N75" s="54" t="s">
        <v>622</v>
      </c>
      <c r="O75" s="55">
        <f t="shared" si="7"/>
        <v>28.03</v>
      </c>
      <c r="P75" s="54" t="s">
        <v>1757</v>
      </c>
      <c r="Q75" s="54" t="s">
        <v>1871</v>
      </c>
      <c r="R75" s="55">
        <f t="shared" si="8"/>
        <v>0.28000000000000003</v>
      </c>
      <c r="S75" s="54" t="s">
        <v>1643</v>
      </c>
      <c r="T75" s="57" t="s">
        <v>495</v>
      </c>
    </row>
    <row r="76" spans="1:20" ht="15" customHeight="1" x14ac:dyDescent="0.25">
      <c r="A76" s="46" t="s">
        <v>1872</v>
      </c>
      <c r="B76" s="46" t="s">
        <v>1873</v>
      </c>
      <c r="C76" s="46" t="s">
        <v>1690</v>
      </c>
      <c r="D76" s="46" t="s">
        <v>1802</v>
      </c>
      <c r="E76" s="46" t="s">
        <v>1655</v>
      </c>
      <c r="F76" s="47">
        <v>2.5074999999999998</v>
      </c>
      <c r="G76" s="47">
        <f t="shared" si="6"/>
        <v>1.57</v>
      </c>
      <c r="H76" s="47">
        <v>0.94099999999999995</v>
      </c>
      <c r="I76" s="46">
        <v>24</v>
      </c>
      <c r="J76" s="46">
        <v>3.3</v>
      </c>
      <c r="K76" s="46" t="s">
        <v>587</v>
      </c>
      <c r="L76" s="46" t="s">
        <v>587</v>
      </c>
      <c r="M76" s="46" t="s">
        <v>1639</v>
      </c>
      <c r="N76" s="46" t="s">
        <v>622</v>
      </c>
      <c r="O76" s="47">
        <f t="shared" si="7"/>
        <v>51.15</v>
      </c>
      <c r="P76" s="46" t="s">
        <v>1874</v>
      </c>
      <c r="Q76" s="46" t="s">
        <v>1875</v>
      </c>
      <c r="R76" s="47">
        <f t="shared" si="8"/>
        <v>0.51</v>
      </c>
      <c r="S76" s="46" t="s">
        <v>1643</v>
      </c>
      <c r="T76" s="49" t="s">
        <v>321</v>
      </c>
    </row>
    <row r="77" spans="1:20" ht="15" customHeight="1" x14ac:dyDescent="0.25">
      <c r="A77" s="54" t="s">
        <v>1876</v>
      </c>
      <c r="B77" s="54" t="s">
        <v>1877</v>
      </c>
      <c r="C77" s="54" t="s">
        <v>1646</v>
      </c>
      <c r="D77" s="54" t="s">
        <v>1674</v>
      </c>
      <c r="E77" s="54" t="s">
        <v>1675</v>
      </c>
      <c r="F77" s="55">
        <v>5.0652999999999997</v>
      </c>
      <c r="G77" s="55">
        <f t="shared" si="6"/>
        <v>4.6500000000000004</v>
      </c>
      <c r="H77" s="55">
        <v>0.41370000000000001</v>
      </c>
      <c r="I77" s="54">
        <v>14</v>
      </c>
      <c r="J77" s="54">
        <v>4.5</v>
      </c>
      <c r="K77" s="54" t="s">
        <v>587</v>
      </c>
      <c r="L77" s="54" t="s">
        <v>587</v>
      </c>
      <c r="M77" s="54" t="s">
        <v>1681</v>
      </c>
      <c r="N77" s="54" t="s">
        <v>622</v>
      </c>
      <c r="O77" s="55">
        <f t="shared" si="7"/>
        <v>60.28</v>
      </c>
      <c r="P77" s="54" t="s">
        <v>1702</v>
      </c>
      <c r="Q77" s="54" t="s">
        <v>1878</v>
      </c>
      <c r="R77" s="55">
        <f t="shared" si="8"/>
        <v>0.6</v>
      </c>
      <c r="S77" s="54" t="s">
        <v>544</v>
      </c>
      <c r="T77" s="57" t="s">
        <v>495</v>
      </c>
    </row>
    <row r="78" spans="1:20" ht="15" customHeight="1" x14ac:dyDescent="0.25">
      <c r="A78" s="54" t="s">
        <v>1879</v>
      </c>
      <c r="B78" s="54" t="s">
        <v>878</v>
      </c>
      <c r="C78" s="54" t="s">
        <v>1673</v>
      </c>
      <c r="D78" s="54" t="s">
        <v>1667</v>
      </c>
      <c r="E78" s="54" t="s">
        <v>1675</v>
      </c>
      <c r="F78" s="55">
        <v>0.51539999999999997</v>
      </c>
      <c r="G78" s="55">
        <f t="shared" si="6"/>
        <v>0.14000000000000001</v>
      </c>
      <c r="H78" s="55">
        <v>0.38009999999999999</v>
      </c>
      <c r="I78" s="54">
        <v>9</v>
      </c>
      <c r="J78" s="54">
        <v>4.5</v>
      </c>
      <c r="K78" s="54" t="s">
        <v>576</v>
      </c>
      <c r="L78" s="54" t="s">
        <v>587</v>
      </c>
      <c r="M78" s="54" t="s">
        <v>1656</v>
      </c>
      <c r="N78" s="54" t="s">
        <v>1676</v>
      </c>
      <c r="O78" s="55">
        <f t="shared" si="7"/>
        <v>3.94</v>
      </c>
      <c r="P78" s="54" t="s">
        <v>1761</v>
      </c>
      <c r="Q78" s="54" t="s">
        <v>1463</v>
      </c>
      <c r="R78" s="55">
        <f t="shared" si="8"/>
        <v>0.04</v>
      </c>
      <c r="S78" s="54" t="s">
        <v>1643</v>
      </c>
      <c r="T78" s="57" t="s">
        <v>495</v>
      </c>
    </row>
    <row r="79" spans="1:20" ht="25.5" customHeight="1" x14ac:dyDescent="0.25">
      <c r="A79" s="54" t="s">
        <v>1880</v>
      </c>
      <c r="B79" s="54" t="s">
        <v>1665</v>
      </c>
      <c r="C79" s="54" t="s">
        <v>1646</v>
      </c>
      <c r="D79" s="54" t="s">
        <v>1691</v>
      </c>
      <c r="E79" s="54" t="s">
        <v>1655</v>
      </c>
      <c r="F79" s="55">
        <v>5.2191999999999998</v>
      </c>
      <c r="G79" s="55">
        <f t="shared" si="6"/>
        <v>1.43</v>
      </c>
      <c r="H79" s="55">
        <v>3.7894999999999999</v>
      </c>
      <c r="I79" s="54">
        <v>20</v>
      </c>
      <c r="J79" s="54">
        <v>3.9</v>
      </c>
      <c r="K79" s="54" t="s">
        <v>587</v>
      </c>
      <c r="L79" s="54" t="s">
        <v>1684</v>
      </c>
      <c r="M79" s="54" t="s">
        <v>1639</v>
      </c>
      <c r="N79" s="54" t="s">
        <v>622</v>
      </c>
      <c r="O79" s="55">
        <f t="shared" si="7"/>
        <v>88.73</v>
      </c>
      <c r="P79" s="54" t="s">
        <v>1836</v>
      </c>
      <c r="Q79" s="54" t="s">
        <v>1808</v>
      </c>
      <c r="R79" s="55">
        <f t="shared" si="8"/>
        <v>0.89</v>
      </c>
      <c r="S79" s="54" t="s">
        <v>1684</v>
      </c>
      <c r="T79" s="57" t="s">
        <v>495</v>
      </c>
    </row>
    <row r="80" spans="1:20" ht="15" customHeight="1" x14ac:dyDescent="0.25">
      <c r="A80" s="54" t="s">
        <v>1881</v>
      </c>
      <c r="B80" s="54" t="s">
        <v>1882</v>
      </c>
      <c r="C80" s="54" t="s">
        <v>1690</v>
      </c>
      <c r="D80" s="54" t="s">
        <v>1674</v>
      </c>
      <c r="E80" s="54" t="s">
        <v>1675</v>
      </c>
      <c r="F80" s="55">
        <v>0.1326</v>
      </c>
      <c r="G80" s="55">
        <f t="shared" si="6"/>
        <v>0.12</v>
      </c>
      <c r="H80" s="55">
        <v>1.7000000000000001E-2</v>
      </c>
      <c r="I80" s="54">
        <v>1</v>
      </c>
      <c r="J80" s="54">
        <v>3.8</v>
      </c>
      <c r="K80" s="54" t="s">
        <v>587</v>
      </c>
      <c r="L80" s="54" t="s">
        <v>576</v>
      </c>
      <c r="M80" s="54" t="s">
        <v>1649</v>
      </c>
      <c r="N80" s="54" t="s">
        <v>1640</v>
      </c>
      <c r="O80" s="55">
        <f t="shared" si="7"/>
        <v>0.11</v>
      </c>
      <c r="P80" s="54" t="s">
        <v>1826</v>
      </c>
      <c r="Q80" s="54" t="s">
        <v>1683</v>
      </c>
      <c r="R80" s="55">
        <f t="shared" si="8"/>
        <v>0</v>
      </c>
      <c r="S80" s="54" t="s">
        <v>1652</v>
      </c>
      <c r="T80" s="57" t="s">
        <v>495</v>
      </c>
    </row>
    <row r="81" spans="1:20" ht="15" customHeight="1" x14ac:dyDescent="0.25">
      <c r="A81" s="46" t="s">
        <v>1883</v>
      </c>
      <c r="B81" s="46" t="s">
        <v>1884</v>
      </c>
      <c r="C81" s="46" t="s">
        <v>1660</v>
      </c>
      <c r="D81" s="46" t="s">
        <v>1667</v>
      </c>
      <c r="E81" s="46" t="s">
        <v>1648</v>
      </c>
      <c r="F81" s="47">
        <v>1.8405</v>
      </c>
      <c r="G81" s="47">
        <f t="shared" si="6"/>
        <v>1.1499999999999999</v>
      </c>
      <c r="H81" s="47">
        <v>0.68910000000000005</v>
      </c>
      <c r="I81" s="46">
        <v>16</v>
      </c>
      <c r="J81" s="46">
        <v>2.7</v>
      </c>
      <c r="K81" s="46" t="s">
        <v>576</v>
      </c>
      <c r="L81" s="46" t="s">
        <v>576</v>
      </c>
      <c r="M81" s="46" t="s">
        <v>1649</v>
      </c>
      <c r="N81" s="46" t="s">
        <v>622</v>
      </c>
      <c r="O81" s="47">
        <f t="shared" si="7"/>
        <v>25.03</v>
      </c>
      <c r="P81" s="46" t="s">
        <v>1885</v>
      </c>
      <c r="Q81" s="46" t="s">
        <v>1206</v>
      </c>
      <c r="R81" s="47">
        <f t="shared" si="8"/>
        <v>0.25</v>
      </c>
      <c r="S81" s="46" t="s">
        <v>1684</v>
      </c>
      <c r="T81" s="49" t="s">
        <v>321</v>
      </c>
    </row>
    <row r="82" spans="1:20" ht="15" customHeight="1" x14ac:dyDescent="0.25">
      <c r="A82" s="50" t="s">
        <v>1886</v>
      </c>
      <c r="B82" s="50" t="s">
        <v>660</v>
      </c>
      <c r="C82" s="50" t="s">
        <v>1654</v>
      </c>
      <c r="D82" s="50" t="s">
        <v>1691</v>
      </c>
      <c r="E82" s="50" t="s">
        <v>1708</v>
      </c>
      <c r="F82" s="51">
        <v>1.4936</v>
      </c>
      <c r="G82" s="51">
        <f t="shared" si="6"/>
        <v>1.1100000000000001</v>
      </c>
      <c r="H82" s="51">
        <v>0.38290000000000002</v>
      </c>
      <c r="I82" s="50">
        <v>13</v>
      </c>
      <c r="J82" s="50">
        <v>1.2</v>
      </c>
      <c r="K82" s="50" t="s">
        <v>576</v>
      </c>
      <c r="L82" s="50" t="s">
        <v>576</v>
      </c>
      <c r="M82" s="50" t="s">
        <v>1681</v>
      </c>
      <c r="N82" s="50" t="s">
        <v>1640</v>
      </c>
      <c r="O82" s="51">
        <f t="shared" si="7"/>
        <v>16.5</v>
      </c>
      <c r="P82" s="50" t="s">
        <v>1697</v>
      </c>
      <c r="Q82" s="50" t="s">
        <v>679</v>
      </c>
      <c r="R82" s="51">
        <f t="shared" si="8"/>
        <v>0.17</v>
      </c>
      <c r="S82" s="50" t="s">
        <v>544</v>
      </c>
      <c r="T82" s="53" t="s">
        <v>266</v>
      </c>
    </row>
    <row r="83" spans="1:20" ht="25.5" customHeight="1" x14ac:dyDescent="0.25">
      <c r="A83" s="54" t="s">
        <v>1887</v>
      </c>
      <c r="B83" s="54" t="s">
        <v>1888</v>
      </c>
      <c r="C83" s="54" t="s">
        <v>1646</v>
      </c>
      <c r="D83" s="54" t="s">
        <v>1701</v>
      </c>
      <c r="E83" s="54" t="s">
        <v>1668</v>
      </c>
      <c r="F83" s="55">
        <v>3.1044999999999998</v>
      </c>
      <c r="G83" s="55">
        <f t="shared" si="6"/>
        <v>1.37</v>
      </c>
      <c r="H83" s="55">
        <v>1.7299</v>
      </c>
      <c r="I83" s="54">
        <v>22</v>
      </c>
      <c r="J83" s="54">
        <v>4.5999999999999996</v>
      </c>
      <c r="K83" s="54" t="s">
        <v>587</v>
      </c>
      <c r="L83" s="54" t="s">
        <v>576</v>
      </c>
      <c r="M83" s="54" t="s">
        <v>1656</v>
      </c>
      <c r="N83" s="54" t="s">
        <v>622</v>
      </c>
      <c r="O83" s="55">
        <f t="shared" si="7"/>
        <v>58.05</v>
      </c>
      <c r="P83" s="54" t="s">
        <v>1713</v>
      </c>
      <c r="Q83" s="54" t="s">
        <v>1889</v>
      </c>
      <c r="R83" s="55">
        <f t="shared" si="8"/>
        <v>0.57999999999999996</v>
      </c>
      <c r="S83" s="54" t="s">
        <v>544</v>
      </c>
      <c r="T83" s="57" t="s">
        <v>495</v>
      </c>
    </row>
    <row r="84" spans="1:20" ht="25.5" customHeight="1" x14ac:dyDescent="0.25">
      <c r="A84" s="54" t="s">
        <v>1890</v>
      </c>
      <c r="B84" s="54" t="s">
        <v>1891</v>
      </c>
      <c r="C84" s="54" t="s">
        <v>1690</v>
      </c>
      <c r="D84" s="54" t="s">
        <v>1637</v>
      </c>
      <c r="E84" s="54" t="s">
        <v>1655</v>
      </c>
      <c r="F84" s="55">
        <v>5.3403999999999998</v>
      </c>
      <c r="G84" s="55">
        <f t="shared" si="6"/>
        <v>4.6399999999999997</v>
      </c>
      <c r="H84" s="55">
        <v>0.70420000000000005</v>
      </c>
      <c r="I84" s="54">
        <v>20</v>
      </c>
      <c r="J84" s="54">
        <v>4.8</v>
      </c>
      <c r="K84" s="54" t="s">
        <v>587</v>
      </c>
      <c r="L84" s="54" t="s">
        <v>587</v>
      </c>
      <c r="M84" s="54" t="s">
        <v>1681</v>
      </c>
      <c r="N84" s="54" t="s">
        <v>1676</v>
      </c>
      <c r="O84" s="55">
        <f t="shared" si="7"/>
        <v>90.79</v>
      </c>
      <c r="P84" s="54" t="s">
        <v>1669</v>
      </c>
      <c r="Q84" s="54" t="s">
        <v>1892</v>
      </c>
      <c r="R84" s="55">
        <f t="shared" si="8"/>
        <v>0.91</v>
      </c>
      <c r="S84" s="54" t="s">
        <v>1652</v>
      </c>
      <c r="T84" s="57" t="s">
        <v>495</v>
      </c>
    </row>
    <row r="85" spans="1:20" ht="25.5" customHeight="1" x14ac:dyDescent="0.25">
      <c r="A85" s="46" t="s">
        <v>1893</v>
      </c>
      <c r="B85" s="46" t="s">
        <v>1894</v>
      </c>
      <c r="C85" s="46" t="s">
        <v>680</v>
      </c>
      <c r="D85" s="46" t="s">
        <v>1691</v>
      </c>
      <c r="E85" s="46" t="s">
        <v>1738</v>
      </c>
      <c r="F85" s="47">
        <v>3.0703999999999998</v>
      </c>
      <c r="G85" s="47">
        <f t="shared" si="6"/>
        <v>1.65</v>
      </c>
      <c r="H85" s="47">
        <v>1.4166000000000001</v>
      </c>
      <c r="I85" s="46">
        <v>22</v>
      </c>
      <c r="J85" s="46">
        <v>2.4</v>
      </c>
      <c r="K85" s="46" t="s">
        <v>587</v>
      </c>
      <c r="L85" s="46" t="s">
        <v>576</v>
      </c>
      <c r="M85" s="46" t="s">
        <v>1639</v>
      </c>
      <c r="N85" s="46" t="s">
        <v>622</v>
      </c>
      <c r="O85" s="47">
        <f t="shared" si="7"/>
        <v>57.42</v>
      </c>
      <c r="P85" s="46" t="s">
        <v>1829</v>
      </c>
      <c r="Q85" s="46" t="s">
        <v>1895</v>
      </c>
      <c r="R85" s="47">
        <f t="shared" si="8"/>
        <v>0.56999999999999995</v>
      </c>
      <c r="S85" s="46" t="s">
        <v>1684</v>
      </c>
      <c r="T85" s="49" t="s">
        <v>321</v>
      </c>
    </row>
    <row r="86" spans="1:20" ht="25.5" customHeight="1" x14ac:dyDescent="0.25">
      <c r="A86" s="46" t="s">
        <v>1896</v>
      </c>
      <c r="B86" s="46" t="s">
        <v>907</v>
      </c>
      <c r="C86" s="46" t="s">
        <v>680</v>
      </c>
      <c r="D86" s="46" t="s">
        <v>1691</v>
      </c>
      <c r="E86" s="46" t="s">
        <v>1675</v>
      </c>
      <c r="F86" s="47">
        <v>3.75</v>
      </c>
      <c r="G86" s="47">
        <f t="shared" si="6"/>
        <v>2.82</v>
      </c>
      <c r="H86" s="47">
        <v>0.92900000000000005</v>
      </c>
      <c r="I86" s="46">
        <v>24</v>
      </c>
      <c r="J86" s="46">
        <v>1.3</v>
      </c>
      <c r="K86" s="46" t="s">
        <v>587</v>
      </c>
      <c r="L86" s="46" t="s">
        <v>576</v>
      </c>
      <c r="M86" s="46" t="s">
        <v>1649</v>
      </c>
      <c r="N86" s="46" t="s">
        <v>1676</v>
      </c>
      <c r="O86" s="47">
        <f t="shared" si="7"/>
        <v>76.5</v>
      </c>
      <c r="P86" s="46" t="s">
        <v>1669</v>
      </c>
      <c r="Q86" s="46" t="s">
        <v>1897</v>
      </c>
      <c r="R86" s="47">
        <f t="shared" si="8"/>
        <v>0.77</v>
      </c>
      <c r="S86" s="46" t="s">
        <v>1684</v>
      </c>
      <c r="T86" s="49" t="s">
        <v>321</v>
      </c>
    </row>
    <row r="87" spans="1:20" ht="25.5" customHeight="1" x14ac:dyDescent="0.25">
      <c r="A87" s="50" t="s">
        <v>1898</v>
      </c>
      <c r="B87" s="50" t="s">
        <v>1611</v>
      </c>
      <c r="C87" s="50" t="s">
        <v>1636</v>
      </c>
      <c r="D87" s="50" t="s">
        <v>1691</v>
      </c>
      <c r="E87" s="50" t="s">
        <v>1696</v>
      </c>
      <c r="F87" s="51">
        <v>1.4466000000000001</v>
      </c>
      <c r="G87" s="51">
        <f t="shared" si="6"/>
        <v>0.81</v>
      </c>
      <c r="H87" s="51">
        <v>0.63619999999999999</v>
      </c>
      <c r="I87" s="50">
        <v>1</v>
      </c>
      <c r="J87" s="50">
        <v>2.4</v>
      </c>
      <c r="K87" s="50" t="s">
        <v>587</v>
      </c>
      <c r="L87" s="50" t="s">
        <v>587</v>
      </c>
      <c r="M87" s="50" t="s">
        <v>1649</v>
      </c>
      <c r="N87" s="50" t="s">
        <v>1676</v>
      </c>
      <c r="O87" s="51">
        <f t="shared" si="7"/>
        <v>1.23</v>
      </c>
      <c r="P87" s="50" t="s">
        <v>1721</v>
      </c>
      <c r="Q87" s="50" t="s">
        <v>1865</v>
      </c>
      <c r="R87" s="51">
        <f t="shared" si="8"/>
        <v>0.01</v>
      </c>
      <c r="S87" s="50" t="s">
        <v>1643</v>
      </c>
      <c r="T87" s="53" t="s">
        <v>266</v>
      </c>
    </row>
    <row r="88" spans="1:20" ht="25.5" customHeight="1" x14ac:dyDescent="0.25">
      <c r="A88" s="50" t="s">
        <v>1899</v>
      </c>
      <c r="B88" s="50" t="s">
        <v>846</v>
      </c>
      <c r="C88" s="50" t="s">
        <v>1636</v>
      </c>
      <c r="D88" s="50" t="s">
        <v>1647</v>
      </c>
      <c r="E88" s="50" t="s">
        <v>1708</v>
      </c>
      <c r="F88" s="51">
        <v>1.3988</v>
      </c>
      <c r="G88" s="51">
        <f t="shared" si="6"/>
        <v>0.78</v>
      </c>
      <c r="H88" s="51">
        <v>0.62019999999999997</v>
      </c>
      <c r="I88" s="50">
        <v>16</v>
      </c>
      <c r="J88" s="50">
        <v>2</v>
      </c>
      <c r="K88" s="50" t="s">
        <v>587</v>
      </c>
      <c r="L88" s="50" t="s">
        <v>587</v>
      </c>
      <c r="M88" s="50" t="s">
        <v>1656</v>
      </c>
      <c r="N88" s="50" t="s">
        <v>622</v>
      </c>
      <c r="O88" s="51">
        <f t="shared" si="7"/>
        <v>19.02</v>
      </c>
      <c r="P88" s="50" t="s">
        <v>1900</v>
      </c>
      <c r="Q88" s="50" t="s">
        <v>1758</v>
      </c>
      <c r="R88" s="51">
        <f t="shared" si="8"/>
        <v>0.19</v>
      </c>
      <c r="S88" s="50" t="s">
        <v>1652</v>
      </c>
      <c r="T88" s="53" t="s">
        <v>266</v>
      </c>
    </row>
    <row r="89" spans="1:20" ht="15" customHeight="1" x14ac:dyDescent="0.25">
      <c r="A89" s="54" t="s">
        <v>1901</v>
      </c>
      <c r="B89" s="54" t="s">
        <v>1902</v>
      </c>
      <c r="C89" s="54" t="s">
        <v>1747</v>
      </c>
      <c r="D89" s="54" t="s">
        <v>1647</v>
      </c>
      <c r="E89" s="54" t="s">
        <v>1638</v>
      </c>
      <c r="F89" s="55">
        <v>5.5635000000000003</v>
      </c>
      <c r="G89" s="55">
        <f t="shared" si="6"/>
        <v>3.58</v>
      </c>
      <c r="H89" s="55">
        <v>1.9833000000000001</v>
      </c>
      <c r="I89" s="54">
        <v>15</v>
      </c>
      <c r="J89" s="54">
        <v>4.9000000000000004</v>
      </c>
      <c r="K89" s="54" t="s">
        <v>576</v>
      </c>
      <c r="L89" s="54" t="s">
        <v>576</v>
      </c>
      <c r="M89" s="54" t="s">
        <v>1656</v>
      </c>
      <c r="N89" s="54" t="s">
        <v>622</v>
      </c>
      <c r="O89" s="55">
        <f t="shared" si="7"/>
        <v>70.930000000000007</v>
      </c>
      <c r="P89" s="54" t="s">
        <v>1807</v>
      </c>
      <c r="Q89" s="54" t="s">
        <v>1903</v>
      </c>
      <c r="R89" s="55">
        <f t="shared" si="8"/>
        <v>0.71</v>
      </c>
      <c r="S89" s="54" t="s">
        <v>1643</v>
      </c>
      <c r="T89" s="57" t="s">
        <v>495</v>
      </c>
    </row>
    <row r="90" spans="1:20" ht="15" customHeight="1" x14ac:dyDescent="0.25">
      <c r="A90" s="54" t="s">
        <v>1904</v>
      </c>
      <c r="B90" s="54" t="s">
        <v>1352</v>
      </c>
      <c r="C90" s="54" t="s">
        <v>1690</v>
      </c>
      <c r="D90" s="54" t="s">
        <v>1667</v>
      </c>
      <c r="E90" s="54" t="s">
        <v>1720</v>
      </c>
      <c r="F90" s="55">
        <v>0.98429999999999995</v>
      </c>
      <c r="G90" s="55">
        <f t="shared" si="6"/>
        <v>0.73</v>
      </c>
      <c r="H90" s="55">
        <v>0.2505</v>
      </c>
      <c r="I90" s="54">
        <v>15</v>
      </c>
      <c r="J90" s="54">
        <v>4</v>
      </c>
      <c r="K90" s="54" t="s">
        <v>587</v>
      </c>
      <c r="L90" s="54" t="s">
        <v>1684</v>
      </c>
      <c r="M90" s="54" t="s">
        <v>1656</v>
      </c>
      <c r="N90" s="54" t="s">
        <v>1676</v>
      </c>
      <c r="O90" s="55">
        <f t="shared" si="7"/>
        <v>12.55</v>
      </c>
      <c r="P90" s="54" t="s">
        <v>1826</v>
      </c>
      <c r="Q90" s="54" t="s">
        <v>1905</v>
      </c>
      <c r="R90" s="55">
        <f t="shared" si="8"/>
        <v>0.13</v>
      </c>
      <c r="S90" s="54" t="s">
        <v>544</v>
      </c>
      <c r="T90" s="57" t="s">
        <v>495</v>
      </c>
    </row>
    <row r="91" spans="1:20" ht="15" customHeight="1" x14ac:dyDescent="0.25">
      <c r="A91" s="46" t="s">
        <v>1906</v>
      </c>
      <c r="B91" s="46" t="s">
        <v>1278</v>
      </c>
      <c r="C91" s="46" t="s">
        <v>1690</v>
      </c>
      <c r="D91" s="46" t="s">
        <v>1667</v>
      </c>
      <c r="E91" s="46" t="s">
        <v>1668</v>
      </c>
      <c r="F91" s="47">
        <v>5.8193000000000001</v>
      </c>
      <c r="G91" s="47">
        <f t="shared" si="6"/>
        <v>2.39</v>
      </c>
      <c r="H91" s="47">
        <v>3.4243999999999999</v>
      </c>
      <c r="I91" s="46">
        <v>1</v>
      </c>
      <c r="J91" s="46">
        <v>2</v>
      </c>
      <c r="K91" s="46" t="s">
        <v>587</v>
      </c>
      <c r="L91" s="46" t="s">
        <v>587</v>
      </c>
      <c r="M91" s="46" t="s">
        <v>1639</v>
      </c>
      <c r="N91" s="46" t="s">
        <v>622</v>
      </c>
      <c r="O91" s="47">
        <f t="shared" si="7"/>
        <v>4.95</v>
      </c>
      <c r="P91" s="46" t="s">
        <v>1669</v>
      </c>
      <c r="Q91" s="46" t="s">
        <v>1907</v>
      </c>
      <c r="R91" s="47">
        <f t="shared" si="8"/>
        <v>0.05</v>
      </c>
      <c r="S91" s="46" t="s">
        <v>544</v>
      </c>
      <c r="T91" s="49" t="s">
        <v>321</v>
      </c>
    </row>
    <row r="92" spans="1:20" ht="15" customHeight="1" x14ac:dyDescent="0.25">
      <c r="A92" s="54" t="s">
        <v>1908</v>
      </c>
      <c r="B92" s="54" t="s">
        <v>931</v>
      </c>
      <c r="C92" s="54" t="s">
        <v>1636</v>
      </c>
      <c r="D92" s="54" t="s">
        <v>1661</v>
      </c>
      <c r="E92" s="54" t="s">
        <v>1738</v>
      </c>
      <c r="F92" s="55">
        <v>0.95209999999999995</v>
      </c>
      <c r="G92" s="55">
        <f t="shared" si="6"/>
        <v>0.4</v>
      </c>
      <c r="H92" s="55">
        <v>0.54979999999999996</v>
      </c>
      <c r="I92" s="54">
        <v>14</v>
      </c>
      <c r="J92" s="54">
        <v>4.0999999999999996</v>
      </c>
      <c r="K92" s="54" t="s">
        <v>587</v>
      </c>
      <c r="L92" s="54" t="s">
        <v>587</v>
      </c>
      <c r="M92" s="54" t="s">
        <v>1681</v>
      </c>
      <c r="N92" s="54" t="s">
        <v>1640</v>
      </c>
      <c r="O92" s="55">
        <f t="shared" si="7"/>
        <v>11.33</v>
      </c>
      <c r="P92" s="54" t="s">
        <v>1709</v>
      </c>
      <c r="Q92" s="54" t="s">
        <v>1197</v>
      </c>
      <c r="R92" s="55">
        <f t="shared" si="8"/>
        <v>0.11</v>
      </c>
      <c r="S92" s="54" t="s">
        <v>544</v>
      </c>
      <c r="T92" s="57" t="s">
        <v>495</v>
      </c>
    </row>
    <row r="93" spans="1:20" ht="15" customHeight="1" x14ac:dyDescent="0.25">
      <c r="A93" s="54" t="s">
        <v>1909</v>
      </c>
      <c r="B93" s="54" t="s">
        <v>1910</v>
      </c>
      <c r="C93" s="54" t="s">
        <v>1646</v>
      </c>
      <c r="D93" s="54" t="s">
        <v>1674</v>
      </c>
      <c r="E93" s="54" t="s">
        <v>1638</v>
      </c>
      <c r="F93" s="55">
        <v>4.3198999999999996</v>
      </c>
      <c r="G93" s="55">
        <f t="shared" si="6"/>
        <v>2.54</v>
      </c>
      <c r="H93" s="55">
        <v>1.7804</v>
      </c>
      <c r="I93" s="54">
        <v>3</v>
      </c>
      <c r="J93" s="54">
        <v>1.3</v>
      </c>
      <c r="K93" s="54" t="s">
        <v>587</v>
      </c>
      <c r="L93" s="54" t="s">
        <v>587</v>
      </c>
      <c r="M93" s="54" t="s">
        <v>1649</v>
      </c>
      <c r="N93" s="54" t="s">
        <v>1640</v>
      </c>
      <c r="O93" s="55">
        <f t="shared" si="7"/>
        <v>11.02</v>
      </c>
      <c r="P93" s="54" t="s">
        <v>1778</v>
      </c>
      <c r="Q93" s="54" t="s">
        <v>1695</v>
      </c>
      <c r="R93" s="55">
        <f t="shared" si="8"/>
        <v>0.11</v>
      </c>
      <c r="S93" s="54" t="s">
        <v>1643</v>
      </c>
      <c r="T93" s="57" t="s">
        <v>495</v>
      </c>
    </row>
    <row r="94" spans="1:20" ht="15" customHeight="1" x14ac:dyDescent="0.25">
      <c r="A94" s="54" t="s">
        <v>1911</v>
      </c>
      <c r="B94" s="54" t="s">
        <v>1912</v>
      </c>
      <c r="C94" s="54" t="s">
        <v>1673</v>
      </c>
      <c r="D94" s="54" t="s">
        <v>1719</v>
      </c>
      <c r="E94" s="54" t="s">
        <v>1638</v>
      </c>
      <c r="F94" s="55">
        <v>5.8674999999999997</v>
      </c>
      <c r="G94" s="55">
        <f t="shared" si="6"/>
        <v>1.55</v>
      </c>
      <c r="H94" s="55">
        <v>4.3186999999999998</v>
      </c>
      <c r="I94" s="54">
        <v>22</v>
      </c>
      <c r="J94" s="54">
        <v>4.5</v>
      </c>
      <c r="K94" s="54" t="s">
        <v>587</v>
      </c>
      <c r="L94" s="54" t="s">
        <v>587</v>
      </c>
      <c r="M94" s="54" t="s">
        <v>1681</v>
      </c>
      <c r="N94" s="54" t="s">
        <v>622</v>
      </c>
      <c r="O94" s="55">
        <f t="shared" si="7"/>
        <v>109.72</v>
      </c>
      <c r="P94" s="54" t="s">
        <v>1885</v>
      </c>
      <c r="Q94" s="54" t="s">
        <v>875</v>
      </c>
      <c r="R94" s="55">
        <f t="shared" si="8"/>
        <v>1.1000000000000001</v>
      </c>
      <c r="S94" s="54" t="s">
        <v>544</v>
      </c>
      <c r="T94" s="57" t="s">
        <v>495</v>
      </c>
    </row>
    <row r="95" spans="1:20" ht="15" customHeight="1" x14ac:dyDescent="0.25">
      <c r="A95" s="54" t="s">
        <v>1913</v>
      </c>
      <c r="B95" s="54" t="s">
        <v>1914</v>
      </c>
      <c r="C95" s="54" t="s">
        <v>680</v>
      </c>
      <c r="D95" s="54" t="s">
        <v>1686</v>
      </c>
      <c r="E95" s="54" t="s">
        <v>1696</v>
      </c>
      <c r="F95" s="55">
        <v>5.4062000000000001</v>
      </c>
      <c r="G95" s="55">
        <f t="shared" si="6"/>
        <v>2.83</v>
      </c>
      <c r="H95" s="55">
        <v>2.5802999999999998</v>
      </c>
      <c r="I95" s="54">
        <v>5</v>
      </c>
      <c r="J95" s="54">
        <v>3.8</v>
      </c>
      <c r="K95" s="54" t="s">
        <v>587</v>
      </c>
      <c r="L95" s="54" t="s">
        <v>1684</v>
      </c>
      <c r="M95" s="54" t="s">
        <v>1649</v>
      </c>
      <c r="N95" s="54" t="s">
        <v>622</v>
      </c>
      <c r="O95" s="55">
        <f t="shared" si="7"/>
        <v>22.98</v>
      </c>
      <c r="P95" s="54" t="s">
        <v>1641</v>
      </c>
      <c r="Q95" s="54" t="s">
        <v>1915</v>
      </c>
      <c r="R95" s="55">
        <f t="shared" si="8"/>
        <v>0.23</v>
      </c>
      <c r="S95" s="54" t="s">
        <v>1684</v>
      </c>
      <c r="T95" s="57" t="s">
        <v>495</v>
      </c>
    </row>
    <row r="96" spans="1:20" ht="25.5" customHeight="1" x14ac:dyDescent="0.25">
      <c r="A96" s="54" t="s">
        <v>1916</v>
      </c>
      <c r="B96" s="54" t="s">
        <v>1917</v>
      </c>
      <c r="C96" s="54" t="s">
        <v>1636</v>
      </c>
      <c r="D96" s="54" t="s">
        <v>1667</v>
      </c>
      <c r="E96" s="54" t="s">
        <v>1696</v>
      </c>
      <c r="F96" s="55">
        <v>0.55149999999999999</v>
      </c>
      <c r="G96" s="55">
        <f t="shared" si="6"/>
        <v>0.32</v>
      </c>
      <c r="H96" s="55">
        <v>0.2351</v>
      </c>
      <c r="I96" s="54">
        <v>13</v>
      </c>
      <c r="J96" s="54">
        <v>3.9</v>
      </c>
      <c r="K96" s="54" t="s">
        <v>587</v>
      </c>
      <c r="L96" s="54" t="s">
        <v>1684</v>
      </c>
      <c r="M96" s="54" t="s">
        <v>1639</v>
      </c>
      <c r="N96" s="54" t="s">
        <v>1676</v>
      </c>
      <c r="O96" s="55">
        <f t="shared" si="7"/>
        <v>6.09</v>
      </c>
      <c r="P96" s="54" t="s">
        <v>1874</v>
      </c>
      <c r="Q96" s="54" t="s">
        <v>974</v>
      </c>
      <c r="R96" s="55">
        <f t="shared" si="8"/>
        <v>0.06</v>
      </c>
      <c r="S96" s="54" t="s">
        <v>544</v>
      </c>
      <c r="T96" s="57" t="s">
        <v>495</v>
      </c>
    </row>
    <row r="97" spans="1:20" ht="15" customHeight="1" x14ac:dyDescent="0.25">
      <c r="A97" s="50" t="s">
        <v>1918</v>
      </c>
      <c r="B97" s="50" t="s">
        <v>1557</v>
      </c>
      <c r="C97" s="50" t="s">
        <v>680</v>
      </c>
      <c r="D97" s="50" t="s">
        <v>1674</v>
      </c>
      <c r="E97" s="50" t="s">
        <v>1638</v>
      </c>
      <c r="F97" s="51">
        <v>0.216</v>
      </c>
      <c r="G97" s="51">
        <f t="shared" si="6"/>
        <v>0.08</v>
      </c>
      <c r="H97" s="51">
        <v>0.13120000000000001</v>
      </c>
      <c r="I97" s="50">
        <v>19</v>
      </c>
      <c r="J97" s="50">
        <v>2</v>
      </c>
      <c r="K97" s="50" t="s">
        <v>587</v>
      </c>
      <c r="L97" s="50" t="s">
        <v>1684</v>
      </c>
      <c r="M97" s="50" t="s">
        <v>1681</v>
      </c>
      <c r="N97" s="50" t="s">
        <v>622</v>
      </c>
      <c r="O97" s="51">
        <f t="shared" si="7"/>
        <v>3.49</v>
      </c>
      <c r="P97" s="50" t="s">
        <v>1716</v>
      </c>
      <c r="Q97" s="50" t="s">
        <v>1919</v>
      </c>
      <c r="R97" s="51">
        <f t="shared" si="8"/>
        <v>0.03</v>
      </c>
      <c r="S97" s="50" t="s">
        <v>1643</v>
      </c>
      <c r="T97" s="53" t="s">
        <v>266</v>
      </c>
    </row>
    <row r="98" spans="1:20" ht="25.5" customHeight="1" x14ac:dyDescent="0.25">
      <c r="A98" s="46" t="s">
        <v>1920</v>
      </c>
      <c r="B98" s="46" t="s">
        <v>931</v>
      </c>
      <c r="C98" s="46" t="s">
        <v>1666</v>
      </c>
      <c r="D98" s="46" t="s">
        <v>1802</v>
      </c>
      <c r="E98" s="46" t="s">
        <v>1720</v>
      </c>
      <c r="F98" s="47">
        <v>0.78669999999999995</v>
      </c>
      <c r="G98" s="47">
        <f t="shared" si="6"/>
        <v>0.33</v>
      </c>
      <c r="H98" s="47">
        <v>0.45600000000000002</v>
      </c>
      <c r="I98" s="46">
        <v>4</v>
      </c>
      <c r="J98" s="46">
        <v>2.8</v>
      </c>
      <c r="K98" s="46" t="s">
        <v>576</v>
      </c>
      <c r="L98" s="46" t="s">
        <v>587</v>
      </c>
      <c r="M98" s="46" t="s">
        <v>1639</v>
      </c>
      <c r="N98" s="46" t="s">
        <v>1676</v>
      </c>
      <c r="O98" s="47">
        <f t="shared" si="7"/>
        <v>2.67</v>
      </c>
      <c r="P98" s="46" t="s">
        <v>1735</v>
      </c>
      <c r="Q98" s="46" t="s">
        <v>1921</v>
      </c>
      <c r="R98" s="47">
        <f t="shared" si="8"/>
        <v>0.03</v>
      </c>
      <c r="S98" s="46" t="s">
        <v>1652</v>
      </c>
      <c r="T98" s="49" t="s">
        <v>321</v>
      </c>
    </row>
    <row r="99" spans="1:20" ht="15" customHeight="1" x14ac:dyDescent="0.25">
      <c r="A99" s="54" t="s">
        <v>1922</v>
      </c>
      <c r="B99" s="54" t="s">
        <v>1923</v>
      </c>
      <c r="C99" s="54" t="s">
        <v>1666</v>
      </c>
      <c r="D99" s="54" t="s">
        <v>1637</v>
      </c>
      <c r="E99" s="54" t="s">
        <v>1708</v>
      </c>
      <c r="F99" s="55">
        <v>4.0510000000000002</v>
      </c>
      <c r="G99" s="55">
        <f t="shared" ref="G99:G130" si="9">ROUND(F99-H99,2)</f>
        <v>1.82</v>
      </c>
      <c r="H99" s="55">
        <v>2.2282000000000002</v>
      </c>
      <c r="I99" s="54">
        <v>17</v>
      </c>
      <c r="J99" s="54">
        <v>4</v>
      </c>
      <c r="K99" s="54" t="s">
        <v>576</v>
      </c>
      <c r="L99" s="54" t="s">
        <v>587</v>
      </c>
      <c r="M99" s="54" t="s">
        <v>1649</v>
      </c>
      <c r="N99" s="54" t="s">
        <v>1640</v>
      </c>
      <c r="O99" s="55">
        <f t="shared" ref="O99:O130" si="10">ROUND(F99*I99*0.85,2)</f>
        <v>58.54</v>
      </c>
      <c r="P99" s="54" t="s">
        <v>1709</v>
      </c>
      <c r="Q99" s="54" t="s">
        <v>1884</v>
      </c>
      <c r="R99" s="55">
        <f t="shared" ref="R99:R130" si="11">ROUND(O99/100,2)</f>
        <v>0.59</v>
      </c>
      <c r="S99" s="54" t="s">
        <v>1652</v>
      </c>
      <c r="T99" s="57" t="s">
        <v>495</v>
      </c>
    </row>
    <row r="100" spans="1:20" ht="25.5" customHeight="1" x14ac:dyDescent="0.25">
      <c r="A100" s="50" t="s">
        <v>1924</v>
      </c>
      <c r="B100" s="50" t="s">
        <v>1487</v>
      </c>
      <c r="C100" s="50" t="s">
        <v>1636</v>
      </c>
      <c r="D100" s="50" t="s">
        <v>1647</v>
      </c>
      <c r="E100" s="50" t="s">
        <v>1648</v>
      </c>
      <c r="F100" s="51">
        <v>0.42009999999999997</v>
      </c>
      <c r="G100" s="51">
        <f t="shared" si="9"/>
        <v>0.14000000000000001</v>
      </c>
      <c r="H100" s="51">
        <v>0.2823</v>
      </c>
      <c r="I100" s="50">
        <v>16</v>
      </c>
      <c r="J100" s="50">
        <v>1.9</v>
      </c>
      <c r="K100" s="50" t="s">
        <v>576</v>
      </c>
      <c r="L100" s="50" t="s">
        <v>587</v>
      </c>
      <c r="M100" s="50" t="s">
        <v>1681</v>
      </c>
      <c r="N100" s="50" t="s">
        <v>622</v>
      </c>
      <c r="O100" s="51">
        <f t="shared" si="10"/>
        <v>5.71</v>
      </c>
      <c r="P100" s="50" t="s">
        <v>1925</v>
      </c>
      <c r="Q100" s="50" t="s">
        <v>1926</v>
      </c>
      <c r="R100" s="51">
        <f t="shared" si="11"/>
        <v>0.06</v>
      </c>
      <c r="S100" s="50" t="s">
        <v>1684</v>
      </c>
      <c r="T100" s="53" t="s">
        <v>266</v>
      </c>
    </row>
    <row r="101" spans="1:20" ht="15" customHeight="1" x14ac:dyDescent="0.25">
      <c r="A101" s="54" t="s">
        <v>1927</v>
      </c>
      <c r="B101" s="54" t="s">
        <v>1928</v>
      </c>
      <c r="C101" s="54" t="s">
        <v>1747</v>
      </c>
      <c r="D101" s="54" t="s">
        <v>1691</v>
      </c>
      <c r="E101" s="54" t="s">
        <v>1655</v>
      </c>
      <c r="F101" s="55">
        <v>5.9791999999999996</v>
      </c>
      <c r="G101" s="55">
        <f t="shared" si="9"/>
        <v>2.8</v>
      </c>
      <c r="H101" s="55">
        <v>3.1827999999999999</v>
      </c>
      <c r="I101" s="54">
        <v>16</v>
      </c>
      <c r="J101" s="54">
        <v>3.9</v>
      </c>
      <c r="K101" s="54" t="s">
        <v>587</v>
      </c>
      <c r="L101" s="54" t="s">
        <v>576</v>
      </c>
      <c r="M101" s="54" t="s">
        <v>1649</v>
      </c>
      <c r="N101" s="54" t="s">
        <v>622</v>
      </c>
      <c r="O101" s="55">
        <f t="shared" si="10"/>
        <v>81.319999999999993</v>
      </c>
      <c r="P101" s="54" t="s">
        <v>1662</v>
      </c>
      <c r="Q101" s="54" t="s">
        <v>588</v>
      </c>
      <c r="R101" s="55">
        <f t="shared" si="11"/>
        <v>0.81</v>
      </c>
      <c r="S101" s="54" t="s">
        <v>1684</v>
      </c>
      <c r="T101" s="57" t="s">
        <v>495</v>
      </c>
    </row>
    <row r="102" spans="1:20" ht="15" customHeight="1" x14ac:dyDescent="0.25">
      <c r="A102" s="54" t="s">
        <v>1929</v>
      </c>
      <c r="B102" s="54" t="s">
        <v>1930</v>
      </c>
      <c r="C102" s="54" t="s">
        <v>1660</v>
      </c>
      <c r="D102" s="54" t="s">
        <v>1802</v>
      </c>
      <c r="E102" s="54" t="s">
        <v>1648</v>
      </c>
      <c r="F102" s="55">
        <v>4.1821000000000002</v>
      </c>
      <c r="G102" s="55">
        <f t="shared" si="9"/>
        <v>2.64</v>
      </c>
      <c r="H102" s="55">
        <v>1.5424</v>
      </c>
      <c r="I102" s="54">
        <v>2</v>
      </c>
      <c r="J102" s="54">
        <v>4</v>
      </c>
      <c r="K102" s="54" t="s">
        <v>587</v>
      </c>
      <c r="L102" s="54" t="s">
        <v>576</v>
      </c>
      <c r="M102" s="54" t="s">
        <v>1681</v>
      </c>
      <c r="N102" s="54" t="s">
        <v>1676</v>
      </c>
      <c r="O102" s="55">
        <f t="shared" si="10"/>
        <v>7.11</v>
      </c>
      <c r="P102" s="54" t="s">
        <v>1716</v>
      </c>
      <c r="Q102" s="54" t="s">
        <v>1042</v>
      </c>
      <c r="R102" s="55">
        <f t="shared" si="11"/>
        <v>7.0000000000000007E-2</v>
      </c>
      <c r="S102" s="54" t="s">
        <v>544</v>
      </c>
      <c r="T102" s="57" t="s">
        <v>495</v>
      </c>
    </row>
    <row r="103" spans="1:20" ht="25.5" customHeight="1" x14ac:dyDescent="0.25">
      <c r="A103" s="46" t="s">
        <v>1931</v>
      </c>
      <c r="B103" s="46" t="s">
        <v>1853</v>
      </c>
      <c r="C103" s="46" t="s">
        <v>1660</v>
      </c>
      <c r="D103" s="46" t="s">
        <v>1674</v>
      </c>
      <c r="E103" s="46" t="s">
        <v>1648</v>
      </c>
      <c r="F103" s="47">
        <v>2.2602000000000002</v>
      </c>
      <c r="G103" s="47">
        <f t="shared" si="9"/>
        <v>0.57999999999999996</v>
      </c>
      <c r="H103" s="47">
        <v>1.6809000000000001</v>
      </c>
      <c r="I103" s="46">
        <v>10</v>
      </c>
      <c r="J103" s="46">
        <v>2.2000000000000002</v>
      </c>
      <c r="K103" s="46" t="s">
        <v>576</v>
      </c>
      <c r="L103" s="46" t="s">
        <v>576</v>
      </c>
      <c r="M103" s="46" t="s">
        <v>1649</v>
      </c>
      <c r="N103" s="46" t="s">
        <v>622</v>
      </c>
      <c r="O103" s="47">
        <f t="shared" si="10"/>
        <v>19.21</v>
      </c>
      <c r="P103" s="46" t="s">
        <v>1724</v>
      </c>
      <c r="Q103" s="46" t="s">
        <v>1791</v>
      </c>
      <c r="R103" s="47">
        <f t="shared" si="11"/>
        <v>0.19</v>
      </c>
      <c r="S103" s="46" t="s">
        <v>544</v>
      </c>
      <c r="T103" s="49" t="s">
        <v>321</v>
      </c>
    </row>
    <row r="104" spans="1:20" ht="15" customHeight="1" x14ac:dyDescent="0.25">
      <c r="A104" s="54" t="s">
        <v>1932</v>
      </c>
      <c r="B104" s="54" t="s">
        <v>1323</v>
      </c>
      <c r="C104" s="54" t="s">
        <v>674</v>
      </c>
      <c r="D104" s="54" t="s">
        <v>1674</v>
      </c>
      <c r="E104" s="54" t="s">
        <v>1668</v>
      </c>
      <c r="F104" s="55">
        <v>6.2399999999999997E-2</v>
      </c>
      <c r="G104" s="55">
        <f t="shared" si="9"/>
        <v>0.04</v>
      </c>
      <c r="H104" s="55">
        <v>2.7E-2</v>
      </c>
      <c r="I104" s="54">
        <v>3</v>
      </c>
      <c r="J104" s="54">
        <v>4.5</v>
      </c>
      <c r="K104" s="54" t="s">
        <v>587</v>
      </c>
      <c r="L104" s="54" t="s">
        <v>587</v>
      </c>
      <c r="M104" s="54" t="s">
        <v>1639</v>
      </c>
      <c r="N104" s="54" t="s">
        <v>622</v>
      </c>
      <c r="O104" s="55">
        <f t="shared" si="10"/>
        <v>0.16</v>
      </c>
      <c r="P104" s="54" t="s">
        <v>1702</v>
      </c>
      <c r="Q104" s="54" t="s">
        <v>1933</v>
      </c>
      <c r="R104" s="55">
        <f t="shared" si="11"/>
        <v>0</v>
      </c>
      <c r="S104" s="54" t="s">
        <v>544</v>
      </c>
      <c r="T104" s="57" t="s">
        <v>495</v>
      </c>
    </row>
    <row r="105" spans="1:20" ht="25.5" customHeight="1" x14ac:dyDescent="0.25">
      <c r="A105" s="54" t="s">
        <v>1934</v>
      </c>
      <c r="B105" s="54" t="s">
        <v>1031</v>
      </c>
      <c r="C105" s="54" t="s">
        <v>1646</v>
      </c>
      <c r="D105" s="54" t="s">
        <v>1719</v>
      </c>
      <c r="E105" s="54" t="s">
        <v>1675</v>
      </c>
      <c r="F105" s="55">
        <v>4.5835999999999997</v>
      </c>
      <c r="G105" s="55">
        <f t="shared" si="9"/>
        <v>2.73</v>
      </c>
      <c r="H105" s="55">
        <v>1.8487</v>
      </c>
      <c r="I105" s="54">
        <v>15</v>
      </c>
      <c r="J105" s="54">
        <v>4</v>
      </c>
      <c r="K105" s="54" t="s">
        <v>587</v>
      </c>
      <c r="L105" s="54" t="s">
        <v>576</v>
      </c>
      <c r="M105" s="54" t="s">
        <v>1639</v>
      </c>
      <c r="N105" s="54" t="s">
        <v>1676</v>
      </c>
      <c r="O105" s="55">
        <f t="shared" si="10"/>
        <v>58.44</v>
      </c>
      <c r="P105" s="54" t="s">
        <v>1641</v>
      </c>
      <c r="Q105" s="54" t="s">
        <v>1935</v>
      </c>
      <c r="R105" s="55">
        <f t="shared" si="11"/>
        <v>0.57999999999999996</v>
      </c>
      <c r="S105" s="54" t="s">
        <v>1684</v>
      </c>
      <c r="T105" s="57" t="s">
        <v>495</v>
      </c>
    </row>
    <row r="106" spans="1:20" ht="15" customHeight="1" x14ac:dyDescent="0.25">
      <c r="A106" s="54" t="s">
        <v>1936</v>
      </c>
      <c r="B106" s="54" t="s">
        <v>1937</v>
      </c>
      <c r="C106" s="54" t="s">
        <v>674</v>
      </c>
      <c r="D106" s="54" t="s">
        <v>1701</v>
      </c>
      <c r="E106" s="54" t="s">
        <v>1720</v>
      </c>
      <c r="F106" s="55">
        <v>3.2688999999999999</v>
      </c>
      <c r="G106" s="55">
        <f t="shared" si="9"/>
        <v>0.91</v>
      </c>
      <c r="H106" s="55">
        <v>2.3557999999999999</v>
      </c>
      <c r="I106" s="54">
        <v>15</v>
      </c>
      <c r="J106" s="54">
        <v>3.9</v>
      </c>
      <c r="K106" s="54" t="s">
        <v>576</v>
      </c>
      <c r="L106" s="54" t="s">
        <v>576</v>
      </c>
      <c r="M106" s="54" t="s">
        <v>1656</v>
      </c>
      <c r="N106" s="54" t="s">
        <v>622</v>
      </c>
      <c r="O106" s="55">
        <f t="shared" si="10"/>
        <v>41.68</v>
      </c>
      <c r="P106" s="54" t="s">
        <v>1798</v>
      </c>
      <c r="Q106" s="54" t="s">
        <v>1938</v>
      </c>
      <c r="R106" s="55">
        <f t="shared" si="11"/>
        <v>0.42</v>
      </c>
      <c r="S106" s="54" t="s">
        <v>544</v>
      </c>
      <c r="T106" s="57" t="s">
        <v>495</v>
      </c>
    </row>
    <row r="107" spans="1:20" ht="15" customHeight="1" x14ac:dyDescent="0.25">
      <c r="A107" s="54" t="s">
        <v>1939</v>
      </c>
      <c r="B107" s="54" t="s">
        <v>1781</v>
      </c>
      <c r="C107" s="54" t="s">
        <v>1690</v>
      </c>
      <c r="D107" s="54" t="s">
        <v>1802</v>
      </c>
      <c r="E107" s="54" t="s">
        <v>1648</v>
      </c>
      <c r="F107" s="55">
        <v>1.1949000000000001</v>
      </c>
      <c r="G107" s="55">
        <f t="shared" si="9"/>
        <v>0.62</v>
      </c>
      <c r="H107" s="55">
        <v>0.57720000000000005</v>
      </c>
      <c r="I107" s="54">
        <v>19</v>
      </c>
      <c r="J107" s="54">
        <v>4</v>
      </c>
      <c r="K107" s="54" t="s">
        <v>587</v>
      </c>
      <c r="L107" s="54" t="s">
        <v>587</v>
      </c>
      <c r="M107" s="54" t="s">
        <v>1656</v>
      </c>
      <c r="N107" s="54" t="s">
        <v>1676</v>
      </c>
      <c r="O107" s="55">
        <f t="shared" si="10"/>
        <v>19.3</v>
      </c>
      <c r="P107" s="54" t="s">
        <v>1817</v>
      </c>
      <c r="Q107" s="54" t="s">
        <v>654</v>
      </c>
      <c r="R107" s="55">
        <f t="shared" si="11"/>
        <v>0.19</v>
      </c>
      <c r="S107" s="54" t="s">
        <v>1652</v>
      </c>
      <c r="T107" s="57" t="s">
        <v>495</v>
      </c>
    </row>
    <row r="108" spans="1:20" ht="15" customHeight="1" x14ac:dyDescent="0.25">
      <c r="A108" s="46" t="s">
        <v>1940</v>
      </c>
      <c r="B108" s="46" t="s">
        <v>1941</v>
      </c>
      <c r="C108" s="46" t="s">
        <v>1666</v>
      </c>
      <c r="D108" s="46" t="s">
        <v>1667</v>
      </c>
      <c r="E108" s="46" t="s">
        <v>1738</v>
      </c>
      <c r="F108" s="47">
        <v>4.9866999999999999</v>
      </c>
      <c r="G108" s="47">
        <f t="shared" si="9"/>
        <v>1.81</v>
      </c>
      <c r="H108" s="47">
        <v>3.1777000000000002</v>
      </c>
      <c r="I108" s="46">
        <v>19</v>
      </c>
      <c r="J108" s="46">
        <v>2.8</v>
      </c>
      <c r="K108" s="46" t="s">
        <v>587</v>
      </c>
      <c r="L108" s="46" t="s">
        <v>587</v>
      </c>
      <c r="M108" s="46" t="s">
        <v>1656</v>
      </c>
      <c r="N108" s="46" t="s">
        <v>1640</v>
      </c>
      <c r="O108" s="47">
        <f t="shared" si="10"/>
        <v>80.540000000000006</v>
      </c>
      <c r="P108" s="46" t="s">
        <v>1713</v>
      </c>
      <c r="Q108" s="46" t="s">
        <v>1942</v>
      </c>
      <c r="R108" s="47">
        <f t="shared" si="11"/>
        <v>0.81</v>
      </c>
      <c r="S108" s="46" t="s">
        <v>1684</v>
      </c>
      <c r="T108" s="49" t="s">
        <v>321</v>
      </c>
    </row>
    <row r="109" spans="1:20" ht="15" customHeight="1" x14ac:dyDescent="0.25">
      <c r="A109" s="54" t="s">
        <v>1943</v>
      </c>
      <c r="B109" s="54" t="s">
        <v>694</v>
      </c>
      <c r="C109" s="54" t="s">
        <v>1636</v>
      </c>
      <c r="D109" s="54" t="s">
        <v>1686</v>
      </c>
      <c r="E109" s="54" t="s">
        <v>1687</v>
      </c>
      <c r="F109" s="55">
        <v>1.9383999999999999</v>
      </c>
      <c r="G109" s="55">
        <f t="shared" si="9"/>
        <v>1.49</v>
      </c>
      <c r="H109" s="55">
        <v>0.44590000000000002</v>
      </c>
      <c r="I109" s="54">
        <v>4</v>
      </c>
      <c r="J109" s="54">
        <v>4.9000000000000004</v>
      </c>
      <c r="K109" s="54" t="s">
        <v>587</v>
      </c>
      <c r="L109" s="54" t="s">
        <v>587</v>
      </c>
      <c r="M109" s="54" t="s">
        <v>1649</v>
      </c>
      <c r="N109" s="54" t="s">
        <v>1676</v>
      </c>
      <c r="O109" s="55">
        <f t="shared" si="10"/>
        <v>6.59</v>
      </c>
      <c r="P109" s="54" t="s">
        <v>1767</v>
      </c>
      <c r="Q109" s="54" t="s">
        <v>1875</v>
      </c>
      <c r="R109" s="55">
        <f t="shared" si="11"/>
        <v>7.0000000000000007E-2</v>
      </c>
      <c r="S109" s="54" t="s">
        <v>1643</v>
      </c>
      <c r="T109" s="57" t="s">
        <v>495</v>
      </c>
    </row>
    <row r="110" spans="1:20" ht="25.5" customHeight="1" x14ac:dyDescent="0.25">
      <c r="A110" s="50" t="s">
        <v>1944</v>
      </c>
      <c r="B110" s="50" t="s">
        <v>1062</v>
      </c>
      <c r="C110" s="50" t="s">
        <v>1666</v>
      </c>
      <c r="D110" s="50" t="s">
        <v>1701</v>
      </c>
      <c r="E110" s="50" t="s">
        <v>1675</v>
      </c>
      <c r="F110" s="51">
        <v>0.40050000000000002</v>
      </c>
      <c r="G110" s="51">
        <f t="shared" si="9"/>
        <v>0.11</v>
      </c>
      <c r="H110" s="51">
        <v>0.28949999999999998</v>
      </c>
      <c r="I110" s="50">
        <v>6</v>
      </c>
      <c r="J110" s="50">
        <v>1.1000000000000001</v>
      </c>
      <c r="K110" s="50" t="s">
        <v>576</v>
      </c>
      <c r="L110" s="50" t="s">
        <v>587</v>
      </c>
      <c r="M110" s="50" t="s">
        <v>1681</v>
      </c>
      <c r="N110" s="50" t="s">
        <v>1676</v>
      </c>
      <c r="O110" s="51">
        <f t="shared" si="10"/>
        <v>2.04</v>
      </c>
      <c r="P110" s="50" t="s">
        <v>1692</v>
      </c>
      <c r="Q110" s="50" t="s">
        <v>1945</v>
      </c>
      <c r="R110" s="51">
        <f t="shared" si="11"/>
        <v>0.02</v>
      </c>
      <c r="S110" s="50" t="s">
        <v>1684</v>
      </c>
      <c r="T110" s="53" t="s">
        <v>266</v>
      </c>
    </row>
    <row r="111" spans="1:20" ht="25.5" customHeight="1" x14ac:dyDescent="0.25">
      <c r="A111" s="46" t="s">
        <v>1946</v>
      </c>
      <c r="B111" s="46" t="s">
        <v>785</v>
      </c>
      <c r="C111" s="46" t="s">
        <v>1666</v>
      </c>
      <c r="D111" s="46" t="s">
        <v>1701</v>
      </c>
      <c r="E111" s="46" t="s">
        <v>1648</v>
      </c>
      <c r="F111" s="47">
        <v>0.35870000000000002</v>
      </c>
      <c r="G111" s="47">
        <f t="shared" si="9"/>
        <v>0.28000000000000003</v>
      </c>
      <c r="H111" s="47">
        <v>7.8100000000000003E-2</v>
      </c>
      <c r="I111" s="46">
        <v>20</v>
      </c>
      <c r="J111" s="46">
        <v>3.3</v>
      </c>
      <c r="K111" s="46" t="s">
        <v>587</v>
      </c>
      <c r="L111" s="46" t="s">
        <v>1684</v>
      </c>
      <c r="M111" s="46" t="s">
        <v>1681</v>
      </c>
      <c r="N111" s="46" t="s">
        <v>1676</v>
      </c>
      <c r="O111" s="47">
        <f t="shared" si="10"/>
        <v>6.1</v>
      </c>
      <c r="P111" s="46" t="s">
        <v>1900</v>
      </c>
      <c r="Q111" s="46" t="s">
        <v>1391</v>
      </c>
      <c r="R111" s="47">
        <f t="shared" si="11"/>
        <v>0.06</v>
      </c>
      <c r="S111" s="46" t="s">
        <v>544</v>
      </c>
      <c r="T111" s="49" t="s">
        <v>321</v>
      </c>
    </row>
    <row r="112" spans="1:20" ht="15" customHeight="1" x14ac:dyDescent="0.25">
      <c r="A112" s="54" t="s">
        <v>1947</v>
      </c>
      <c r="B112" s="54" t="s">
        <v>1605</v>
      </c>
      <c r="C112" s="54" t="s">
        <v>1660</v>
      </c>
      <c r="D112" s="54" t="s">
        <v>1701</v>
      </c>
      <c r="E112" s="54" t="s">
        <v>1648</v>
      </c>
      <c r="F112" s="55">
        <v>2.9308000000000001</v>
      </c>
      <c r="G112" s="55">
        <f t="shared" si="9"/>
        <v>1.95</v>
      </c>
      <c r="H112" s="55">
        <v>0.98250000000000004</v>
      </c>
      <c r="I112" s="54">
        <v>8</v>
      </c>
      <c r="J112" s="54">
        <v>4.7</v>
      </c>
      <c r="K112" s="54" t="s">
        <v>576</v>
      </c>
      <c r="L112" s="54" t="s">
        <v>587</v>
      </c>
      <c r="M112" s="54" t="s">
        <v>1656</v>
      </c>
      <c r="N112" s="54" t="s">
        <v>1676</v>
      </c>
      <c r="O112" s="55">
        <f t="shared" si="10"/>
        <v>19.93</v>
      </c>
      <c r="P112" s="54" t="s">
        <v>1739</v>
      </c>
      <c r="Q112" s="54" t="s">
        <v>1948</v>
      </c>
      <c r="R112" s="55">
        <f t="shared" si="11"/>
        <v>0.2</v>
      </c>
      <c r="S112" s="54" t="s">
        <v>1652</v>
      </c>
      <c r="T112" s="57" t="s">
        <v>495</v>
      </c>
    </row>
    <row r="113" spans="1:20" ht="15" customHeight="1" x14ac:dyDescent="0.25">
      <c r="A113" s="54" t="s">
        <v>1949</v>
      </c>
      <c r="B113" s="54" t="s">
        <v>731</v>
      </c>
      <c r="C113" s="54" t="s">
        <v>1747</v>
      </c>
      <c r="D113" s="54" t="s">
        <v>1701</v>
      </c>
      <c r="E113" s="54" t="s">
        <v>1668</v>
      </c>
      <c r="F113" s="55">
        <v>0.54930000000000001</v>
      </c>
      <c r="G113" s="55">
        <f t="shared" si="9"/>
        <v>0.28000000000000003</v>
      </c>
      <c r="H113" s="55">
        <v>0.27189999999999998</v>
      </c>
      <c r="I113" s="54">
        <v>7</v>
      </c>
      <c r="J113" s="54">
        <v>4.0999999999999996</v>
      </c>
      <c r="K113" s="54" t="s">
        <v>587</v>
      </c>
      <c r="L113" s="54" t="s">
        <v>587</v>
      </c>
      <c r="M113" s="54" t="s">
        <v>1649</v>
      </c>
      <c r="N113" s="54" t="s">
        <v>1676</v>
      </c>
      <c r="O113" s="55">
        <f t="shared" si="10"/>
        <v>3.27</v>
      </c>
      <c r="P113" s="54" t="s">
        <v>1950</v>
      </c>
      <c r="Q113" s="54" t="s">
        <v>1197</v>
      </c>
      <c r="R113" s="55">
        <f t="shared" si="11"/>
        <v>0.03</v>
      </c>
      <c r="S113" s="54" t="s">
        <v>1684</v>
      </c>
      <c r="T113" s="57" t="s">
        <v>495</v>
      </c>
    </row>
    <row r="114" spans="1:20" ht="15" customHeight="1" x14ac:dyDescent="0.25">
      <c r="A114" s="54" t="s">
        <v>1951</v>
      </c>
      <c r="B114" s="54" t="s">
        <v>1203</v>
      </c>
      <c r="C114" s="54" t="s">
        <v>1646</v>
      </c>
      <c r="D114" s="54" t="s">
        <v>1686</v>
      </c>
      <c r="E114" s="54" t="s">
        <v>1638</v>
      </c>
      <c r="F114" s="55">
        <v>4.8852000000000002</v>
      </c>
      <c r="G114" s="55">
        <f t="shared" si="9"/>
        <v>1.35</v>
      </c>
      <c r="H114" s="55">
        <v>3.5308999999999999</v>
      </c>
      <c r="I114" s="54">
        <v>20</v>
      </c>
      <c r="J114" s="54">
        <v>2.2000000000000002</v>
      </c>
      <c r="K114" s="54" t="s">
        <v>587</v>
      </c>
      <c r="L114" s="54" t="s">
        <v>576</v>
      </c>
      <c r="M114" s="54" t="s">
        <v>1656</v>
      </c>
      <c r="N114" s="54" t="s">
        <v>1640</v>
      </c>
      <c r="O114" s="55">
        <f t="shared" si="10"/>
        <v>83.05</v>
      </c>
      <c r="P114" s="54" t="s">
        <v>1900</v>
      </c>
      <c r="Q114" s="54" t="s">
        <v>724</v>
      </c>
      <c r="R114" s="55">
        <f t="shared" si="11"/>
        <v>0.83</v>
      </c>
      <c r="S114" s="54" t="s">
        <v>544</v>
      </c>
      <c r="T114" s="57" t="s">
        <v>495</v>
      </c>
    </row>
    <row r="115" spans="1:20" ht="15" customHeight="1" x14ac:dyDescent="0.25">
      <c r="A115" s="46" t="s">
        <v>1952</v>
      </c>
      <c r="B115" s="46" t="s">
        <v>635</v>
      </c>
      <c r="C115" s="46" t="s">
        <v>1636</v>
      </c>
      <c r="D115" s="46" t="s">
        <v>1661</v>
      </c>
      <c r="E115" s="46" t="s">
        <v>1738</v>
      </c>
      <c r="F115" s="47">
        <v>3.5316999999999998</v>
      </c>
      <c r="G115" s="47">
        <f t="shared" si="9"/>
        <v>2.09</v>
      </c>
      <c r="H115" s="47">
        <v>1.4381999999999999</v>
      </c>
      <c r="I115" s="46">
        <v>2</v>
      </c>
      <c r="J115" s="46">
        <v>1.6</v>
      </c>
      <c r="K115" s="46" t="s">
        <v>576</v>
      </c>
      <c r="L115" s="46" t="s">
        <v>587</v>
      </c>
      <c r="M115" s="46" t="s">
        <v>1656</v>
      </c>
      <c r="N115" s="46" t="s">
        <v>1640</v>
      </c>
      <c r="O115" s="47">
        <f t="shared" si="10"/>
        <v>6</v>
      </c>
      <c r="P115" s="46" t="s">
        <v>1885</v>
      </c>
      <c r="Q115" s="46" t="s">
        <v>1953</v>
      </c>
      <c r="R115" s="47">
        <f t="shared" si="11"/>
        <v>0.06</v>
      </c>
      <c r="S115" s="46" t="s">
        <v>1652</v>
      </c>
      <c r="T115" s="49" t="s">
        <v>321</v>
      </c>
    </row>
    <row r="116" spans="1:20" ht="15" customHeight="1" x14ac:dyDescent="0.25">
      <c r="A116" s="54" t="s">
        <v>1954</v>
      </c>
      <c r="B116" s="54" t="s">
        <v>857</v>
      </c>
      <c r="C116" s="54" t="s">
        <v>1666</v>
      </c>
      <c r="D116" s="54" t="s">
        <v>1701</v>
      </c>
      <c r="E116" s="54" t="s">
        <v>1738</v>
      </c>
      <c r="F116" s="55">
        <v>3.6821000000000002</v>
      </c>
      <c r="G116" s="55">
        <f t="shared" si="9"/>
        <v>1.03</v>
      </c>
      <c r="H116" s="55">
        <v>2.6518000000000002</v>
      </c>
      <c r="I116" s="54">
        <v>11</v>
      </c>
      <c r="J116" s="54">
        <v>4.5</v>
      </c>
      <c r="K116" s="54" t="s">
        <v>587</v>
      </c>
      <c r="L116" s="54" t="s">
        <v>1684</v>
      </c>
      <c r="M116" s="54" t="s">
        <v>1639</v>
      </c>
      <c r="N116" s="54" t="s">
        <v>622</v>
      </c>
      <c r="O116" s="55">
        <f t="shared" si="10"/>
        <v>34.43</v>
      </c>
      <c r="P116" s="54" t="s">
        <v>1702</v>
      </c>
      <c r="Q116" s="54" t="s">
        <v>1955</v>
      </c>
      <c r="R116" s="55">
        <f t="shared" si="11"/>
        <v>0.34</v>
      </c>
      <c r="S116" s="54" t="s">
        <v>1652</v>
      </c>
      <c r="T116" s="57" t="s">
        <v>495</v>
      </c>
    </row>
    <row r="117" spans="1:20" ht="15" customHeight="1" x14ac:dyDescent="0.25">
      <c r="A117" s="54" t="s">
        <v>1956</v>
      </c>
      <c r="B117" s="54" t="s">
        <v>1957</v>
      </c>
      <c r="C117" s="54" t="s">
        <v>680</v>
      </c>
      <c r="D117" s="54" t="s">
        <v>1661</v>
      </c>
      <c r="E117" s="54" t="s">
        <v>1738</v>
      </c>
      <c r="F117" s="55">
        <v>2.7858000000000001</v>
      </c>
      <c r="G117" s="55">
        <f t="shared" si="9"/>
        <v>1.48</v>
      </c>
      <c r="H117" s="55">
        <v>1.3084</v>
      </c>
      <c r="I117" s="54">
        <v>1</v>
      </c>
      <c r="J117" s="54">
        <v>4.7</v>
      </c>
      <c r="K117" s="54" t="s">
        <v>587</v>
      </c>
      <c r="L117" s="54" t="s">
        <v>1684</v>
      </c>
      <c r="M117" s="54" t="s">
        <v>1656</v>
      </c>
      <c r="N117" s="54" t="s">
        <v>622</v>
      </c>
      <c r="O117" s="55">
        <f t="shared" si="10"/>
        <v>2.37</v>
      </c>
      <c r="P117" s="54" t="s">
        <v>1823</v>
      </c>
      <c r="Q117" s="54" t="s">
        <v>1303</v>
      </c>
      <c r="R117" s="55">
        <f t="shared" si="11"/>
        <v>0.02</v>
      </c>
      <c r="S117" s="54" t="s">
        <v>1643</v>
      </c>
      <c r="T117" s="57" t="s">
        <v>495</v>
      </c>
    </row>
    <row r="118" spans="1:20" ht="25.5" customHeight="1" x14ac:dyDescent="0.25">
      <c r="A118" s="46" t="s">
        <v>1958</v>
      </c>
      <c r="B118" s="46" t="s">
        <v>1811</v>
      </c>
      <c r="C118" s="46" t="s">
        <v>1673</v>
      </c>
      <c r="D118" s="46" t="s">
        <v>1701</v>
      </c>
      <c r="E118" s="46" t="s">
        <v>1687</v>
      </c>
      <c r="F118" s="47">
        <v>5.3768000000000002</v>
      </c>
      <c r="G118" s="47">
        <f t="shared" si="9"/>
        <v>2.46</v>
      </c>
      <c r="H118" s="47">
        <v>2.9159000000000002</v>
      </c>
      <c r="I118" s="46">
        <v>25</v>
      </c>
      <c r="J118" s="46">
        <v>2.6</v>
      </c>
      <c r="K118" s="46" t="s">
        <v>576</v>
      </c>
      <c r="L118" s="46" t="s">
        <v>1684</v>
      </c>
      <c r="M118" s="46" t="s">
        <v>1656</v>
      </c>
      <c r="N118" s="46" t="s">
        <v>622</v>
      </c>
      <c r="O118" s="47">
        <f t="shared" si="10"/>
        <v>114.26</v>
      </c>
      <c r="P118" s="46" t="s">
        <v>1713</v>
      </c>
      <c r="Q118" s="46" t="s">
        <v>1147</v>
      </c>
      <c r="R118" s="47">
        <f t="shared" si="11"/>
        <v>1.1399999999999999</v>
      </c>
      <c r="S118" s="46" t="s">
        <v>1684</v>
      </c>
      <c r="T118" s="49" t="s">
        <v>321</v>
      </c>
    </row>
    <row r="119" spans="1:20" ht="15" customHeight="1" x14ac:dyDescent="0.25">
      <c r="A119" s="54" t="s">
        <v>1959</v>
      </c>
      <c r="B119" s="54" t="s">
        <v>1811</v>
      </c>
      <c r="C119" s="54" t="s">
        <v>1690</v>
      </c>
      <c r="D119" s="54" t="s">
        <v>1661</v>
      </c>
      <c r="E119" s="54" t="s">
        <v>1655</v>
      </c>
      <c r="F119" s="55">
        <v>4.9733999999999998</v>
      </c>
      <c r="G119" s="55">
        <f t="shared" si="9"/>
        <v>3.48</v>
      </c>
      <c r="H119" s="55">
        <v>1.4948999999999999</v>
      </c>
      <c r="I119" s="54">
        <v>6</v>
      </c>
      <c r="J119" s="54">
        <v>4.4000000000000004</v>
      </c>
      <c r="K119" s="54" t="s">
        <v>576</v>
      </c>
      <c r="L119" s="54" t="s">
        <v>576</v>
      </c>
      <c r="M119" s="54" t="s">
        <v>1681</v>
      </c>
      <c r="N119" s="54" t="s">
        <v>1640</v>
      </c>
      <c r="O119" s="55">
        <f t="shared" si="10"/>
        <v>25.36</v>
      </c>
      <c r="P119" s="54" t="s">
        <v>1657</v>
      </c>
      <c r="Q119" s="54" t="s">
        <v>1206</v>
      </c>
      <c r="R119" s="55">
        <f t="shared" si="11"/>
        <v>0.25</v>
      </c>
      <c r="S119" s="54" t="s">
        <v>1643</v>
      </c>
      <c r="T119" s="57" t="s">
        <v>495</v>
      </c>
    </row>
    <row r="120" spans="1:20" ht="15" customHeight="1" x14ac:dyDescent="0.25">
      <c r="A120" s="50" t="s">
        <v>1960</v>
      </c>
      <c r="B120" s="50" t="s">
        <v>1961</v>
      </c>
      <c r="C120" s="50" t="s">
        <v>1654</v>
      </c>
      <c r="D120" s="50" t="s">
        <v>1637</v>
      </c>
      <c r="E120" s="50" t="s">
        <v>1720</v>
      </c>
      <c r="F120" s="51">
        <v>1.1895</v>
      </c>
      <c r="G120" s="51">
        <f t="shared" si="9"/>
        <v>0.45</v>
      </c>
      <c r="H120" s="51">
        <v>0.73919999999999997</v>
      </c>
      <c r="I120" s="50">
        <v>21</v>
      </c>
      <c r="J120" s="50">
        <v>2.2000000000000002</v>
      </c>
      <c r="K120" s="50" t="s">
        <v>587</v>
      </c>
      <c r="L120" s="50" t="s">
        <v>576</v>
      </c>
      <c r="M120" s="50" t="s">
        <v>1681</v>
      </c>
      <c r="N120" s="50" t="s">
        <v>1640</v>
      </c>
      <c r="O120" s="51">
        <f t="shared" si="10"/>
        <v>21.23</v>
      </c>
      <c r="P120" s="50" t="s">
        <v>1807</v>
      </c>
      <c r="Q120" s="50" t="s">
        <v>1262</v>
      </c>
      <c r="R120" s="51">
        <f t="shared" si="11"/>
        <v>0.21</v>
      </c>
      <c r="S120" s="50" t="s">
        <v>1684</v>
      </c>
      <c r="T120" s="53" t="s">
        <v>266</v>
      </c>
    </row>
    <row r="121" spans="1:20" ht="15" customHeight="1" x14ac:dyDescent="0.25">
      <c r="A121" s="54" t="s">
        <v>1962</v>
      </c>
      <c r="B121" s="54" t="s">
        <v>1844</v>
      </c>
      <c r="C121" s="54" t="s">
        <v>674</v>
      </c>
      <c r="D121" s="54" t="s">
        <v>1686</v>
      </c>
      <c r="E121" s="54" t="s">
        <v>1738</v>
      </c>
      <c r="F121" s="55">
        <v>5.9063999999999997</v>
      </c>
      <c r="G121" s="55">
        <f t="shared" si="9"/>
        <v>2.97</v>
      </c>
      <c r="H121" s="55">
        <v>2.9348999999999998</v>
      </c>
      <c r="I121" s="54">
        <v>4</v>
      </c>
      <c r="J121" s="54">
        <v>4.5</v>
      </c>
      <c r="K121" s="54" t="s">
        <v>587</v>
      </c>
      <c r="L121" s="54" t="s">
        <v>576</v>
      </c>
      <c r="M121" s="54" t="s">
        <v>1649</v>
      </c>
      <c r="N121" s="54" t="s">
        <v>622</v>
      </c>
      <c r="O121" s="55">
        <f t="shared" si="10"/>
        <v>20.079999999999998</v>
      </c>
      <c r="P121" s="54" t="s">
        <v>1735</v>
      </c>
      <c r="Q121" s="54" t="s">
        <v>1963</v>
      </c>
      <c r="R121" s="55">
        <f t="shared" si="11"/>
        <v>0.2</v>
      </c>
      <c r="S121" s="54" t="s">
        <v>1652</v>
      </c>
      <c r="T121" s="57" t="s">
        <v>495</v>
      </c>
    </row>
    <row r="122" spans="1:20" ht="15" customHeight="1" x14ac:dyDescent="0.25">
      <c r="A122" s="54" t="s">
        <v>1964</v>
      </c>
      <c r="B122" s="54" t="s">
        <v>1965</v>
      </c>
      <c r="C122" s="54" t="s">
        <v>1747</v>
      </c>
      <c r="D122" s="54" t="s">
        <v>1674</v>
      </c>
      <c r="E122" s="54" t="s">
        <v>1648</v>
      </c>
      <c r="F122" s="55">
        <v>0.80820000000000003</v>
      </c>
      <c r="G122" s="55">
        <f t="shared" si="9"/>
        <v>0.24</v>
      </c>
      <c r="H122" s="55">
        <v>0.56859999999999999</v>
      </c>
      <c r="I122" s="54">
        <v>8</v>
      </c>
      <c r="J122" s="54">
        <v>4.5</v>
      </c>
      <c r="K122" s="54" t="s">
        <v>587</v>
      </c>
      <c r="L122" s="54" t="s">
        <v>576</v>
      </c>
      <c r="M122" s="54" t="s">
        <v>1656</v>
      </c>
      <c r="N122" s="54" t="s">
        <v>622</v>
      </c>
      <c r="O122" s="55">
        <f t="shared" si="10"/>
        <v>5.5</v>
      </c>
      <c r="P122" s="54" t="s">
        <v>1836</v>
      </c>
      <c r="Q122" s="54" t="s">
        <v>1799</v>
      </c>
      <c r="R122" s="55">
        <f t="shared" si="11"/>
        <v>0.06</v>
      </c>
      <c r="S122" s="54" t="s">
        <v>544</v>
      </c>
      <c r="T122" s="57" t="s">
        <v>495</v>
      </c>
    </row>
    <row r="123" spans="1:20" ht="25.5" customHeight="1" x14ac:dyDescent="0.25">
      <c r="A123" s="46" t="s">
        <v>1966</v>
      </c>
      <c r="B123" s="46" t="s">
        <v>1967</v>
      </c>
      <c r="C123" s="46" t="s">
        <v>1660</v>
      </c>
      <c r="D123" s="46" t="s">
        <v>1691</v>
      </c>
      <c r="E123" s="46" t="s">
        <v>1638</v>
      </c>
      <c r="F123" s="47">
        <v>5.6303999999999998</v>
      </c>
      <c r="G123" s="47">
        <f t="shared" si="9"/>
        <v>2.82</v>
      </c>
      <c r="H123" s="47">
        <v>2.8077000000000001</v>
      </c>
      <c r="I123" s="46">
        <v>21</v>
      </c>
      <c r="J123" s="46">
        <v>1.2</v>
      </c>
      <c r="K123" s="46" t="s">
        <v>587</v>
      </c>
      <c r="L123" s="46" t="s">
        <v>587</v>
      </c>
      <c r="M123" s="46" t="s">
        <v>1681</v>
      </c>
      <c r="N123" s="46" t="s">
        <v>1640</v>
      </c>
      <c r="O123" s="47">
        <f t="shared" si="10"/>
        <v>100.5</v>
      </c>
      <c r="P123" s="46" t="s">
        <v>1716</v>
      </c>
      <c r="Q123" s="46" t="s">
        <v>1968</v>
      </c>
      <c r="R123" s="47">
        <f t="shared" si="11"/>
        <v>1.01</v>
      </c>
      <c r="S123" s="46" t="s">
        <v>1684</v>
      </c>
      <c r="T123" s="49" t="s">
        <v>321</v>
      </c>
    </row>
    <row r="124" spans="1:20" ht="15" customHeight="1" x14ac:dyDescent="0.25">
      <c r="A124" s="54" t="s">
        <v>1969</v>
      </c>
      <c r="B124" s="54" t="s">
        <v>1164</v>
      </c>
      <c r="C124" s="54" t="s">
        <v>680</v>
      </c>
      <c r="D124" s="54" t="s">
        <v>1802</v>
      </c>
      <c r="E124" s="54" t="s">
        <v>1638</v>
      </c>
      <c r="F124" s="55">
        <v>5.3086000000000002</v>
      </c>
      <c r="G124" s="55">
        <f t="shared" si="9"/>
        <v>4.21</v>
      </c>
      <c r="H124" s="55">
        <v>1.0999000000000001</v>
      </c>
      <c r="I124" s="54">
        <v>9</v>
      </c>
      <c r="J124" s="54">
        <v>4.7</v>
      </c>
      <c r="K124" s="54" t="s">
        <v>587</v>
      </c>
      <c r="L124" s="54" t="s">
        <v>587</v>
      </c>
      <c r="M124" s="54" t="s">
        <v>1656</v>
      </c>
      <c r="N124" s="54" t="s">
        <v>1640</v>
      </c>
      <c r="O124" s="55">
        <f t="shared" si="10"/>
        <v>40.61</v>
      </c>
      <c r="P124" s="54" t="s">
        <v>1657</v>
      </c>
      <c r="Q124" s="54" t="s">
        <v>782</v>
      </c>
      <c r="R124" s="55">
        <f t="shared" si="11"/>
        <v>0.41</v>
      </c>
      <c r="S124" s="54" t="s">
        <v>1643</v>
      </c>
      <c r="T124" s="57" t="s">
        <v>495</v>
      </c>
    </row>
    <row r="125" spans="1:20" ht="15" customHeight="1" x14ac:dyDescent="0.25">
      <c r="A125" s="46" t="s">
        <v>1970</v>
      </c>
      <c r="B125" s="46" t="s">
        <v>1042</v>
      </c>
      <c r="C125" s="46" t="s">
        <v>1654</v>
      </c>
      <c r="D125" s="46" t="s">
        <v>1667</v>
      </c>
      <c r="E125" s="46" t="s">
        <v>1655</v>
      </c>
      <c r="F125" s="47">
        <v>5.7488000000000001</v>
      </c>
      <c r="G125" s="47">
        <f t="shared" si="9"/>
        <v>1.77</v>
      </c>
      <c r="H125" s="47">
        <v>3.9775999999999998</v>
      </c>
      <c r="I125" s="46">
        <v>7</v>
      </c>
      <c r="J125" s="46">
        <v>1.7</v>
      </c>
      <c r="K125" s="46" t="s">
        <v>587</v>
      </c>
      <c r="L125" s="46" t="s">
        <v>576</v>
      </c>
      <c r="M125" s="46" t="s">
        <v>1656</v>
      </c>
      <c r="N125" s="46" t="s">
        <v>1676</v>
      </c>
      <c r="O125" s="47">
        <f t="shared" si="10"/>
        <v>34.21</v>
      </c>
      <c r="P125" s="46" t="s">
        <v>1823</v>
      </c>
      <c r="Q125" s="46" t="s">
        <v>1971</v>
      </c>
      <c r="R125" s="47">
        <f t="shared" si="11"/>
        <v>0.34</v>
      </c>
      <c r="S125" s="46" t="s">
        <v>1643</v>
      </c>
      <c r="T125" s="49" t="s">
        <v>321</v>
      </c>
    </row>
    <row r="126" spans="1:20" ht="25.5" customHeight="1" x14ac:dyDescent="0.25">
      <c r="A126" s="54" t="s">
        <v>1972</v>
      </c>
      <c r="B126" s="54" t="s">
        <v>1411</v>
      </c>
      <c r="C126" s="54" t="s">
        <v>680</v>
      </c>
      <c r="D126" s="54" t="s">
        <v>1637</v>
      </c>
      <c r="E126" s="54" t="s">
        <v>1738</v>
      </c>
      <c r="F126" s="55">
        <v>0.69169999999999998</v>
      </c>
      <c r="G126" s="55">
        <f t="shared" si="9"/>
        <v>0.54</v>
      </c>
      <c r="H126" s="55">
        <v>0.15</v>
      </c>
      <c r="I126" s="54">
        <v>11</v>
      </c>
      <c r="J126" s="54">
        <v>4.3</v>
      </c>
      <c r="K126" s="54" t="s">
        <v>587</v>
      </c>
      <c r="L126" s="54" t="s">
        <v>1684</v>
      </c>
      <c r="M126" s="54" t="s">
        <v>1649</v>
      </c>
      <c r="N126" s="54" t="s">
        <v>1676</v>
      </c>
      <c r="O126" s="55">
        <f t="shared" si="10"/>
        <v>6.47</v>
      </c>
      <c r="P126" s="54" t="s">
        <v>1682</v>
      </c>
      <c r="Q126" s="54" t="s">
        <v>1973</v>
      </c>
      <c r="R126" s="55">
        <f t="shared" si="11"/>
        <v>0.06</v>
      </c>
      <c r="S126" s="54" t="s">
        <v>1684</v>
      </c>
      <c r="T126" s="57" t="s">
        <v>495</v>
      </c>
    </row>
    <row r="127" spans="1:20" ht="15" customHeight="1" x14ac:dyDescent="0.25">
      <c r="A127" s="50" t="s">
        <v>1974</v>
      </c>
      <c r="B127" s="50" t="s">
        <v>1975</v>
      </c>
      <c r="C127" s="50" t="s">
        <v>1646</v>
      </c>
      <c r="D127" s="50" t="s">
        <v>1719</v>
      </c>
      <c r="E127" s="50" t="s">
        <v>1648</v>
      </c>
      <c r="F127" s="51">
        <v>0.55889999999999995</v>
      </c>
      <c r="G127" s="51">
        <f t="shared" si="9"/>
        <v>0.51</v>
      </c>
      <c r="H127" s="51">
        <v>5.1700000000000003E-2</v>
      </c>
      <c r="I127" s="50">
        <v>2</v>
      </c>
      <c r="J127" s="50">
        <v>2.5</v>
      </c>
      <c r="K127" s="50" t="s">
        <v>576</v>
      </c>
      <c r="L127" s="50" t="s">
        <v>576</v>
      </c>
      <c r="M127" s="50" t="s">
        <v>1656</v>
      </c>
      <c r="N127" s="50" t="s">
        <v>1640</v>
      </c>
      <c r="O127" s="51">
        <f t="shared" si="10"/>
        <v>0.95</v>
      </c>
      <c r="P127" s="50" t="s">
        <v>1778</v>
      </c>
      <c r="Q127" s="50" t="s">
        <v>1572</v>
      </c>
      <c r="R127" s="51">
        <f t="shared" si="11"/>
        <v>0.01</v>
      </c>
      <c r="S127" s="50" t="s">
        <v>1684</v>
      </c>
      <c r="T127" s="53" t="s">
        <v>266</v>
      </c>
    </row>
    <row r="128" spans="1:20" ht="15" customHeight="1" x14ac:dyDescent="0.25">
      <c r="A128" s="50" t="s">
        <v>1976</v>
      </c>
      <c r="B128" s="50" t="s">
        <v>1785</v>
      </c>
      <c r="C128" s="50" t="s">
        <v>1690</v>
      </c>
      <c r="D128" s="50" t="s">
        <v>1686</v>
      </c>
      <c r="E128" s="50" t="s">
        <v>1687</v>
      </c>
      <c r="F128" s="51">
        <v>0.36059999999999998</v>
      </c>
      <c r="G128" s="51">
        <f t="shared" si="9"/>
        <v>0.13</v>
      </c>
      <c r="H128" s="51">
        <v>0.2326</v>
      </c>
      <c r="I128" s="50">
        <v>13</v>
      </c>
      <c r="J128" s="50">
        <v>1.4</v>
      </c>
      <c r="K128" s="50" t="s">
        <v>587</v>
      </c>
      <c r="L128" s="50" t="s">
        <v>576</v>
      </c>
      <c r="M128" s="50" t="s">
        <v>1656</v>
      </c>
      <c r="N128" s="50" t="s">
        <v>1640</v>
      </c>
      <c r="O128" s="51">
        <f t="shared" si="10"/>
        <v>3.98</v>
      </c>
      <c r="P128" s="50" t="s">
        <v>1977</v>
      </c>
      <c r="Q128" s="50" t="s">
        <v>1601</v>
      </c>
      <c r="R128" s="51">
        <f t="shared" si="11"/>
        <v>0.04</v>
      </c>
      <c r="S128" s="50" t="s">
        <v>1684</v>
      </c>
      <c r="T128" s="53" t="s">
        <v>266</v>
      </c>
    </row>
    <row r="129" spans="1:20" ht="15" customHeight="1" x14ac:dyDescent="0.25">
      <c r="A129" s="46" t="s">
        <v>1978</v>
      </c>
      <c r="B129" s="46" t="s">
        <v>1115</v>
      </c>
      <c r="C129" s="46" t="s">
        <v>1747</v>
      </c>
      <c r="D129" s="46" t="s">
        <v>1647</v>
      </c>
      <c r="E129" s="46" t="s">
        <v>1720</v>
      </c>
      <c r="F129" s="47">
        <v>3.923</v>
      </c>
      <c r="G129" s="47">
        <f t="shared" si="9"/>
        <v>1.87</v>
      </c>
      <c r="H129" s="47">
        <v>2.0518999999999998</v>
      </c>
      <c r="I129" s="46">
        <v>1</v>
      </c>
      <c r="J129" s="46">
        <v>2.8</v>
      </c>
      <c r="K129" s="46" t="s">
        <v>587</v>
      </c>
      <c r="L129" s="46" t="s">
        <v>1684</v>
      </c>
      <c r="M129" s="46" t="s">
        <v>1649</v>
      </c>
      <c r="N129" s="46" t="s">
        <v>1676</v>
      </c>
      <c r="O129" s="47">
        <f t="shared" si="10"/>
        <v>3.33</v>
      </c>
      <c r="P129" s="46" t="s">
        <v>1979</v>
      </c>
      <c r="Q129" s="46" t="s">
        <v>1354</v>
      </c>
      <c r="R129" s="47">
        <f t="shared" si="11"/>
        <v>0.03</v>
      </c>
      <c r="S129" s="46" t="s">
        <v>1643</v>
      </c>
      <c r="T129" s="49" t="s">
        <v>321</v>
      </c>
    </row>
    <row r="130" spans="1:20" ht="15" customHeight="1" x14ac:dyDescent="0.25">
      <c r="A130" s="46" t="s">
        <v>1980</v>
      </c>
      <c r="B130" s="46" t="s">
        <v>1981</v>
      </c>
      <c r="C130" s="46" t="s">
        <v>674</v>
      </c>
      <c r="D130" s="46" t="s">
        <v>1719</v>
      </c>
      <c r="E130" s="46" t="s">
        <v>1675</v>
      </c>
      <c r="F130" s="47">
        <v>3.8422999999999998</v>
      </c>
      <c r="G130" s="47">
        <f t="shared" si="9"/>
        <v>2.96</v>
      </c>
      <c r="H130" s="47">
        <v>0.88139999999999996</v>
      </c>
      <c r="I130" s="46">
        <v>14</v>
      </c>
      <c r="J130" s="46">
        <v>2.9</v>
      </c>
      <c r="K130" s="46" t="s">
        <v>587</v>
      </c>
      <c r="L130" s="46" t="s">
        <v>576</v>
      </c>
      <c r="M130" s="46" t="s">
        <v>1649</v>
      </c>
      <c r="N130" s="46" t="s">
        <v>1676</v>
      </c>
      <c r="O130" s="47">
        <f t="shared" si="10"/>
        <v>45.72</v>
      </c>
      <c r="P130" s="46" t="s">
        <v>1807</v>
      </c>
      <c r="Q130" s="46" t="s">
        <v>828</v>
      </c>
      <c r="R130" s="47">
        <f t="shared" si="11"/>
        <v>0.46</v>
      </c>
      <c r="S130" s="46" t="s">
        <v>1652</v>
      </c>
      <c r="T130" s="49" t="s">
        <v>321</v>
      </c>
    </row>
    <row r="131" spans="1:20" ht="15" customHeight="1" x14ac:dyDescent="0.25">
      <c r="A131" s="46" t="s">
        <v>1982</v>
      </c>
      <c r="B131" s="46" t="s">
        <v>1983</v>
      </c>
      <c r="C131" s="46" t="s">
        <v>1747</v>
      </c>
      <c r="D131" s="46" t="s">
        <v>1701</v>
      </c>
      <c r="E131" s="46" t="s">
        <v>1687</v>
      </c>
      <c r="F131" s="47">
        <v>5.7605000000000004</v>
      </c>
      <c r="G131" s="47">
        <f t="shared" ref="G131:G162" si="12">ROUND(F131-H131,2)</f>
        <v>2.4300000000000002</v>
      </c>
      <c r="H131" s="47">
        <v>3.3298999999999999</v>
      </c>
      <c r="I131" s="46">
        <v>10</v>
      </c>
      <c r="J131" s="46">
        <v>3.3</v>
      </c>
      <c r="K131" s="46" t="s">
        <v>587</v>
      </c>
      <c r="L131" s="46" t="s">
        <v>576</v>
      </c>
      <c r="M131" s="46" t="s">
        <v>1681</v>
      </c>
      <c r="N131" s="46" t="s">
        <v>1640</v>
      </c>
      <c r="O131" s="47">
        <f t="shared" ref="O131:O162" si="13">ROUND(F131*I131*0.85,2)</f>
        <v>48.96</v>
      </c>
      <c r="P131" s="46" t="s">
        <v>1984</v>
      </c>
      <c r="Q131" s="46" t="s">
        <v>1400</v>
      </c>
      <c r="R131" s="47">
        <f t="shared" ref="R131:R162" si="14">ROUND(O131/100,2)</f>
        <v>0.49</v>
      </c>
      <c r="S131" s="46" t="s">
        <v>544</v>
      </c>
      <c r="T131" s="49" t="s">
        <v>321</v>
      </c>
    </row>
    <row r="132" spans="1:20" ht="15" customHeight="1" x14ac:dyDescent="0.25">
      <c r="A132" s="46" t="s">
        <v>1985</v>
      </c>
      <c r="B132" s="46" t="s">
        <v>1436</v>
      </c>
      <c r="C132" s="46" t="s">
        <v>1654</v>
      </c>
      <c r="D132" s="46" t="s">
        <v>1802</v>
      </c>
      <c r="E132" s="46" t="s">
        <v>1708</v>
      </c>
      <c r="F132" s="47">
        <v>3.9632000000000001</v>
      </c>
      <c r="G132" s="47">
        <f t="shared" si="12"/>
        <v>3.36</v>
      </c>
      <c r="H132" s="47">
        <v>0.59930000000000005</v>
      </c>
      <c r="I132" s="46">
        <v>8</v>
      </c>
      <c r="J132" s="46">
        <v>3</v>
      </c>
      <c r="K132" s="46" t="s">
        <v>576</v>
      </c>
      <c r="L132" s="46" t="s">
        <v>587</v>
      </c>
      <c r="M132" s="46" t="s">
        <v>1639</v>
      </c>
      <c r="N132" s="46" t="s">
        <v>1676</v>
      </c>
      <c r="O132" s="47">
        <f t="shared" si="13"/>
        <v>26.95</v>
      </c>
      <c r="P132" s="46" t="s">
        <v>1657</v>
      </c>
      <c r="Q132" s="46" t="s">
        <v>1986</v>
      </c>
      <c r="R132" s="47">
        <f t="shared" si="14"/>
        <v>0.27</v>
      </c>
      <c r="S132" s="46" t="s">
        <v>1652</v>
      </c>
      <c r="T132" s="49" t="s">
        <v>321</v>
      </c>
    </row>
    <row r="133" spans="1:20" ht="25.5" customHeight="1" x14ac:dyDescent="0.25">
      <c r="A133" s="54" t="s">
        <v>1987</v>
      </c>
      <c r="B133" s="54" t="s">
        <v>1095</v>
      </c>
      <c r="C133" s="54" t="s">
        <v>680</v>
      </c>
      <c r="D133" s="54" t="s">
        <v>1667</v>
      </c>
      <c r="E133" s="54" t="s">
        <v>1668</v>
      </c>
      <c r="F133" s="55">
        <v>4.1840000000000002</v>
      </c>
      <c r="G133" s="55">
        <f t="shared" si="12"/>
        <v>1.1000000000000001</v>
      </c>
      <c r="H133" s="55">
        <v>3.0851000000000002</v>
      </c>
      <c r="I133" s="54">
        <v>20</v>
      </c>
      <c r="J133" s="54">
        <v>3.8</v>
      </c>
      <c r="K133" s="54" t="s">
        <v>587</v>
      </c>
      <c r="L133" s="54" t="s">
        <v>1684</v>
      </c>
      <c r="M133" s="54" t="s">
        <v>1639</v>
      </c>
      <c r="N133" s="54" t="s">
        <v>1640</v>
      </c>
      <c r="O133" s="55">
        <f t="shared" si="13"/>
        <v>71.13</v>
      </c>
      <c r="P133" s="54" t="s">
        <v>1731</v>
      </c>
      <c r="Q133" s="54" t="s">
        <v>1346</v>
      </c>
      <c r="R133" s="55">
        <f t="shared" si="14"/>
        <v>0.71</v>
      </c>
      <c r="S133" s="54" t="s">
        <v>1643</v>
      </c>
      <c r="T133" s="57" t="s">
        <v>495</v>
      </c>
    </row>
    <row r="134" spans="1:20" ht="15" customHeight="1" x14ac:dyDescent="0.25">
      <c r="A134" s="46" t="s">
        <v>1988</v>
      </c>
      <c r="B134" s="46" t="s">
        <v>898</v>
      </c>
      <c r="C134" s="46" t="s">
        <v>1654</v>
      </c>
      <c r="D134" s="46" t="s">
        <v>1691</v>
      </c>
      <c r="E134" s="46" t="s">
        <v>1738</v>
      </c>
      <c r="F134" s="47">
        <v>5.5236999999999998</v>
      </c>
      <c r="G134" s="47">
        <f t="shared" si="12"/>
        <v>2.78</v>
      </c>
      <c r="H134" s="47">
        <v>2.746</v>
      </c>
      <c r="I134" s="46">
        <v>23</v>
      </c>
      <c r="J134" s="46">
        <v>1.9</v>
      </c>
      <c r="K134" s="46" t="s">
        <v>587</v>
      </c>
      <c r="L134" s="46" t="s">
        <v>576</v>
      </c>
      <c r="M134" s="46" t="s">
        <v>1681</v>
      </c>
      <c r="N134" s="46" t="s">
        <v>622</v>
      </c>
      <c r="O134" s="47">
        <f t="shared" si="13"/>
        <v>107.99</v>
      </c>
      <c r="P134" s="46" t="s">
        <v>1682</v>
      </c>
      <c r="Q134" s="46" t="s">
        <v>1197</v>
      </c>
      <c r="R134" s="47">
        <f t="shared" si="14"/>
        <v>1.08</v>
      </c>
      <c r="S134" s="46" t="s">
        <v>544</v>
      </c>
      <c r="T134" s="49" t="s">
        <v>321</v>
      </c>
    </row>
    <row r="135" spans="1:20" ht="15" customHeight="1" x14ac:dyDescent="0.25">
      <c r="A135" s="46" t="s">
        <v>1989</v>
      </c>
      <c r="B135" s="46" t="s">
        <v>1451</v>
      </c>
      <c r="C135" s="46" t="s">
        <v>674</v>
      </c>
      <c r="D135" s="46" t="s">
        <v>1701</v>
      </c>
      <c r="E135" s="46" t="s">
        <v>1675</v>
      </c>
      <c r="F135" s="47">
        <v>4.9652000000000003</v>
      </c>
      <c r="G135" s="47">
        <f t="shared" si="12"/>
        <v>4.6900000000000004</v>
      </c>
      <c r="H135" s="47">
        <v>0.27160000000000001</v>
      </c>
      <c r="I135" s="46">
        <v>1</v>
      </c>
      <c r="J135" s="46">
        <v>1.3</v>
      </c>
      <c r="K135" s="46" t="s">
        <v>576</v>
      </c>
      <c r="L135" s="46" t="s">
        <v>1684</v>
      </c>
      <c r="M135" s="46" t="s">
        <v>1656</v>
      </c>
      <c r="N135" s="46" t="s">
        <v>1676</v>
      </c>
      <c r="O135" s="47">
        <f t="shared" si="13"/>
        <v>4.22</v>
      </c>
      <c r="P135" s="46" t="s">
        <v>1854</v>
      </c>
      <c r="Q135" s="46" t="s">
        <v>1990</v>
      </c>
      <c r="R135" s="47">
        <f t="shared" si="14"/>
        <v>0.04</v>
      </c>
      <c r="S135" s="46" t="s">
        <v>1652</v>
      </c>
      <c r="T135" s="49" t="s">
        <v>321</v>
      </c>
    </row>
    <row r="136" spans="1:20" ht="25.5" customHeight="1" x14ac:dyDescent="0.25">
      <c r="A136" s="46" t="s">
        <v>1991</v>
      </c>
      <c r="B136" s="46" t="s">
        <v>1768</v>
      </c>
      <c r="C136" s="46" t="s">
        <v>1747</v>
      </c>
      <c r="D136" s="46" t="s">
        <v>1661</v>
      </c>
      <c r="E136" s="46" t="s">
        <v>1638</v>
      </c>
      <c r="F136" s="47">
        <v>5.8531000000000004</v>
      </c>
      <c r="G136" s="47">
        <f t="shared" si="12"/>
        <v>4.74</v>
      </c>
      <c r="H136" s="47">
        <v>1.1085</v>
      </c>
      <c r="I136" s="46">
        <v>10</v>
      </c>
      <c r="J136" s="46">
        <v>1.7</v>
      </c>
      <c r="K136" s="46" t="s">
        <v>587</v>
      </c>
      <c r="L136" s="46" t="s">
        <v>1684</v>
      </c>
      <c r="M136" s="46" t="s">
        <v>1649</v>
      </c>
      <c r="N136" s="46" t="s">
        <v>1640</v>
      </c>
      <c r="O136" s="47">
        <f t="shared" si="13"/>
        <v>49.75</v>
      </c>
      <c r="P136" s="46" t="s">
        <v>1925</v>
      </c>
      <c r="Q136" s="46" t="s">
        <v>1992</v>
      </c>
      <c r="R136" s="47">
        <f t="shared" si="14"/>
        <v>0.5</v>
      </c>
      <c r="S136" s="46" t="s">
        <v>1652</v>
      </c>
      <c r="T136" s="49" t="s">
        <v>321</v>
      </c>
    </row>
    <row r="137" spans="1:20" ht="15" customHeight="1" x14ac:dyDescent="0.25">
      <c r="A137" s="54" t="s">
        <v>1993</v>
      </c>
      <c r="B137" s="54" t="s">
        <v>1994</v>
      </c>
      <c r="C137" s="54" t="s">
        <v>1654</v>
      </c>
      <c r="D137" s="54" t="s">
        <v>1674</v>
      </c>
      <c r="E137" s="54" t="s">
        <v>1696</v>
      </c>
      <c r="F137" s="55">
        <v>5.4683999999999999</v>
      </c>
      <c r="G137" s="55">
        <f t="shared" si="12"/>
        <v>5.1100000000000003</v>
      </c>
      <c r="H137" s="55">
        <v>0.3538</v>
      </c>
      <c r="I137" s="54">
        <v>22</v>
      </c>
      <c r="J137" s="54">
        <v>1.5</v>
      </c>
      <c r="K137" s="54" t="s">
        <v>576</v>
      </c>
      <c r="L137" s="54" t="s">
        <v>587</v>
      </c>
      <c r="M137" s="54" t="s">
        <v>1649</v>
      </c>
      <c r="N137" s="54" t="s">
        <v>1640</v>
      </c>
      <c r="O137" s="55">
        <f t="shared" si="13"/>
        <v>102.26</v>
      </c>
      <c r="P137" s="54" t="s">
        <v>1709</v>
      </c>
      <c r="Q137" s="54" t="s">
        <v>1818</v>
      </c>
      <c r="R137" s="55">
        <f t="shared" si="14"/>
        <v>1.02</v>
      </c>
      <c r="S137" s="54" t="s">
        <v>544</v>
      </c>
      <c r="T137" s="57" t="s">
        <v>495</v>
      </c>
    </row>
    <row r="138" spans="1:20" ht="15" customHeight="1" x14ac:dyDescent="0.25">
      <c r="A138" s="46" t="s">
        <v>1995</v>
      </c>
      <c r="B138" s="46" t="s">
        <v>931</v>
      </c>
      <c r="C138" s="46" t="s">
        <v>1673</v>
      </c>
      <c r="D138" s="46" t="s">
        <v>1802</v>
      </c>
      <c r="E138" s="46" t="s">
        <v>1708</v>
      </c>
      <c r="F138" s="47">
        <v>5.2958999999999996</v>
      </c>
      <c r="G138" s="47">
        <f t="shared" si="12"/>
        <v>1.77</v>
      </c>
      <c r="H138" s="47">
        <v>3.5211000000000001</v>
      </c>
      <c r="I138" s="46">
        <v>3</v>
      </c>
      <c r="J138" s="46">
        <v>1.5</v>
      </c>
      <c r="K138" s="46" t="s">
        <v>587</v>
      </c>
      <c r="L138" s="46" t="s">
        <v>576</v>
      </c>
      <c r="M138" s="46" t="s">
        <v>1649</v>
      </c>
      <c r="N138" s="46" t="s">
        <v>622</v>
      </c>
      <c r="O138" s="47">
        <f t="shared" si="13"/>
        <v>13.5</v>
      </c>
      <c r="P138" s="46" t="s">
        <v>1977</v>
      </c>
      <c r="Q138" s="46" t="s">
        <v>1762</v>
      </c>
      <c r="R138" s="47">
        <f t="shared" si="14"/>
        <v>0.14000000000000001</v>
      </c>
      <c r="S138" s="46" t="s">
        <v>544</v>
      </c>
      <c r="T138" s="49" t="s">
        <v>321</v>
      </c>
    </row>
    <row r="139" spans="1:20" ht="15" customHeight="1" x14ac:dyDescent="0.25">
      <c r="A139" s="46" t="s">
        <v>1996</v>
      </c>
      <c r="B139" s="46" t="s">
        <v>1413</v>
      </c>
      <c r="C139" s="46" t="s">
        <v>1747</v>
      </c>
      <c r="D139" s="46" t="s">
        <v>1701</v>
      </c>
      <c r="E139" s="46" t="s">
        <v>1738</v>
      </c>
      <c r="F139" s="47">
        <v>5.53</v>
      </c>
      <c r="G139" s="47">
        <f t="shared" si="12"/>
        <v>2.2999999999999998</v>
      </c>
      <c r="H139" s="47">
        <v>3.2303999999999999</v>
      </c>
      <c r="I139" s="46">
        <v>19</v>
      </c>
      <c r="J139" s="46">
        <v>1.8</v>
      </c>
      <c r="K139" s="46" t="s">
        <v>587</v>
      </c>
      <c r="L139" s="46" t="s">
        <v>576</v>
      </c>
      <c r="M139" s="46" t="s">
        <v>1639</v>
      </c>
      <c r="N139" s="46" t="s">
        <v>1676</v>
      </c>
      <c r="O139" s="47">
        <f t="shared" si="13"/>
        <v>89.31</v>
      </c>
      <c r="P139" s="46" t="s">
        <v>1778</v>
      </c>
      <c r="Q139" s="46" t="s">
        <v>1997</v>
      </c>
      <c r="R139" s="47">
        <f t="shared" si="14"/>
        <v>0.89</v>
      </c>
      <c r="S139" s="46" t="s">
        <v>544</v>
      </c>
      <c r="T139" s="49" t="s">
        <v>321</v>
      </c>
    </row>
    <row r="140" spans="1:20" ht="15" customHeight="1" x14ac:dyDescent="0.25">
      <c r="A140" s="54" t="s">
        <v>1998</v>
      </c>
      <c r="B140" s="54" t="s">
        <v>1158</v>
      </c>
      <c r="C140" s="54" t="s">
        <v>1660</v>
      </c>
      <c r="D140" s="54" t="s">
        <v>1719</v>
      </c>
      <c r="E140" s="54" t="s">
        <v>1668</v>
      </c>
      <c r="F140" s="55">
        <v>1.2949999999999999</v>
      </c>
      <c r="G140" s="55">
        <f t="shared" si="12"/>
        <v>1.1599999999999999</v>
      </c>
      <c r="H140" s="55">
        <v>0.13850000000000001</v>
      </c>
      <c r="I140" s="54">
        <v>16</v>
      </c>
      <c r="J140" s="54">
        <v>4.2</v>
      </c>
      <c r="K140" s="54" t="s">
        <v>576</v>
      </c>
      <c r="L140" s="54" t="s">
        <v>576</v>
      </c>
      <c r="M140" s="54" t="s">
        <v>1681</v>
      </c>
      <c r="N140" s="54" t="s">
        <v>622</v>
      </c>
      <c r="O140" s="55">
        <f t="shared" si="13"/>
        <v>17.61</v>
      </c>
      <c r="P140" s="54" t="s">
        <v>1739</v>
      </c>
      <c r="Q140" s="54" t="s">
        <v>1999</v>
      </c>
      <c r="R140" s="55">
        <f t="shared" si="14"/>
        <v>0.18</v>
      </c>
      <c r="S140" s="54" t="s">
        <v>544</v>
      </c>
      <c r="T140" s="57" t="s">
        <v>495</v>
      </c>
    </row>
    <row r="141" spans="1:20" ht="15" customHeight="1" x14ac:dyDescent="0.25">
      <c r="A141" s="46" t="s">
        <v>2000</v>
      </c>
      <c r="B141" s="46" t="s">
        <v>1358</v>
      </c>
      <c r="C141" s="46" t="s">
        <v>1660</v>
      </c>
      <c r="D141" s="46" t="s">
        <v>1691</v>
      </c>
      <c r="E141" s="46" t="s">
        <v>1675</v>
      </c>
      <c r="F141" s="47">
        <v>1.9648000000000001</v>
      </c>
      <c r="G141" s="47">
        <f t="shared" si="12"/>
        <v>1.35</v>
      </c>
      <c r="H141" s="47">
        <v>0.61250000000000004</v>
      </c>
      <c r="I141" s="46">
        <v>23</v>
      </c>
      <c r="J141" s="46">
        <v>2.9</v>
      </c>
      <c r="K141" s="46" t="s">
        <v>587</v>
      </c>
      <c r="L141" s="46" t="s">
        <v>587</v>
      </c>
      <c r="M141" s="46" t="s">
        <v>1639</v>
      </c>
      <c r="N141" s="46" t="s">
        <v>622</v>
      </c>
      <c r="O141" s="47">
        <f t="shared" si="13"/>
        <v>38.409999999999997</v>
      </c>
      <c r="P141" s="46" t="s">
        <v>1761</v>
      </c>
      <c r="Q141" s="46" t="s">
        <v>2001</v>
      </c>
      <c r="R141" s="47">
        <f t="shared" si="14"/>
        <v>0.38</v>
      </c>
      <c r="S141" s="46" t="s">
        <v>1643</v>
      </c>
      <c r="T141" s="49" t="s">
        <v>321</v>
      </c>
    </row>
    <row r="142" spans="1:20" ht="15" customHeight="1" x14ac:dyDescent="0.25">
      <c r="A142" s="46" t="s">
        <v>2002</v>
      </c>
      <c r="B142" s="46" t="s">
        <v>1527</v>
      </c>
      <c r="C142" s="46" t="s">
        <v>674</v>
      </c>
      <c r="D142" s="46" t="s">
        <v>1667</v>
      </c>
      <c r="E142" s="46" t="s">
        <v>1668</v>
      </c>
      <c r="F142" s="47">
        <v>5.1859000000000002</v>
      </c>
      <c r="G142" s="47">
        <f t="shared" si="12"/>
        <v>3.49</v>
      </c>
      <c r="H142" s="47">
        <v>1.6964999999999999</v>
      </c>
      <c r="I142" s="46">
        <v>10</v>
      </c>
      <c r="J142" s="46">
        <v>2.7</v>
      </c>
      <c r="K142" s="46" t="s">
        <v>587</v>
      </c>
      <c r="L142" s="46" t="s">
        <v>1684</v>
      </c>
      <c r="M142" s="46" t="s">
        <v>1649</v>
      </c>
      <c r="N142" s="46" t="s">
        <v>1640</v>
      </c>
      <c r="O142" s="47">
        <f t="shared" si="13"/>
        <v>44.08</v>
      </c>
      <c r="P142" s="46" t="s">
        <v>1767</v>
      </c>
      <c r="Q142" s="46" t="s">
        <v>2003</v>
      </c>
      <c r="R142" s="47">
        <f t="shared" si="14"/>
        <v>0.44</v>
      </c>
      <c r="S142" s="46" t="s">
        <v>1643</v>
      </c>
      <c r="T142" s="49" t="s">
        <v>321</v>
      </c>
    </row>
    <row r="143" spans="1:20" ht="25.5" customHeight="1" x14ac:dyDescent="0.25">
      <c r="A143" s="46" t="s">
        <v>2004</v>
      </c>
      <c r="B143" s="46" t="s">
        <v>2005</v>
      </c>
      <c r="C143" s="46" t="s">
        <v>1690</v>
      </c>
      <c r="D143" s="46" t="s">
        <v>1637</v>
      </c>
      <c r="E143" s="46" t="s">
        <v>1668</v>
      </c>
      <c r="F143" s="47">
        <v>3.137</v>
      </c>
      <c r="G143" s="47">
        <f t="shared" si="12"/>
        <v>2.4700000000000002</v>
      </c>
      <c r="H143" s="47">
        <v>0.6623</v>
      </c>
      <c r="I143" s="46">
        <v>2</v>
      </c>
      <c r="J143" s="46">
        <v>2.9</v>
      </c>
      <c r="K143" s="46" t="s">
        <v>587</v>
      </c>
      <c r="L143" s="46" t="s">
        <v>587</v>
      </c>
      <c r="M143" s="46" t="s">
        <v>1681</v>
      </c>
      <c r="N143" s="46" t="s">
        <v>1640</v>
      </c>
      <c r="O143" s="47">
        <f t="shared" si="13"/>
        <v>5.33</v>
      </c>
      <c r="P143" s="46" t="s">
        <v>1773</v>
      </c>
      <c r="Q143" s="46" t="s">
        <v>1506</v>
      </c>
      <c r="R143" s="47">
        <f t="shared" si="14"/>
        <v>0.05</v>
      </c>
      <c r="S143" s="46" t="s">
        <v>544</v>
      </c>
      <c r="T143" s="49" t="s">
        <v>321</v>
      </c>
    </row>
    <row r="144" spans="1:20" ht="25.5" customHeight="1" x14ac:dyDescent="0.25">
      <c r="A144" s="54" t="s">
        <v>2006</v>
      </c>
      <c r="B144" s="54" t="s">
        <v>1415</v>
      </c>
      <c r="C144" s="54" t="s">
        <v>680</v>
      </c>
      <c r="D144" s="54" t="s">
        <v>1637</v>
      </c>
      <c r="E144" s="54" t="s">
        <v>1655</v>
      </c>
      <c r="F144" s="55">
        <v>0.1971</v>
      </c>
      <c r="G144" s="55">
        <f t="shared" si="12"/>
        <v>0.13</v>
      </c>
      <c r="H144" s="55">
        <v>7.0800000000000002E-2</v>
      </c>
      <c r="I144" s="54">
        <v>9</v>
      </c>
      <c r="J144" s="54">
        <v>3.6</v>
      </c>
      <c r="K144" s="54" t="s">
        <v>587</v>
      </c>
      <c r="L144" s="54" t="s">
        <v>576</v>
      </c>
      <c r="M144" s="54" t="s">
        <v>1639</v>
      </c>
      <c r="N144" s="54" t="s">
        <v>622</v>
      </c>
      <c r="O144" s="55">
        <f t="shared" si="13"/>
        <v>1.51</v>
      </c>
      <c r="P144" s="54" t="s">
        <v>1721</v>
      </c>
      <c r="Q144" s="54" t="s">
        <v>2007</v>
      </c>
      <c r="R144" s="55">
        <f t="shared" si="14"/>
        <v>0.02</v>
      </c>
      <c r="S144" s="54" t="s">
        <v>1643</v>
      </c>
      <c r="T144" s="57" t="s">
        <v>495</v>
      </c>
    </row>
    <row r="145" spans="1:20" ht="15" customHeight="1" x14ac:dyDescent="0.25">
      <c r="A145" s="50" t="s">
        <v>2008</v>
      </c>
      <c r="B145" s="50" t="s">
        <v>2009</v>
      </c>
      <c r="C145" s="50" t="s">
        <v>674</v>
      </c>
      <c r="D145" s="50" t="s">
        <v>1647</v>
      </c>
      <c r="E145" s="50" t="s">
        <v>1648</v>
      </c>
      <c r="F145" s="51">
        <v>0.47449999999999998</v>
      </c>
      <c r="G145" s="51">
        <f t="shared" si="12"/>
        <v>0.44</v>
      </c>
      <c r="H145" s="51">
        <v>3.6400000000000002E-2</v>
      </c>
      <c r="I145" s="50">
        <v>7</v>
      </c>
      <c r="J145" s="50">
        <v>2.2999999999999998</v>
      </c>
      <c r="K145" s="50" t="s">
        <v>587</v>
      </c>
      <c r="L145" s="50" t="s">
        <v>587</v>
      </c>
      <c r="M145" s="50" t="s">
        <v>1639</v>
      </c>
      <c r="N145" s="50" t="s">
        <v>622</v>
      </c>
      <c r="O145" s="51">
        <f t="shared" si="13"/>
        <v>2.82</v>
      </c>
      <c r="P145" s="50" t="s">
        <v>1682</v>
      </c>
      <c r="Q145" s="50" t="s">
        <v>2010</v>
      </c>
      <c r="R145" s="51">
        <f t="shared" si="14"/>
        <v>0.03</v>
      </c>
      <c r="S145" s="50" t="s">
        <v>544</v>
      </c>
      <c r="T145" s="53" t="s">
        <v>266</v>
      </c>
    </row>
    <row r="146" spans="1:20" ht="25.5" customHeight="1" x14ac:dyDescent="0.25">
      <c r="A146" s="54" t="s">
        <v>2011</v>
      </c>
      <c r="B146" s="54" t="s">
        <v>2012</v>
      </c>
      <c r="C146" s="54" t="s">
        <v>1747</v>
      </c>
      <c r="D146" s="54" t="s">
        <v>1674</v>
      </c>
      <c r="E146" s="54" t="s">
        <v>1687</v>
      </c>
      <c r="F146" s="55">
        <v>5.4786999999999999</v>
      </c>
      <c r="G146" s="55">
        <f t="shared" si="12"/>
        <v>5.17</v>
      </c>
      <c r="H146" s="55">
        <v>0.30669999999999997</v>
      </c>
      <c r="I146" s="54">
        <v>10</v>
      </c>
      <c r="J146" s="54">
        <v>2.1</v>
      </c>
      <c r="K146" s="54" t="s">
        <v>587</v>
      </c>
      <c r="L146" s="54" t="s">
        <v>587</v>
      </c>
      <c r="M146" s="54" t="s">
        <v>1681</v>
      </c>
      <c r="N146" s="54" t="s">
        <v>622</v>
      </c>
      <c r="O146" s="55">
        <f t="shared" si="13"/>
        <v>46.57</v>
      </c>
      <c r="P146" s="54" t="s">
        <v>1739</v>
      </c>
      <c r="Q146" s="54" t="s">
        <v>2013</v>
      </c>
      <c r="R146" s="55">
        <f t="shared" si="14"/>
        <v>0.47</v>
      </c>
      <c r="S146" s="54" t="s">
        <v>1643</v>
      </c>
      <c r="T146" s="57" t="s">
        <v>495</v>
      </c>
    </row>
    <row r="147" spans="1:20" ht="15" customHeight="1" x14ac:dyDescent="0.25">
      <c r="A147" s="46" t="s">
        <v>2014</v>
      </c>
      <c r="B147" s="46" t="s">
        <v>2015</v>
      </c>
      <c r="C147" s="46" t="s">
        <v>1660</v>
      </c>
      <c r="D147" s="46" t="s">
        <v>1674</v>
      </c>
      <c r="E147" s="46" t="s">
        <v>1655</v>
      </c>
      <c r="F147" s="47">
        <v>1.4040999999999999</v>
      </c>
      <c r="G147" s="47">
        <f t="shared" si="12"/>
        <v>0.62</v>
      </c>
      <c r="H147" s="47">
        <v>0.78120000000000001</v>
      </c>
      <c r="I147" s="46">
        <v>7</v>
      </c>
      <c r="J147" s="46">
        <v>2.9</v>
      </c>
      <c r="K147" s="46" t="s">
        <v>587</v>
      </c>
      <c r="L147" s="46" t="s">
        <v>1684</v>
      </c>
      <c r="M147" s="46" t="s">
        <v>1681</v>
      </c>
      <c r="N147" s="46" t="s">
        <v>1640</v>
      </c>
      <c r="O147" s="47">
        <f t="shared" si="13"/>
        <v>8.35</v>
      </c>
      <c r="P147" s="46" t="s">
        <v>1874</v>
      </c>
      <c r="Q147" s="46" t="s">
        <v>770</v>
      </c>
      <c r="R147" s="47">
        <f t="shared" si="14"/>
        <v>0.08</v>
      </c>
      <c r="S147" s="46" t="s">
        <v>1652</v>
      </c>
      <c r="T147" s="49" t="s">
        <v>321</v>
      </c>
    </row>
    <row r="148" spans="1:20" ht="15" customHeight="1" x14ac:dyDescent="0.25">
      <c r="A148" s="46" t="s">
        <v>2016</v>
      </c>
      <c r="B148" s="46" t="s">
        <v>1907</v>
      </c>
      <c r="C148" s="46" t="s">
        <v>1636</v>
      </c>
      <c r="D148" s="46" t="s">
        <v>1667</v>
      </c>
      <c r="E148" s="46" t="s">
        <v>1668</v>
      </c>
      <c r="F148" s="47">
        <v>2.7273000000000001</v>
      </c>
      <c r="G148" s="47">
        <f t="shared" si="12"/>
        <v>1.52</v>
      </c>
      <c r="H148" s="47">
        <v>1.2024999999999999</v>
      </c>
      <c r="I148" s="46">
        <v>12</v>
      </c>
      <c r="J148" s="46">
        <v>1.6</v>
      </c>
      <c r="K148" s="46" t="s">
        <v>587</v>
      </c>
      <c r="L148" s="46" t="s">
        <v>587</v>
      </c>
      <c r="M148" s="46" t="s">
        <v>1656</v>
      </c>
      <c r="N148" s="46" t="s">
        <v>1640</v>
      </c>
      <c r="O148" s="47">
        <f t="shared" si="13"/>
        <v>27.82</v>
      </c>
      <c r="P148" s="46" t="s">
        <v>1817</v>
      </c>
      <c r="Q148" s="46" t="s">
        <v>800</v>
      </c>
      <c r="R148" s="47">
        <f t="shared" si="14"/>
        <v>0.28000000000000003</v>
      </c>
      <c r="S148" s="46" t="s">
        <v>544</v>
      </c>
      <c r="T148" s="49" t="s">
        <v>321</v>
      </c>
    </row>
    <row r="149" spans="1:20" ht="15" customHeight="1" x14ac:dyDescent="0.25">
      <c r="A149" s="54" t="s">
        <v>2017</v>
      </c>
      <c r="B149" s="54" t="s">
        <v>2018</v>
      </c>
      <c r="C149" s="54" t="s">
        <v>674</v>
      </c>
      <c r="D149" s="54" t="s">
        <v>1701</v>
      </c>
      <c r="E149" s="54" t="s">
        <v>1655</v>
      </c>
      <c r="F149" s="55">
        <v>4.1303000000000001</v>
      </c>
      <c r="G149" s="55">
        <f t="shared" si="12"/>
        <v>2.76</v>
      </c>
      <c r="H149" s="55">
        <v>1.3727</v>
      </c>
      <c r="I149" s="54">
        <v>25</v>
      </c>
      <c r="J149" s="54">
        <v>3.8</v>
      </c>
      <c r="K149" s="54" t="s">
        <v>587</v>
      </c>
      <c r="L149" s="54" t="s">
        <v>587</v>
      </c>
      <c r="M149" s="54" t="s">
        <v>1656</v>
      </c>
      <c r="N149" s="54" t="s">
        <v>622</v>
      </c>
      <c r="O149" s="55">
        <f t="shared" si="13"/>
        <v>87.77</v>
      </c>
      <c r="P149" s="54" t="s">
        <v>1807</v>
      </c>
      <c r="Q149" s="54" t="s">
        <v>776</v>
      </c>
      <c r="R149" s="55">
        <f t="shared" si="14"/>
        <v>0.88</v>
      </c>
      <c r="S149" s="54" t="s">
        <v>1652</v>
      </c>
      <c r="T149" s="57" t="s">
        <v>495</v>
      </c>
    </row>
    <row r="150" spans="1:20" ht="25.5" customHeight="1" x14ac:dyDescent="0.25">
      <c r="A150" s="54" t="s">
        <v>2019</v>
      </c>
      <c r="B150" s="54" t="s">
        <v>1062</v>
      </c>
      <c r="C150" s="54" t="s">
        <v>680</v>
      </c>
      <c r="D150" s="54" t="s">
        <v>1719</v>
      </c>
      <c r="E150" s="54" t="s">
        <v>1708</v>
      </c>
      <c r="F150" s="55">
        <v>5.4867999999999997</v>
      </c>
      <c r="G150" s="55">
        <f t="shared" si="12"/>
        <v>3.01</v>
      </c>
      <c r="H150" s="55">
        <v>2.4784999999999999</v>
      </c>
      <c r="I150" s="54">
        <v>13</v>
      </c>
      <c r="J150" s="54">
        <v>4.9000000000000004</v>
      </c>
      <c r="K150" s="54" t="s">
        <v>587</v>
      </c>
      <c r="L150" s="54" t="s">
        <v>587</v>
      </c>
      <c r="M150" s="54" t="s">
        <v>1656</v>
      </c>
      <c r="N150" s="54" t="s">
        <v>622</v>
      </c>
      <c r="O150" s="55">
        <f t="shared" si="13"/>
        <v>60.63</v>
      </c>
      <c r="P150" s="54" t="s">
        <v>1977</v>
      </c>
      <c r="Q150" s="54" t="s">
        <v>1396</v>
      </c>
      <c r="R150" s="55">
        <f t="shared" si="14"/>
        <v>0.61</v>
      </c>
      <c r="S150" s="54" t="s">
        <v>1684</v>
      </c>
      <c r="T150" s="57" t="s">
        <v>495</v>
      </c>
    </row>
    <row r="151" spans="1:20" ht="25.5" customHeight="1" x14ac:dyDescent="0.25">
      <c r="A151" s="46" t="s">
        <v>2020</v>
      </c>
      <c r="B151" s="46" t="s">
        <v>603</v>
      </c>
      <c r="C151" s="46" t="s">
        <v>680</v>
      </c>
      <c r="D151" s="46" t="s">
        <v>1719</v>
      </c>
      <c r="E151" s="46" t="s">
        <v>1668</v>
      </c>
      <c r="F151" s="47">
        <v>3.8521000000000001</v>
      </c>
      <c r="G151" s="47">
        <f t="shared" si="12"/>
        <v>2.84</v>
      </c>
      <c r="H151" s="47">
        <v>1.0141</v>
      </c>
      <c r="I151" s="46">
        <v>6</v>
      </c>
      <c r="J151" s="46">
        <v>1.4</v>
      </c>
      <c r="K151" s="46" t="s">
        <v>587</v>
      </c>
      <c r="L151" s="46" t="s">
        <v>576</v>
      </c>
      <c r="M151" s="46" t="s">
        <v>1681</v>
      </c>
      <c r="N151" s="46" t="s">
        <v>1676</v>
      </c>
      <c r="O151" s="47">
        <f t="shared" si="13"/>
        <v>19.649999999999999</v>
      </c>
      <c r="P151" s="46" t="s">
        <v>1845</v>
      </c>
      <c r="Q151" s="46" t="s">
        <v>2021</v>
      </c>
      <c r="R151" s="47">
        <f t="shared" si="14"/>
        <v>0.2</v>
      </c>
      <c r="S151" s="46" t="s">
        <v>1643</v>
      </c>
      <c r="T151" s="49" t="s">
        <v>321</v>
      </c>
    </row>
    <row r="152" spans="1:20" ht="15" customHeight="1" x14ac:dyDescent="0.25">
      <c r="A152" s="50" t="s">
        <v>2022</v>
      </c>
      <c r="B152" s="50" t="s">
        <v>2023</v>
      </c>
      <c r="C152" s="50" t="s">
        <v>1666</v>
      </c>
      <c r="D152" s="50" t="s">
        <v>1667</v>
      </c>
      <c r="E152" s="50" t="s">
        <v>1738</v>
      </c>
      <c r="F152" s="51">
        <v>1.7821</v>
      </c>
      <c r="G152" s="51">
        <f t="shared" si="12"/>
        <v>1.04</v>
      </c>
      <c r="H152" s="51">
        <v>0.74329999999999996</v>
      </c>
      <c r="I152" s="50">
        <v>15</v>
      </c>
      <c r="J152" s="50">
        <v>1.2</v>
      </c>
      <c r="K152" s="50" t="s">
        <v>576</v>
      </c>
      <c r="L152" s="50" t="s">
        <v>576</v>
      </c>
      <c r="M152" s="50" t="s">
        <v>1639</v>
      </c>
      <c r="N152" s="50" t="s">
        <v>1640</v>
      </c>
      <c r="O152" s="51">
        <f t="shared" si="13"/>
        <v>22.72</v>
      </c>
      <c r="P152" s="50" t="s">
        <v>1761</v>
      </c>
      <c r="Q152" s="50" t="s">
        <v>2024</v>
      </c>
      <c r="R152" s="51">
        <f t="shared" si="14"/>
        <v>0.23</v>
      </c>
      <c r="S152" s="50" t="s">
        <v>1643</v>
      </c>
      <c r="T152" s="53" t="s">
        <v>266</v>
      </c>
    </row>
    <row r="153" spans="1:20" ht="15" customHeight="1" x14ac:dyDescent="0.25">
      <c r="A153" s="46" t="s">
        <v>2025</v>
      </c>
      <c r="B153" s="46" t="s">
        <v>1930</v>
      </c>
      <c r="C153" s="46" t="s">
        <v>1660</v>
      </c>
      <c r="D153" s="46" t="s">
        <v>1701</v>
      </c>
      <c r="E153" s="46" t="s">
        <v>1668</v>
      </c>
      <c r="F153" s="47">
        <v>4.4717000000000002</v>
      </c>
      <c r="G153" s="47">
        <f t="shared" si="12"/>
        <v>3.03</v>
      </c>
      <c r="H153" s="47">
        <v>1.4412</v>
      </c>
      <c r="I153" s="46">
        <v>7</v>
      </c>
      <c r="J153" s="46">
        <v>1.5</v>
      </c>
      <c r="K153" s="46" t="s">
        <v>587</v>
      </c>
      <c r="L153" s="46" t="s">
        <v>587</v>
      </c>
      <c r="M153" s="46" t="s">
        <v>1681</v>
      </c>
      <c r="N153" s="46" t="s">
        <v>622</v>
      </c>
      <c r="O153" s="47">
        <f t="shared" si="13"/>
        <v>26.61</v>
      </c>
      <c r="P153" s="46" t="s">
        <v>1817</v>
      </c>
      <c r="Q153" s="46" t="s">
        <v>849</v>
      </c>
      <c r="R153" s="47">
        <f t="shared" si="14"/>
        <v>0.27</v>
      </c>
      <c r="S153" s="46" t="s">
        <v>1652</v>
      </c>
      <c r="T153" s="49" t="s">
        <v>321</v>
      </c>
    </row>
    <row r="154" spans="1:20" ht="15" customHeight="1" x14ac:dyDescent="0.25">
      <c r="A154" s="50" t="s">
        <v>2026</v>
      </c>
      <c r="B154" s="50" t="s">
        <v>1868</v>
      </c>
      <c r="C154" s="50" t="s">
        <v>1747</v>
      </c>
      <c r="D154" s="50" t="s">
        <v>1637</v>
      </c>
      <c r="E154" s="50" t="s">
        <v>1708</v>
      </c>
      <c r="F154" s="51">
        <v>1.2577</v>
      </c>
      <c r="G154" s="51">
        <f t="shared" si="12"/>
        <v>0.56000000000000005</v>
      </c>
      <c r="H154" s="51">
        <v>0.69389999999999996</v>
      </c>
      <c r="I154" s="50">
        <v>15</v>
      </c>
      <c r="J154" s="50">
        <v>2.1</v>
      </c>
      <c r="K154" s="50" t="s">
        <v>576</v>
      </c>
      <c r="L154" s="50" t="s">
        <v>576</v>
      </c>
      <c r="M154" s="50" t="s">
        <v>1681</v>
      </c>
      <c r="N154" s="50" t="s">
        <v>1676</v>
      </c>
      <c r="O154" s="51">
        <f t="shared" si="13"/>
        <v>16.04</v>
      </c>
      <c r="P154" s="50" t="s">
        <v>1761</v>
      </c>
      <c r="Q154" s="50" t="s">
        <v>2027</v>
      </c>
      <c r="R154" s="51">
        <f t="shared" si="14"/>
        <v>0.16</v>
      </c>
      <c r="S154" s="50" t="s">
        <v>1652</v>
      </c>
      <c r="T154" s="53" t="s">
        <v>266</v>
      </c>
    </row>
    <row r="155" spans="1:20" ht="15" customHeight="1" x14ac:dyDescent="0.25">
      <c r="A155" s="46" t="s">
        <v>2028</v>
      </c>
      <c r="B155" s="46" t="s">
        <v>1453</v>
      </c>
      <c r="C155" s="46" t="s">
        <v>680</v>
      </c>
      <c r="D155" s="46" t="s">
        <v>1719</v>
      </c>
      <c r="E155" s="46" t="s">
        <v>1668</v>
      </c>
      <c r="F155" s="47">
        <v>2.7881999999999998</v>
      </c>
      <c r="G155" s="47">
        <f t="shared" si="12"/>
        <v>1.52</v>
      </c>
      <c r="H155" s="47">
        <v>1.2639</v>
      </c>
      <c r="I155" s="46">
        <v>24</v>
      </c>
      <c r="J155" s="46">
        <v>1.4</v>
      </c>
      <c r="K155" s="46" t="s">
        <v>587</v>
      </c>
      <c r="L155" s="46" t="s">
        <v>587</v>
      </c>
      <c r="M155" s="46" t="s">
        <v>1639</v>
      </c>
      <c r="N155" s="46" t="s">
        <v>1640</v>
      </c>
      <c r="O155" s="47">
        <f t="shared" si="13"/>
        <v>56.88</v>
      </c>
      <c r="P155" s="46" t="s">
        <v>1641</v>
      </c>
      <c r="Q155" s="46" t="s">
        <v>2029</v>
      </c>
      <c r="R155" s="47">
        <f t="shared" si="14"/>
        <v>0.56999999999999995</v>
      </c>
      <c r="S155" s="46" t="s">
        <v>1652</v>
      </c>
      <c r="T155" s="49" t="s">
        <v>321</v>
      </c>
    </row>
    <row r="156" spans="1:20" ht="15" customHeight="1" x14ac:dyDescent="0.25">
      <c r="A156" s="54" t="s">
        <v>2030</v>
      </c>
      <c r="B156" s="54" t="s">
        <v>2031</v>
      </c>
      <c r="C156" s="54" t="s">
        <v>674</v>
      </c>
      <c r="D156" s="54" t="s">
        <v>1674</v>
      </c>
      <c r="E156" s="54" t="s">
        <v>1708</v>
      </c>
      <c r="F156" s="55">
        <v>4.4127999999999998</v>
      </c>
      <c r="G156" s="55">
        <f t="shared" si="12"/>
        <v>2.78</v>
      </c>
      <c r="H156" s="55">
        <v>1.6349</v>
      </c>
      <c r="I156" s="54">
        <v>22</v>
      </c>
      <c r="J156" s="54">
        <v>1.7</v>
      </c>
      <c r="K156" s="54" t="s">
        <v>576</v>
      </c>
      <c r="L156" s="54" t="s">
        <v>587</v>
      </c>
      <c r="M156" s="54" t="s">
        <v>1656</v>
      </c>
      <c r="N156" s="54" t="s">
        <v>1676</v>
      </c>
      <c r="O156" s="55">
        <f t="shared" si="13"/>
        <v>82.52</v>
      </c>
      <c r="P156" s="54" t="s">
        <v>1669</v>
      </c>
      <c r="Q156" s="54" t="s">
        <v>1449</v>
      </c>
      <c r="R156" s="55">
        <f t="shared" si="14"/>
        <v>0.83</v>
      </c>
      <c r="S156" s="54" t="s">
        <v>544</v>
      </c>
      <c r="T156" s="57" t="s">
        <v>495</v>
      </c>
    </row>
    <row r="157" spans="1:20" ht="15" customHeight="1" x14ac:dyDescent="0.25">
      <c r="A157" s="54" t="s">
        <v>2032</v>
      </c>
      <c r="B157" s="54" t="s">
        <v>1700</v>
      </c>
      <c r="C157" s="54" t="s">
        <v>1690</v>
      </c>
      <c r="D157" s="54" t="s">
        <v>1667</v>
      </c>
      <c r="E157" s="54" t="s">
        <v>1668</v>
      </c>
      <c r="F157" s="55">
        <v>2.4971000000000001</v>
      </c>
      <c r="G157" s="55">
        <f t="shared" si="12"/>
        <v>1.04</v>
      </c>
      <c r="H157" s="55">
        <v>1.4565999999999999</v>
      </c>
      <c r="I157" s="54">
        <v>4</v>
      </c>
      <c r="J157" s="54">
        <v>5</v>
      </c>
      <c r="K157" s="54" t="s">
        <v>576</v>
      </c>
      <c r="L157" s="54" t="s">
        <v>576</v>
      </c>
      <c r="M157" s="54" t="s">
        <v>1639</v>
      </c>
      <c r="N157" s="54" t="s">
        <v>1640</v>
      </c>
      <c r="O157" s="55">
        <f t="shared" si="13"/>
        <v>8.49</v>
      </c>
      <c r="P157" s="54" t="s">
        <v>1702</v>
      </c>
      <c r="Q157" s="54" t="s">
        <v>1894</v>
      </c>
      <c r="R157" s="55">
        <f t="shared" si="14"/>
        <v>0.08</v>
      </c>
      <c r="S157" s="54" t="s">
        <v>544</v>
      </c>
      <c r="T157" s="57" t="s">
        <v>495</v>
      </c>
    </row>
    <row r="158" spans="1:20" ht="15" customHeight="1" x14ac:dyDescent="0.25">
      <c r="A158" s="54" t="s">
        <v>2033</v>
      </c>
      <c r="B158" s="54" t="s">
        <v>1527</v>
      </c>
      <c r="C158" s="54" t="s">
        <v>1660</v>
      </c>
      <c r="D158" s="54" t="s">
        <v>1686</v>
      </c>
      <c r="E158" s="54" t="s">
        <v>1668</v>
      </c>
      <c r="F158" s="55">
        <v>0.20899999999999999</v>
      </c>
      <c r="G158" s="55">
        <f t="shared" si="12"/>
        <v>0.11</v>
      </c>
      <c r="H158" s="55">
        <v>0.10390000000000001</v>
      </c>
      <c r="I158" s="54">
        <v>22</v>
      </c>
      <c r="J158" s="54">
        <v>4</v>
      </c>
      <c r="K158" s="54" t="s">
        <v>587</v>
      </c>
      <c r="L158" s="54" t="s">
        <v>587</v>
      </c>
      <c r="M158" s="54" t="s">
        <v>1681</v>
      </c>
      <c r="N158" s="54" t="s">
        <v>1676</v>
      </c>
      <c r="O158" s="55">
        <f t="shared" si="13"/>
        <v>3.91</v>
      </c>
      <c r="P158" s="54" t="s">
        <v>1761</v>
      </c>
      <c r="Q158" s="54" t="s">
        <v>1525</v>
      </c>
      <c r="R158" s="55">
        <f t="shared" si="14"/>
        <v>0.04</v>
      </c>
      <c r="S158" s="54" t="s">
        <v>1643</v>
      </c>
      <c r="T158" s="57" t="s">
        <v>495</v>
      </c>
    </row>
    <row r="159" spans="1:20" ht="15" customHeight="1" x14ac:dyDescent="0.25">
      <c r="A159" s="54" t="s">
        <v>2034</v>
      </c>
      <c r="B159" s="54" t="s">
        <v>2035</v>
      </c>
      <c r="C159" s="54" t="s">
        <v>1690</v>
      </c>
      <c r="D159" s="54" t="s">
        <v>1674</v>
      </c>
      <c r="E159" s="54" t="s">
        <v>1720</v>
      </c>
      <c r="F159" s="55">
        <v>4.0382999999999996</v>
      </c>
      <c r="G159" s="55">
        <f t="shared" si="12"/>
        <v>2.52</v>
      </c>
      <c r="H159" s="55">
        <v>1.5142</v>
      </c>
      <c r="I159" s="54">
        <v>15</v>
      </c>
      <c r="J159" s="54">
        <v>1.3</v>
      </c>
      <c r="K159" s="54" t="s">
        <v>587</v>
      </c>
      <c r="L159" s="54" t="s">
        <v>1684</v>
      </c>
      <c r="M159" s="54" t="s">
        <v>1681</v>
      </c>
      <c r="N159" s="54" t="s">
        <v>1676</v>
      </c>
      <c r="O159" s="55">
        <f t="shared" si="13"/>
        <v>51.49</v>
      </c>
      <c r="P159" s="54" t="s">
        <v>1823</v>
      </c>
      <c r="Q159" s="54" t="s">
        <v>2036</v>
      </c>
      <c r="R159" s="55">
        <f t="shared" si="14"/>
        <v>0.51</v>
      </c>
      <c r="S159" s="54" t="s">
        <v>544</v>
      </c>
      <c r="T159" s="57" t="s">
        <v>495</v>
      </c>
    </row>
    <row r="160" spans="1:20" ht="15" customHeight="1" x14ac:dyDescent="0.25">
      <c r="A160" s="54" t="s">
        <v>2037</v>
      </c>
      <c r="B160" s="54" t="s">
        <v>895</v>
      </c>
      <c r="C160" s="54" t="s">
        <v>1673</v>
      </c>
      <c r="D160" s="54" t="s">
        <v>1686</v>
      </c>
      <c r="E160" s="54" t="s">
        <v>1708</v>
      </c>
      <c r="F160" s="55">
        <v>0.64810000000000001</v>
      </c>
      <c r="G160" s="55">
        <f t="shared" si="12"/>
        <v>0.48</v>
      </c>
      <c r="H160" s="55">
        <v>0.1658</v>
      </c>
      <c r="I160" s="54">
        <v>18</v>
      </c>
      <c r="J160" s="54">
        <v>4</v>
      </c>
      <c r="K160" s="54" t="s">
        <v>587</v>
      </c>
      <c r="L160" s="54" t="s">
        <v>576</v>
      </c>
      <c r="M160" s="54" t="s">
        <v>1656</v>
      </c>
      <c r="N160" s="54" t="s">
        <v>622</v>
      </c>
      <c r="O160" s="55">
        <f t="shared" si="13"/>
        <v>9.92</v>
      </c>
      <c r="P160" s="54" t="s">
        <v>1900</v>
      </c>
      <c r="Q160" s="54" t="s">
        <v>737</v>
      </c>
      <c r="R160" s="55">
        <f t="shared" si="14"/>
        <v>0.1</v>
      </c>
      <c r="S160" s="54" t="s">
        <v>1684</v>
      </c>
      <c r="T160" s="57" t="s">
        <v>495</v>
      </c>
    </row>
    <row r="161" spans="1:20" ht="15" customHeight="1" x14ac:dyDescent="0.25">
      <c r="A161" s="54" t="s">
        <v>2038</v>
      </c>
      <c r="B161" s="54" t="s">
        <v>2039</v>
      </c>
      <c r="C161" s="54" t="s">
        <v>1673</v>
      </c>
      <c r="D161" s="54" t="s">
        <v>1667</v>
      </c>
      <c r="E161" s="54" t="s">
        <v>1638</v>
      </c>
      <c r="F161" s="55">
        <v>5.3615000000000004</v>
      </c>
      <c r="G161" s="55">
        <f t="shared" si="12"/>
        <v>3.1</v>
      </c>
      <c r="H161" s="55">
        <v>2.2658</v>
      </c>
      <c r="I161" s="54">
        <v>15</v>
      </c>
      <c r="J161" s="54">
        <v>3.8</v>
      </c>
      <c r="K161" s="54" t="s">
        <v>576</v>
      </c>
      <c r="L161" s="54" t="s">
        <v>587</v>
      </c>
      <c r="M161" s="54" t="s">
        <v>1639</v>
      </c>
      <c r="N161" s="54" t="s">
        <v>1640</v>
      </c>
      <c r="O161" s="55">
        <f t="shared" si="13"/>
        <v>68.36</v>
      </c>
      <c r="P161" s="54" t="s">
        <v>1778</v>
      </c>
      <c r="Q161" s="54" t="s">
        <v>724</v>
      </c>
      <c r="R161" s="55">
        <f t="shared" si="14"/>
        <v>0.68</v>
      </c>
      <c r="S161" s="54" t="s">
        <v>1643</v>
      </c>
      <c r="T161" s="57" t="s">
        <v>495</v>
      </c>
    </row>
    <row r="162" spans="1:20" ht="15" customHeight="1" x14ac:dyDescent="0.25">
      <c r="A162" s="46" t="s">
        <v>2040</v>
      </c>
      <c r="B162" s="46" t="s">
        <v>1727</v>
      </c>
      <c r="C162" s="46" t="s">
        <v>1636</v>
      </c>
      <c r="D162" s="46" t="s">
        <v>1667</v>
      </c>
      <c r="E162" s="46" t="s">
        <v>1738</v>
      </c>
      <c r="F162" s="47">
        <v>2.2791000000000001</v>
      </c>
      <c r="G162" s="47">
        <f t="shared" si="12"/>
        <v>1.78</v>
      </c>
      <c r="H162" s="47">
        <v>0.4945</v>
      </c>
      <c r="I162" s="46">
        <v>3</v>
      </c>
      <c r="J162" s="46">
        <v>1.1000000000000001</v>
      </c>
      <c r="K162" s="46" t="s">
        <v>576</v>
      </c>
      <c r="L162" s="46" t="s">
        <v>576</v>
      </c>
      <c r="M162" s="46" t="s">
        <v>1639</v>
      </c>
      <c r="N162" s="46" t="s">
        <v>1676</v>
      </c>
      <c r="O162" s="47">
        <f t="shared" si="13"/>
        <v>5.81</v>
      </c>
      <c r="P162" s="46" t="s">
        <v>1836</v>
      </c>
      <c r="Q162" s="46" t="s">
        <v>2041</v>
      </c>
      <c r="R162" s="47">
        <f t="shared" si="14"/>
        <v>0.06</v>
      </c>
      <c r="S162" s="46" t="s">
        <v>1643</v>
      </c>
      <c r="T162" s="49" t="s">
        <v>321</v>
      </c>
    </row>
    <row r="163" spans="1:20" ht="15" customHeight="1" x14ac:dyDescent="0.25">
      <c r="A163" s="50" t="s">
        <v>2042</v>
      </c>
      <c r="B163" s="50" t="s">
        <v>2043</v>
      </c>
      <c r="C163" s="50" t="s">
        <v>1690</v>
      </c>
      <c r="D163" s="50" t="s">
        <v>1674</v>
      </c>
      <c r="E163" s="50" t="s">
        <v>1675</v>
      </c>
      <c r="F163" s="51">
        <v>0.31190000000000001</v>
      </c>
      <c r="G163" s="51">
        <f t="shared" ref="G163:G194" si="15">ROUND(F163-H163,2)</f>
        <v>0.18</v>
      </c>
      <c r="H163" s="51">
        <v>0.1275</v>
      </c>
      <c r="I163" s="50">
        <v>11</v>
      </c>
      <c r="J163" s="50">
        <v>2.2999999999999998</v>
      </c>
      <c r="K163" s="50" t="s">
        <v>587</v>
      </c>
      <c r="L163" s="50" t="s">
        <v>1684</v>
      </c>
      <c r="M163" s="50" t="s">
        <v>1649</v>
      </c>
      <c r="N163" s="50" t="s">
        <v>622</v>
      </c>
      <c r="O163" s="51">
        <f t="shared" ref="O163:O194" si="16">ROUND(F163*I163*0.85,2)</f>
        <v>2.92</v>
      </c>
      <c r="P163" s="50" t="s">
        <v>1761</v>
      </c>
      <c r="Q163" s="50" t="s">
        <v>2044</v>
      </c>
      <c r="R163" s="51">
        <f t="shared" ref="R163:R194" si="17">ROUND(O163/100,2)</f>
        <v>0.03</v>
      </c>
      <c r="S163" s="50" t="s">
        <v>1684</v>
      </c>
      <c r="T163" s="53" t="s">
        <v>266</v>
      </c>
    </row>
    <row r="164" spans="1:20" ht="15" customHeight="1" x14ac:dyDescent="0.25">
      <c r="A164" s="54" t="s">
        <v>2045</v>
      </c>
      <c r="B164" s="54" t="s">
        <v>1457</v>
      </c>
      <c r="C164" s="54" t="s">
        <v>674</v>
      </c>
      <c r="D164" s="54" t="s">
        <v>1667</v>
      </c>
      <c r="E164" s="54" t="s">
        <v>1648</v>
      </c>
      <c r="F164" s="55">
        <v>2.1716000000000002</v>
      </c>
      <c r="G164" s="55">
        <f t="shared" si="15"/>
        <v>1.8</v>
      </c>
      <c r="H164" s="55">
        <v>0.3725</v>
      </c>
      <c r="I164" s="54">
        <v>13</v>
      </c>
      <c r="J164" s="54">
        <v>3.6</v>
      </c>
      <c r="K164" s="54" t="s">
        <v>576</v>
      </c>
      <c r="L164" s="54" t="s">
        <v>587</v>
      </c>
      <c r="M164" s="54" t="s">
        <v>1649</v>
      </c>
      <c r="N164" s="54" t="s">
        <v>1640</v>
      </c>
      <c r="O164" s="55">
        <f t="shared" si="16"/>
        <v>24</v>
      </c>
      <c r="P164" s="54" t="s">
        <v>2046</v>
      </c>
      <c r="Q164" s="54" t="s">
        <v>1374</v>
      </c>
      <c r="R164" s="55">
        <f t="shared" si="17"/>
        <v>0.24</v>
      </c>
      <c r="S164" s="54" t="s">
        <v>544</v>
      </c>
      <c r="T164" s="57" t="s">
        <v>495</v>
      </c>
    </row>
    <row r="165" spans="1:20" ht="15" customHeight="1" x14ac:dyDescent="0.25">
      <c r="A165" s="54" t="s">
        <v>2047</v>
      </c>
      <c r="B165" s="54" t="s">
        <v>2048</v>
      </c>
      <c r="C165" s="54" t="s">
        <v>1747</v>
      </c>
      <c r="D165" s="54" t="s">
        <v>1661</v>
      </c>
      <c r="E165" s="54" t="s">
        <v>1638</v>
      </c>
      <c r="F165" s="55">
        <v>0.4506</v>
      </c>
      <c r="G165" s="55">
        <f t="shared" si="15"/>
        <v>0.36</v>
      </c>
      <c r="H165" s="55">
        <v>9.1499999999999998E-2</v>
      </c>
      <c r="I165" s="54">
        <v>10</v>
      </c>
      <c r="J165" s="54">
        <v>4.0999999999999996</v>
      </c>
      <c r="K165" s="54" t="s">
        <v>587</v>
      </c>
      <c r="L165" s="54" t="s">
        <v>576</v>
      </c>
      <c r="M165" s="54" t="s">
        <v>1649</v>
      </c>
      <c r="N165" s="54" t="s">
        <v>1640</v>
      </c>
      <c r="O165" s="55">
        <f t="shared" si="16"/>
        <v>3.83</v>
      </c>
      <c r="P165" s="54" t="s">
        <v>1979</v>
      </c>
      <c r="Q165" s="54" t="s">
        <v>1973</v>
      </c>
      <c r="R165" s="55">
        <f t="shared" si="17"/>
        <v>0.04</v>
      </c>
      <c r="S165" s="54" t="s">
        <v>544</v>
      </c>
      <c r="T165" s="57" t="s">
        <v>495</v>
      </c>
    </row>
    <row r="166" spans="1:20" ht="15" customHeight="1" x14ac:dyDescent="0.25">
      <c r="A166" s="50" t="s">
        <v>2049</v>
      </c>
      <c r="B166" s="50" t="s">
        <v>1768</v>
      </c>
      <c r="C166" s="50" t="s">
        <v>1636</v>
      </c>
      <c r="D166" s="50" t="s">
        <v>1674</v>
      </c>
      <c r="E166" s="50" t="s">
        <v>1720</v>
      </c>
      <c r="F166" s="51">
        <v>1.0931999999999999</v>
      </c>
      <c r="G166" s="51">
        <f t="shared" si="15"/>
        <v>0.46</v>
      </c>
      <c r="H166" s="51">
        <v>0.63759999999999994</v>
      </c>
      <c r="I166" s="50">
        <v>23</v>
      </c>
      <c r="J166" s="50">
        <v>2.2999999999999998</v>
      </c>
      <c r="K166" s="50" t="s">
        <v>587</v>
      </c>
      <c r="L166" s="50" t="s">
        <v>576</v>
      </c>
      <c r="M166" s="50" t="s">
        <v>1639</v>
      </c>
      <c r="N166" s="50" t="s">
        <v>1676</v>
      </c>
      <c r="O166" s="51">
        <f t="shared" si="16"/>
        <v>21.37</v>
      </c>
      <c r="P166" s="50" t="s">
        <v>1984</v>
      </c>
      <c r="Q166" s="50" t="s">
        <v>610</v>
      </c>
      <c r="R166" s="51">
        <f t="shared" si="17"/>
        <v>0.21</v>
      </c>
      <c r="S166" s="50" t="s">
        <v>1684</v>
      </c>
      <c r="T166" s="53" t="s">
        <v>266</v>
      </c>
    </row>
    <row r="167" spans="1:20" ht="15" customHeight="1" x14ac:dyDescent="0.25">
      <c r="A167" s="46" t="s">
        <v>2050</v>
      </c>
      <c r="B167" s="46" t="s">
        <v>2051</v>
      </c>
      <c r="C167" s="46" t="s">
        <v>1660</v>
      </c>
      <c r="D167" s="46" t="s">
        <v>1667</v>
      </c>
      <c r="E167" s="46" t="s">
        <v>1687</v>
      </c>
      <c r="F167" s="47">
        <v>3.5453999999999999</v>
      </c>
      <c r="G167" s="47">
        <f t="shared" si="15"/>
        <v>0.92</v>
      </c>
      <c r="H167" s="47">
        <v>2.6301999999999999</v>
      </c>
      <c r="I167" s="46">
        <v>8</v>
      </c>
      <c r="J167" s="46">
        <v>1.1000000000000001</v>
      </c>
      <c r="K167" s="46" t="s">
        <v>576</v>
      </c>
      <c r="L167" s="46" t="s">
        <v>587</v>
      </c>
      <c r="M167" s="46" t="s">
        <v>1649</v>
      </c>
      <c r="N167" s="46" t="s">
        <v>622</v>
      </c>
      <c r="O167" s="47">
        <f t="shared" si="16"/>
        <v>24.11</v>
      </c>
      <c r="P167" s="46" t="s">
        <v>1773</v>
      </c>
      <c r="Q167" s="46" t="s">
        <v>2052</v>
      </c>
      <c r="R167" s="47">
        <f t="shared" si="17"/>
        <v>0.24</v>
      </c>
      <c r="S167" s="46" t="s">
        <v>1652</v>
      </c>
      <c r="T167" s="49" t="s">
        <v>321</v>
      </c>
    </row>
    <row r="168" spans="1:20" ht="15" customHeight="1" x14ac:dyDescent="0.25">
      <c r="A168" s="46" t="s">
        <v>2053</v>
      </c>
      <c r="B168" s="46" t="s">
        <v>812</v>
      </c>
      <c r="C168" s="46" t="s">
        <v>1690</v>
      </c>
      <c r="D168" s="46" t="s">
        <v>1686</v>
      </c>
      <c r="E168" s="46" t="s">
        <v>1675</v>
      </c>
      <c r="F168" s="47">
        <v>2.2784</v>
      </c>
      <c r="G168" s="47">
        <f t="shared" si="15"/>
        <v>1.69</v>
      </c>
      <c r="H168" s="47">
        <v>0.58699999999999997</v>
      </c>
      <c r="I168" s="46">
        <v>5</v>
      </c>
      <c r="J168" s="46">
        <v>2.5</v>
      </c>
      <c r="K168" s="46" t="s">
        <v>576</v>
      </c>
      <c r="L168" s="46" t="s">
        <v>576</v>
      </c>
      <c r="M168" s="46" t="s">
        <v>1681</v>
      </c>
      <c r="N168" s="46" t="s">
        <v>622</v>
      </c>
      <c r="O168" s="47">
        <f t="shared" si="16"/>
        <v>9.68</v>
      </c>
      <c r="P168" s="46" t="s">
        <v>1731</v>
      </c>
      <c r="Q168" s="46" t="s">
        <v>1776</v>
      </c>
      <c r="R168" s="47">
        <f t="shared" si="17"/>
        <v>0.1</v>
      </c>
      <c r="S168" s="46" t="s">
        <v>544</v>
      </c>
      <c r="T168" s="49" t="s">
        <v>321</v>
      </c>
    </row>
    <row r="169" spans="1:20" ht="15" customHeight="1" x14ac:dyDescent="0.25">
      <c r="A169" s="46" t="s">
        <v>2054</v>
      </c>
      <c r="B169" s="46" t="s">
        <v>1413</v>
      </c>
      <c r="C169" s="46" t="s">
        <v>1654</v>
      </c>
      <c r="D169" s="46" t="s">
        <v>1802</v>
      </c>
      <c r="E169" s="46" t="s">
        <v>1655</v>
      </c>
      <c r="F169" s="47">
        <v>3.9058999999999999</v>
      </c>
      <c r="G169" s="47">
        <f t="shared" si="15"/>
        <v>2.92</v>
      </c>
      <c r="H169" s="47">
        <v>0.98399999999999999</v>
      </c>
      <c r="I169" s="46">
        <v>1</v>
      </c>
      <c r="J169" s="46">
        <v>1.9</v>
      </c>
      <c r="K169" s="46" t="s">
        <v>587</v>
      </c>
      <c r="L169" s="46" t="s">
        <v>587</v>
      </c>
      <c r="M169" s="46" t="s">
        <v>1649</v>
      </c>
      <c r="N169" s="46" t="s">
        <v>1676</v>
      </c>
      <c r="O169" s="47">
        <f t="shared" si="16"/>
        <v>3.32</v>
      </c>
      <c r="P169" s="46" t="s">
        <v>1950</v>
      </c>
      <c r="Q169" s="46" t="s">
        <v>1478</v>
      </c>
      <c r="R169" s="47">
        <f t="shared" si="17"/>
        <v>0.03</v>
      </c>
      <c r="S169" s="46" t="s">
        <v>1652</v>
      </c>
      <c r="T169" s="49" t="s">
        <v>321</v>
      </c>
    </row>
    <row r="170" spans="1:20" ht="15" customHeight="1" x14ac:dyDescent="0.25">
      <c r="A170" s="50" t="s">
        <v>2055</v>
      </c>
      <c r="B170" s="50" t="s">
        <v>1364</v>
      </c>
      <c r="C170" s="50" t="s">
        <v>1747</v>
      </c>
      <c r="D170" s="50" t="s">
        <v>1701</v>
      </c>
      <c r="E170" s="50" t="s">
        <v>1687</v>
      </c>
      <c r="F170" s="51">
        <v>1.9637</v>
      </c>
      <c r="G170" s="51">
        <f t="shared" si="15"/>
        <v>1.26</v>
      </c>
      <c r="H170" s="51">
        <v>0.70620000000000005</v>
      </c>
      <c r="I170" s="50">
        <v>1</v>
      </c>
      <c r="J170" s="50">
        <v>1.3</v>
      </c>
      <c r="K170" s="50" t="s">
        <v>587</v>
      </c>
      <c r="L170" s="50" t="s">
        <v>576</v>
      </c>
      <c r="M170" s="50" t="s">
        <v>1649</v>
      </c>
      <c r="N170" s="50" t="s">
        <v>1676</v>
      </c>
      <c r="O170" s="51">
        <f t="shared" si="16"/>
        <v>1.67</v>
      </c>
      <c r="P170" s="50" t="s">
        <v>1798</v>
      </c>
      <c r="Q170" s="50" t="s">
        <v>2056</v>
      </c>
      <c r="R170" s="51">
        <f t="shared" si="17"/>
        <v>0.02</v>
      </c>
      <c r="S170" s="50" t="s">
        <v>1652</v>
      </c>
      <c r="T170" s="53" t="s">
        <v>266</v>
      </c>
    </row>
    <row r="171" spans="1:20" ht="15" customHeight="1" x14ac:dyDescent="0.25">
      <c r="A171" s="46" t="s">
        <v>2057</v>
      </c>
      <c r="B171" s="46" t="s">
        <v>1335</v>
      </c>
      <c r="C171" s="46" t="s">
        <v>1673</v>
      </c>
      <c r="D171" s="46" t="s">
        <v>1647</v>
      </c>
      <c r="E171" s="46" t="s">
        <v>1675</v>
      </c>
      <c r="F171" s="47">
        <v>3.5762</v>
      </c>
      <c r="G171" s="47">
        <f t="shared" si="15"/>
        <v>1.32</v>
      </c>
      <c r="H171" s="47">
        <v>2.2595999999999998</v>
      </c>
      <c r="I171" s="46">
        <v>7</v>
      </c>
      <c r="J171" s="46">
        <v>1.9</v>
      </c>
      <c r="K171" s="46" t="s">
        <v>576</v>
      </c>
      <c r="L171" s="46" t="s">
        <v>587</v>
      </c>
      <c r="M171" s="46" t="s">
        <v>1681</v>
      </c>
      <c r="N171" s="46" t="s">
        <v>1640</v>
      </c>
      <c r="O171" s="47">
        <f t="shared" si="16"/>
        <v>21.28</v>
      </c>
      <c r="P171" s="46" t="s">
        <v>1669</v>
      </c>
      <c r="Q171" s="46" t="s">
        <v>1068</v>
      </c>
      <c r="R171" s="47">
        <f t="shared" si="17"/>
        <v>0.21</v>
      </c>
      <c r="S171" s="46" t="s">
        <v>1652</v>
      </c>
      <c r="T171" s="49" t="s">
        <v>321</v>
      </c>
    </row>
    <row r="172" spans="1:20" ht="15" customHeight="1" x14ac:dyDescent="0.25">
      <c r="A172" s="54" t="s">
        <v>2058</v>
      </c>
      <c r="B172" s="54" t="s">
        <v>994</v>
      </c>
      <c r="C172" s="54" t="s">
        <v>1636</v>
      </c>
      <c r="D172" s="54" t="s">
        <v>1674</v>
      </c>
      <c r="E172" s="54" t="s">
        <v>1708</v>
      </c>
      <c r="F172" s="55">
        <v>1.5314000000000001</v>
      </c>
      <c r="G172" s="55">
        <f t="shared" si="15"/>
        <v>1.1499999999999999</v>
      </c>
      <c r="H172" s="55">
        <v>0.38250000000000001</v>
      </c>
      <c r="I172" s="54">
        <v>15</v>
      </c>
      <c r="J172" s="54">
        <v>4.9000000000000004</v>
      </c>
      <c r="K172" s="54" t="s">
        <v>587</v>
      </c>
      <c r="L172" s="54" t="s">
        <v>587</v>
      </c>
      <c r="M172" s="54" t="s">
        <v>1681</v>
      </c>
      <c r="N172" s="54" t="s">
        <v>1676</v>
      </c>
      <c r="O172" s="55">
        <f t="shared" si="16"/>
        <v>19.53</v>
      </c>
      <c r="P172" s="54" t="s">
        <v>1780</v>
      </c>
      <c r="Q172" s="54" t="s">
        <v>2059</v>
      </c>
      <c r="R172" s="55">
        <f t="shared" si="17"/>
        <v>0.2</v>
      </c>
      <c r="S172" s="54" t="s">
        <v>1684</v>
      </c>
      <c r="T172" s="57" t="s">
        <v>495</v>
      </c>
    </row>
    <row r="173" spans="1:20" ht="15" customHeight="1" x14ac:dyDescent="0.25">
      <c r="A173" s="46" t="s">
        <v>2060</v>
      </c>
      <c r="B173" s="46" t="s">
        <v>1352</v>
      </c>
      <c r="C173" s="46" t="s">
        <v>1646</v>
      </c>
      <c r="D173" s="46" t="s">
        <v>1691</v>
      </c>
      <c r="E173" s="46" t="s">
        <v>1655</v>
      </c>
      <c r="F173" s="47">
        <v>3.0565000000000002</v>
      </c>
      <c r="G173" s="47">
        <f t="shared" si="15"/>
        <v>1.33</v>
      </c>
      <c r="H173" s="47">
        <v>1.7252000000000001</v>
      </c>
      <c r="I173" s="46">
        <v>25</v>
      </c>
      <c r="J173" s="46">
        <v>1.6</v>
      </c>
      <c r="K173" s="46" t="s">
        <v>587</v>
      </c>
      <c r="L173" s="46" t="s">
        <v>576</v>
      </c>
      <c r="M173" s="46" t="s">
        <v>1681</v>
      </c>
      <c r="N173" s="46" t="s">
        <v>1640</v>
      </c>
      <c r="O173" s="47">
        <f t="shared" si="16"/>
        <v>64.95</v>
      </c>
      <c r="P173" s="46" t="s">
        <v>1874</v>
      </c>
      <c r="Q173" s="46" t="s">
        <v>2061</v>
      </c>
      <c r="R173" s="47">
        <f t="shared" si="17"/>
        <v>0.65</v>
      </c>
      <c r="S173" s="46" t="s">
        <v>544</v>
      </c>
      <c r="T173" s="49" t="s">
        <v>321</v>
      </c>
    </row>
    <row r="174" spans="1:20" ht="15" customHeight="1" x14ac:dyDescent="0.25">
      <c r="A174" s="54" t="s">
        <v>2062</v>
      </c>
      <c r="B174" s="54" t="s">
        <v>2063</v>
      </c>
      <c r="C174" s="54" t="s">
        <v>1660</v>
      </c>
      <c r="D174" s="54" t="s">
        <v>1674</v>
      </c>
      <c r="E174" s="54" t="s">
        <v>1687</v>
      </c>
      <c r="F174" s="55">
        <v>4.3735999999999997</v>
      </c>
      <c r="G174" s="55">
        <f t="shared" si="15"/>
        <v>3.37</v>
      </c>
      <c r="H174" s="55">
        <v>1.0064</v>
      </c>
      <c r="I174" s="54">
        <v>15</v>
      </c>
      <c r="J174" s="54">
        <v>2.2000000000000002</v>
      </c>
      <c r="K174" s="54" t="s">
        <v>587</v>
      </c>
      <c r="L174" s="54" t="s">
        <v>587</v>
      </c>
      <c r="M174" s="54" t="s">
        <v>1681</v>
      </c>
      <c r="N174" s="54" t="s">
        <v>1676</v>
      </c>
      <c r="O174" s="55">
        <f t="shared" si="16"/>
        <v>55.76</v>
      </c>
      <c r="P174" s="54" t="s">
        <v>1731</v>
      </c>
      <c r="Q174" s="54" t="s">
        <v>898</v>
      </c>
      <c r="R174" s="55">
        <f t="shared" si="17"/>
        <v>0.56000000000000005</v>
      </c>
      <c r="S174" s="54" t="s">
        <v>1684</v>
      </c>
      <c r="T174" s="57" t="s">
        <v>495</v>
      </c>
    </row>
    <row r="175" spans="1:20" ht="15" customHeight="1" x14ac:dyDescent="0.25">
      <c r="A175" s="50" t="s">
        <v>2064</v>
      </c>
      <c r="B175" s="50" t="s">
        <v>1994</v>
      </c>
      <c r="C175" s="50" t="s">
        <v>1673</v>
      </c>
      <c r="D175" s="50" t="s">
        <v>1667</v>
      </c>
      <c r="E175" s="50" t="s">
        <v>1638</v>
      </c>
      <c r="F175" s="51">
        <v>0.12640000000000001</v>
      </c>
      <c r="G175" s="51">
        <f t="shared" si="15"/>
        <v>0.08</v>
      </c>
      <c r="H175" s="51">
        <v>5.0599999999999999E-2</v>
      </c>
      <c r="I175" s="50">
        <v>24</v>
      </c>
      <c r="J175" s="50">
        <v>2.5</v>
      </c>
      <c r="K175" s="50" t="s">
        <v>587</v>
      </c>
      <c r="L175" s="50" t="s">
        <v>587</v>
      </c>
      <c r="M175" s="50" t="s">
        <v>1681</v>
      </c>
      <c r="N175" s="50" t="s">
        <v>622</v>
      </c>
      <c r="O175" s="51">
        <f t="shared" si="16"/>
        <v>2.58</v>
      </c>
      <c r="P175" s="50" t="s">
        <v>1780</v>
      </c>
      <c r="Q175" s="50" t="s">
        <v>1012</v>
      </c>
      <c r="R175" s="51">
        <f t="shared" si="17"/>
        <v>0.03</v>
      </c>
      <c r="S175" s="50" t="s">
        <v>1684</v>
      </c>
      <c r="T175" s="53" t="s">
        <v>266</v>
      </c>
    </row>
    <row r="176" spans="1:20" ht="15" customHeight="1" x14ac:dyDescent="0.25">
      <c r="A176" s="46" t="s">
        <v>2065</v>
      </c>
      <c r="B176" s="46" t="s">
        <v>2066</v>
      </c>
      <c r="C176" s="46" t="s">
        <v>1747</v>
      </c>
      <c r="D176" s="46" t="s">
        <v>1647</v>
      </c>
      <c r="E176" s="46" t="s">
        <v>1655</v>
      </c>
      <c r="F176" s="47">
        <v>5.3156999999999996</v>
      </c>
      <c r="G176" s="47">
        <f t="shared" si="15"/>
        <v>1.36</v>
      </c>
      <c r="H176" s="47">
        <v>3.9588000000000001</v>
      </c>
      <c r="I176" s="46">
        <v>4</v>
      </c>
      <c r="J176" s="46">
        <v>2.5</v>
      </c>
      <c r="K176" s="46" t="s">
        <v>587</v>
      </c>
      <c r="L176" s="46" t="s">
        <v>576</v>
      </c>
      <c r="M176" s="46" t="s">
        <v>1681</v>
      </c>
      <c r="N176" s="46" t="s">
        <v>1640</v>
      </c>
      <c r="O176" s="47">
        <f t="shared" si="16"/>
        <v>18.07</v>
      </c>
      <c r="P176" s="46" t="s">
        <v>1682</v>
      </c>
      <c r="Q176" s="46" t="s">
        <v>2067</v>
      </c>
      <c r="R176" s="47">
        <f t="shared" si="17"/>
        <v>0.18</v>
      </c>
      <c r="S176" s="46" t="s">
        <v>544</v>
      </c>
      <c r="T176" s="49" t="s">
        <v>321</v>
      </c>
    </row>
    <row r="177" spans="1:20" ht="15" customHeight="1" x14ac:dyDescent="0.25">
      <c r="A177" s="46" t="s">
        <v>2068</v>
      </c>
      <c r="B177" s="46" t="s">
        <v>1992</v>
      </c>
      <c r="C177" s="46" t="s">
        <v>1646</v>
      </c>
      <c r="D177" s="46" t="s">
        <v>1661</v>
      </c>
      <c r="E177" s="46" t="s">
        <v>1638</v>
      </c>
      <c r="F177" s="47">
        <v>3.9228999999999998</v>
      </c>
      <c r="G177" s="47">
        <f t="shared" si="15"/>
        <v>1.18</v>
      </c>
      <c r="H177" s="47">
        <v>2.7404000000000002</v>
      </c>
      <c r="I177" s="46">
        <v>24</v>
      </c>
      <c r="J177" s="46">
        <v>2</v>
      </c>
      <c r="K177" s="46" t="s">
        <v>587</v>
      </c>
      <c r="L177" s="46" t="s">
        <v>576</v>
      </c>
      <c r="M177" s="46" t="s">
        <v>1639</v>
      </c>
      <c r="N177" s="46" t="s">
        <v>622</v>
      </c>
      <c r="O177" s="47">
        <f t="shared" si="16"/>
        <v>80.03</v>
      </c>
      <c r="P177" s="46" t="s">
        <v>1829</v>
      </c>
      <c r="Q177" s="46" t="s">
        <v>1838</v>
      </c>
      <c r="R177" s="47">
        <f t="shared" si="17"/>
        <v>0.8</v>
      </c>
      <c r="S177" s="46" t="s">
        <v>1643</v>
      </c>
      <c r="T177" s="49" t="s">
        <v>321</v>
      </c>
    </row>
    <row r="178" spans="1:20" ht="15" customHeight="1" x14ac:dyDescent="0.25">
      <c r="A178" s="46" t="s">
        <v>2069</v>
      </c>
      <c r="B178" s="46" t="s">
        <v>1680</v>
      </c>
      <c r="C178" s="46" t="s">
        <v>1673</v>
      </c>
      <c r="D178" s="46" t="s">
        <v>1637</v>
      </c>
      <c r="E178" s="46" t="s">
        <v>1708</v>
      </c>
      <c r="F178" s="47">
        <v>2.7601</v>
      </c>
      <c r="G178" s="47">
        <f t="shared" si="15"/>
        <v>1.31</v>
      </c>
      <c r="H178" s="47">
        <v>1.4539</v>
      </c>
      <c r="I178" s="46">
        <v>9</v>
      </c>
      <c r="J178" s="46">
        <v>2</v>
      </c>
      <c r="K178" s="46" t="s">
        <v>587</v>
      </c>
      <c r="L178" s="46" t="s">
        <v>576</v>
      </c>
      <c r="M178" s="46" t="s">
        <v>1656</v>
      </c>
      <c r="N178" s="46" t="s">
        <v>1676</v>
      </c>
      <c r="O178" s="47">
        <f t="shared" si="16"/>
        <v>21.11</v>
      </c>
      <c r="P178" s="46" t="s">
        <v>1826</v>
      </c>
      <c r="Q178" s="46" t="s">
        <v>1670</v>
      </c>
      <c r="R178" s="47">
        <f t="shared" si="17"/>
        <v>0.21</v>
      </c>
      <c r="S178" s="46" t="s">
        <v>1684</v>
      </c>
      <c r="T178" s="49" t="s">
        <v>321</v>
      </c>
    </row>
    <row r="179" spans="1:20" ht="15" customHeight="1" x14ac:dyDescent="0.25">
      <c r="A179" s="54" t="s">
        <v>2070</v>
      </c>
      <c r="B179" s="54" t="s">
        <v>2071</v>
      </c>
      <c r="C179" s="54" t="s">
        <v>1747</v>
      </c>
      <c r="D179" s="54" t="s">
        <v>1647</v>
      </c>
      <c r="E179" s="54" t="s">
        <v>1687</v>
      </c>
      <c r="F179" s="55">
        <v>5.4641999999999999</v>
      </c>
      <c r="G179" s="55">
        <f t="shared" si="15"/>
        <v>1.84</v>
      </c>
      <c r="H179" s="55">
        <v>3.6238999999999999</v>
      </c>
      <c r="I179" s="54">
        <v>6</v>
      </c>
      <c r="J179" s="54">
        <v>4.3</v>
      </c>
      <c r="K179" s="54" t="s">
        <v>587</v>
      </c>
      <c r="L179" s="54" t="s">
        <v>1684</v>
      </c>
      <c r="M179" s="54" t="s">
        <v>1639</v>
      </c>
      <c r="N179" s="54" t="s">
        <v>622</v>
      </c>
      <c r="O179" s="55">
        <f t="shared" si="16"/>
        <v>27.87</v>
      </c>
      <c r="P179" s="54" t="s">
        <v>1950</v>
      </c>
      <c r="Q179" s="54" t="s">
        <v>1859</v>
      </c>
      <c r="R179" s="55">
        <f t="shared" si="17"/>
        <v>0.28000000000000003</v>
      </c>
      <c r="S179" s="54" t="s">
        <v>1684</v>
      </c>
      <c r="T179" s="57" t="s">
        <v>495</v>
      </c>
    </row>
    <row r="180" spans="1:20" ht="15" customHeight="1" x14ac:dyDescent="0.25">
      <c r="A180" s="54" t="s">
        <v>2072</v>
      </c>
      <c r="B180" s="54" t="s">
        <v>1583</v>
      </c>
      <c r="C180" s="54" t="s">
        <v>1666</v>
      </c>
      <c r="D180" s="54" t="s">
        <v>1701</v>
      </c>
      <c r="E180" s="54" t="s">
        <v>1648</v>
      </c>
      <c r="F180" s="55">
        <v>0.70020000000000004</v>
      </c>
      <c r="G180" s="55">
        <f t="shared" si="15"/>
        <v>0.38</v>
      </c>
      <c r="H180" s="55">
        <v>0.31569999999999998</v>
      </c>
      <c r="I180" s="54">
        <v>12</v>
      </c>
      <c r="J180" s="54">
        <v>4.3</v>
      </c>
      <c r="K180" s="54" t="s">
        <v>587</v>
      </c>
      <c r="L180" s="54" t="s">
        <v>1684</v>
      </c>
      <c r="M180" s="54" t="s">
        <v>1649</v>
      </c>
      <c r="N180" s="54" t="s">
        <v>622</v>
      </c>
      <c r="O180" s="55">
        <f t="shared" si="16"/>
        <v>7.14</v>
      </c>
      <c r="P180" s="54" t="s">
        <v>1761</v>
      </c>
      <c r="Q180" s="54" t="s">
        <v>2073</v>
      </c>
      <c r="R180" s="55">
        <f t="shared" si="17"/>
        <v>7.0000000000000007E-2</v>
      </c>
      <c r="S180" s="54" t="s">
        <v>544</v>
      </c>
      <c r="T180" s="57" t="s">
        <v>495</v>
      </c>
    </row>
    <row r="181" spans="1:20" ht="15" customHeight="1" x14ac:dyDescent="0.25">
      <c r="A181" s="46" t="s">
        <v>2074</v>
      </c>
      <c r="B181" s="46" t="s">
        <v>2075</v>
      </c>
      <c r="C181" s="46" t="s">
        <v>1673</v>
      </c>
      <c r="D181" s="46" t="s">
        <v>1691</v>
      </c>
      <c r="E181" s="46" t="s">
        <v>1638</v>
      </c>
      <c r="F181" s="47">
        <v>0.62639999999999996</v>
      </c>
      <c r="G181" s="47">
        <f t="shared" si="15"/>
        <v>0.26</v>
      </c>
      <c r="H181" s="47">
        <v>0.37059999999999998</v>
      </c>
      <c r="I181" s="46">
        <v>14</v>
      </c>
      <c r="J181" s="46">
        <v>3.1</v>
      </c>
      <c r="K181" s="46" t="s">
        <v>587</v>
      </c>
      <c r="L181" s="46" t="s">
        <v>1684</v>
      </c>
      <c r="M181" s="46" t="s">
        <v>1681</v>
      </c>
      <c r="N181" s="46" t="s">
        <v>1676</v>
      </c>
      <c r="O181" s="47">
        <f t="shared" si="16"/>
        <v>7.45</v>
      </c>
      <c r="P181" s="46" t="s">
        <v>1845</v>
      </c>
      <c r="Q181" s="46" t="s">
        <v>969</v>
      </c>
      <c r="R181" s="47">
        <f t="shared" si="17"/>
        <v>7.0000000000000007E-2</v>
      </c>
      <c r="S181" s="46" t="s">
        <v>1652</v>
      </c>
      <c r="T181" s="49" t="s">
        <v>321</v>
      </c>
    </row>
    <row r="182" spans="1:20" ht="15" customHeight="1" x14ac:dyDescent="0.25">
      <c r="A182" s="54" t="s">
        <v>2076</v>
      </c>
      <c r="B182" s="54" t="s">
        <v>2005</v>
      </c>
      <c r="C182" s="54" t="s">
        <v>674</v>
      </c>
      <c r="D182" s="54" t="s">
        <v>1691</v>
      </c>
      <c r="E182" s="54" t="s">
        <v>1675</v>
      </c>
      <c r="F182" s="55">
        <v>3.0406</v>
      </c>
      <c r="G182" s="55">
        <f t="shared" si="15"/>
        <v>2.65</v>
      </c>
      <c r="H182" s="55">
        <v>0.38669999999999999</v>
      </c>
      <c r="I182" s="54">
        <v>19</v>
      </c>
      <c r="J182" s="54">
        <v>4.3</v>
      </c>
      <c r="K182" s="54" t="s">
        <v>587</v>
      </c>
      <c r="L182" s="54" t="s">
        <v>576</v>
      </c>
      <c r="M182" s="54" t="s">
        <v>1656</v>
      </c>
      <c r="N182" s="54" t="s">
        <v>622</v>
      </c>
      <c r="O182" s="55">
        <f t="shared" si="16"/>
        <v>49.11</v>
      </c>
      <c r="P182" s="54" t="s">
        <v>1845</v>
      </c>
      <c r="Q182" s="54" t="s">
        <v>2077</v>
      </c>
      <c r="R182" s="55">
        <f t="shared" si="17"/>
        <v>0.49</v>
      </c>
      <c r="S182" s="54" t="s">
        <v>1652</v>
      </c>
      <c r="T182" s="57" t="s">
        <v>495</v>
      </c>
    </row>
    <row r="183" spans="1:20" ht="15" customHeight="1" x14ac:dyDescent="0.25">
      <c r="A183" s="50" t="s">
        <v>2078</v>
      </c>
      <c r="B183" s="50" t="s">
        <v>1723</v>
      </c>
      <c r="C183" s="50" t="s">
        <v>1636</v>
      </c>
      <c r="D183" s="50" t="s">
        <v>1691</v>
      </c>
      <c r="E183" s="50" t="s">
        <v>1708</v>
      </c>
      <c r="F183" s="51">
        <v>0.69969999999999999</v>
      </c>
      <c r="G183" s="51">
        <f t="shared" si="15"/>
        <v>0.35</v>
      </c>
      <c r="H183" s="51">
        <v>0.34670000000000001</v>
      </c>
      <c r="I183" s="50">
        <v>3</v>
      </c>
      <c r="J183" s="50">
        <v>2.2000000000000002</v>
      </c>
      <c r="K183" s="50" t="s">
        <v>587</v>
      </c>
      <c r="L183" s="50" t="s">
        <v>576</v>
      </c>
      <c r="M183" s="50" t="s">
        <v>1639</v>
      </c>
      <c r="N183" s="50" t="s">
        <v>1676</v>
      </c>
      <c r="O183" s="51">
        <f t="shared" si="16"/>
        <v>1.78</v>
      </c>
      <c r="P183" s="50" t="s">
        <v>1731</v>
      </c>
      <c r="Q183" s="50" t="s">
        <v>1509</v>
      </c>
      <c r="R183" s="51">
        <f t="shared" si="17"/>
        <v>0.02</v>
      </c>
      <c r="S183" s="50" t="s">
        <v>1652</v>
      </c>
      <c r="T183" s="53" t="s">
        <v>266</v>
      </c>
    </row>
    <row r="184" spans="1:20" ht="15" customHeight="1" x14ac:dyDescent="0.25">
      <c r="A184" s="54" t="s">
        <v>2079</v>
      </c>
      <c r="B184" s="54" t="s">
        <v>1534</v>
      </c>
      <c r="C184" s="54" t="s">
        <v>1646</v>
      </c>
      <c r="D184" s="54" t="s">
        <v>1647</v>
      </c>
      <c r="E184" s="54" t="s">
        <v>1638</v>
      </c>
      <c r="F184" s="55">
        <v>0.4133</v>
      </c>
      <c r="G184" s="55">
        <f t="shared" si="15"/>
        <v>0.18</v>
      </c>
      <c r="H184" s="55">
        <v>0.2382</v>
      </c>
      <c r="I184" s="54">
        <v>1</v>
      </c>
      <c r="J184" s="54">
        <v>3.7</v>
      </c>
      <c r="K184" s="54" t="s">
        <v>576</v>
      </c>
      <c r="L184" s="54" t="s">
        <v>576</v>
      </c>
      <c r="M184" s="54" t="s">
        <v>1649</v>
      </c>
      <c r="N184" s="54" t="s">
        <v>622</v>
      </c>
      <c r="O184" s="55">
        <f t="shared" si="16"/>
        <v>0.35</v>
      </c>
      <c r="P184" s="54" t="s">
        <v>1748</v>
      </c>
      <c r="Q184" s="54" t="s">
        <v>2080</v>
      </c>
      <c r="R184" s="55">
        <f t="shared" si="17"/>
        <v>0</v>
      </c>
      <c r="S184" s="54" t="s">
        <v>544</v>
      </c>
      <c r="T184" s="57" t="s">
        <v>495</v>
      </c>
    </row>
    <row r="185" spans="1:20" ht="15" customHeight="1" x14ac:dyDescent="0.25">
      <c r="A185" s="54" t="s">
        <v>2081</v>
      </c>
      <c r="B185" s="54" t="s">
        <v>2021</v>
      </c>
      <c r="C185" s="54" t="s">
        <v>1646</v>
      </c>
      <c r="D185" s="54" t="s">
        <v>1661</v>
      </c>
      <c r="E185" s="54" t="s">
        <v>1708</v>
      </c>
      <c r="F185" s="55">
        <v>2.6052</v>
      </c>
      <c r="G185" s="55">
        <f t="shared" si="15"/>
        <v>1.8</v>
      </c>
      <c r="H185" s="55">
        <v>0.80640000000000001</v>
      </c>
      <c r="I185" s="54">
        <v>11</v>
      </c>
      <c r="J185" s="54">
        <v>5</v>
      </c>
      <c r="K185" s="54" t="s">
        <v>587</v>
      </c>
      <c r="L185" s="54" t="s">
        <v>587</v>
      </c>
      <c r="M185" s="54" t="s">
        <v>1681</v>
      </c>
      <c r="N185" s="54" t="s">
        <v>1640</v>
      </c>
      <c r="O185" s="55">
        <f t="shared" si="16"/>
        <v>24.36</v>
      </c>
      <c r="P185" s="54" t="s">
        <v>1641</v>
      </c>
      <c r="Q185" s="54" t="s">
        <v>2031</v>
      </c>
      <c r="R185" s="55">
        <f t="shared" si="17"/>
        <v>0.24</v>
      </c>
      <c r="S185" s="54" t="s">
        <v>544</v>
      </c>
      <c r="T185" s="57" t="s">
        <v>495</v>
      </c>
    </row>
    <row r="186" spans="1:20" ht="15" customHeight="1" x14ac:dyDescent="0.25">
      <c r="A186" s="54" t="s">
        <v>2082</v>
      </c>
      <c r="B186" s="54" t="s">
        <v>2083</v>
      </c>
      <c r="C186" s="54" t="s">
        <v>1690</v>
      </c>
      <c r="D186" s="54" t="s">
        <v>1686</v>
      </c>
      <c r="E186" s="54" t="s">
        <v>1668</v>
      </c>
      <c r="F186" s="55">
        <v>5.2297000000000002</v>
      </c>
      <c r="G186" s="55">
        <f t="shared" si="15"/>
        <v>3.5</v>
      </c>
      <c r="H186" s="55">
        <v>1.7323999999999999</v>
      </c>
      <c r="I186" s="54">
        <v>5</v>
      </c>
      <c r="J186" s="54">
        <v>1.1000000000000001</v>
      </c>
      <c r="K186" s="54" t="s">
        <v>576</v>
      </c>
      <c r="L186" s="54" t="s">
        <v>1684</v>
      </c>
      <c r="M186" s="54" t="s">
        <v>1639</v>
      </c>
      <c r="N186" s="54" t="s">
        <v>622</v>
      </c>
      <c r="O186" s="55">
        <f t="shared" si="16"/>
        <v>22.23</v>
      </c>
      <c r="P186" s="54" t="s">
        <v>1739</v>
      </c>
      <c r="Q186" s="54" t="s">
        <v>1736</v>
      </c>
      <c r="R186" s="55">
        <f t="shared" si="17"/>
        <v>0.22</v>
      </c>
      <c r="S186" s="54" t="s">
        <v>1652</v>
      </c>
      <c r="T186" s="57" t="s">
        <v>495</v>
      </c>
    </row>
    <row r="187" spans="1:20" ht="15" customHeight="1" x14ac:dyDescent="0.25">
      <c r="A187" s="54" t="s">
        <v>2084</v>
      </c>
      <c r="B187" s="54" t="s">
        <v>1436</v>
      </c>
      <c r="C187" s="54" t="s">
        <v>1646</v>
      </c>
      <c r="D187" s="54" t="s">
        <v>1719</v>
      </c>
      <c r="E187" s="54" t="s">
        <v>1668</v>
      </c>
      <c r="F187" s="55">
        <v>3.1137000000000001</v>
      </c>
      <c r="G187" s="55">
        <f t="shared" si="15"/>
        <v>1.52</v>
      </c>
      <c r="H187" s="55">
        <v>1.5947</v>
      </c>
      <c r="I187" s="54">
        <v>1</v>
      </c>
      <c r="J187" s="54">
        <v>4.9000000000000004</v>
      </c>
      <c r="K187" s="54" t="s">
        <v>587</v>
      </c>
      <c r="L187" s="54" t="s">
        <v>576</v>
      </c>
      <c r="M187" s="54" t="s">
        <v>1639</v>
      </c>
      <c r="N187" s="54" t="s">
        <v>1676</v>
      </c>
      <c r="O187" s="55">
        <f t="shared" si="16"/>
        <v>2.65</v>
      </c>
      <c r="P187" s="54" t="s">
        <v>1735</v>
      </c>
      <c r="Q187" s="54" t="s">
        <v>934</v>
      </c>
      <c r="R187" s="55">
        <f t="shared" si="17"/>
        <v>0.03</v>
      </c>
      <c r="S187" s="54" t="s">
        <v>1684</v>
      </c>
      <c r="T187" s="57" t="s">
        <v>495</v>
      </c>
    </row>
    <row r="188" spans="1:20" ht="15" customHeight="1" x14ac:dyDescent="0.25">
      <c r="A188" s="46" t="s">
        <v>2085</v>
      </c>
      <c r="B188" s="46" t="s">
        <v>1521</v>
      </c>
      <c r="C188" s="46" t="s">
        <v>1747</v>
      </c>
      <c r="D188" s="46" t="s">
        <v>1691</v>
      </c>
      <c r="E188" s="46" t="s">
        <v>1655</v>
      </c>
      <c r="F188" s="47">
        <v>4.4482999999999997</v>
      </c>
      <c r="G188" s="47">
        <f t="shared" si="15"/>
        <v>1.75</v>
      </c>
      <c r="H188" s="47">
        <v>2.6947000000000001</v>
      </c>
      <c r="I188" s="46">
        <v>12</v>
      </c>
      <c r="J188" s="46">
        <v>2.7</v>
      </c>
      <c r="K188" s="46" t="s">
        <v>587</v>
      </c>
      <c r="L188" s="46" t="s">
        <v>1684</v>
      </c>
      <c r="M188" s="46" t="s">
        <v>1656</v>
      </c>
      <c r="N188" s="46" t="s">
        <v>622</v>
      </c>
      <c r="O188" s="47">
        <f t="shared" si="16"/>
        <v>45.37</v>
      </c>
      <c r="P188" s="46" t="s">
        <v>1977</v>
      </c>
      <c r="Q188" s="46" t="s">
        <v>2086</v>
      </c>
      <c r="R188" s="47">
        <f t="shared" si="17"/>
        <v>0.45</v>
      </c>
      <c r="S188" s="46" t="s">
        <v>1652</v>
      </c>
      <c r="T188" s="49" t="s">
        <v>321</v>
      </c>
    </row>
    <row r="189" spans="1:20" ht="15" customHeight="1" x14ac:dyDescent="0.25">
      <c r="A189" s="50" t="s">
        <v>2087</v>
      </c>
      <c r="B189" s="50" t="s">
        <v>1350</v>
      </c>
      <c r="C189" s="50" t="s">
        <v>1660</v>
      </c>
      <c r="D189" s="50" t="s">
        <v>1719</v>
      </c>
      <c r="E189" s="50" t="s">
        <v>1687</v>
      </c>
      <c r="F189" s="51">
        <v>0.2389</v>
      </c>
      <c r="G189" s="51">
        <f t="shared" si="15"/>
        <v>0.14000000000000001</v>
      </c>
      <c r="H189" s="51">
        <v>9.5200000000000007E-2</v>
      </c>
      <c r="I189" s="50">
        <v>3</v>
      </c>
      <c r="J189" s="50">
        <v>2.2000000000000002</v>
      </c>
      <c r="K189" s="50" t="s">
        <v>587</v>
      </c>
      <c r="L189" s="50" t="s">
        <v>576</v>
      </c>
      <c r="M189" s="50" t="s">
        <v>1681</v>
      </c>
      <c r="N189" s="50" t="s">
        <v>1676</v>
      </c>
      <c r="O189" s="51">
        <f t="shared" si="16"/>
        <v>0.61</v>
      </c>
      <c r="P189" s="50" t="s">
        <v>1823</v>
      </c>
      <c r="Q189" s="50" t="s">
        <v>1053</v>
      </c>
      <c r="R189" s="51">
        <f t="shared" si="17"/>
        <v>0.01</v>
      </c>
      <c r="S189" s="50" t="s">
        <v>1652</v>
      </c>
      <c r="T189" s="53" t="s">
        <v>266</v>
      </c>
    </row>
    <row r="190" spans="1:20" ht="15" customHeight="1" x14ac:dyDescent="0.25">
      <c r="A190" s="50" t="s">
        <v>2088</v>
      </c>
      <c r="B190" s="50" t="s">
        <v>2089</v>
      </c>
      <c r="C190" s="50" t="s">
        <v>674</v>
      </c>
      <c r="D190" s="50" t="s">
        <v>1674</v>
      </c>
      <c r="E190" s="50" t="s">
        <v>1648</v>
      </c>
      <c r="F190" s="51">
        <v>0.67749999999999999</v>
      </c>
      <c r="G190" s="51">
        <f t="shared" si="15"/>
        <v>0.17</v>
      </c>
      <c r="H190" s="51">
        <v>0.505</v>
      </c>
      <c r="I190" s="50">
        <v>1</v>
      </c>
      <c r="J190" s="50">
        <v>1.6</v>
      </c>
      <c r="K190" s="50" t="s">
        <v>587</v>
      </c>
      <c r="L190" s="50" t="s">
        <v>587</v>
      </c>
      <c r="M190" s="50" t="s">
        <v>1639</v>
      </c>
      <c r="N190" s="50" t="s">
        <v>1676</v>
      </c>
      <c r="O190" s="51">
        <f t="shared" si="16"/>
        <v>0.57999999999999996</v>
      </c>
      <c r="P190" s="50" t="s">
        <v>1688</v>
      </c>
      <c r="Q190" s="50" t="s">
        <v>1902</v>
      </c>
      <c r="R190" s="51">
        <f t="shared" si="17"/>
        <v>0.01</v>
      </c>
      <c r="S190" s="50" t="s">
        <v>1684</v>
      </c>
      <c r="T190" s="53" t="s">
        <v>266</v>
      </c>
    </row>
    <row r="191" spans="1:20" ht="15" customHeight="1" x14ac:dyDescent="0.25">
      <c r="A191" s="54" t="s">
        <v>2090</v>
      </c>
      <c r="B191" s="54" t="s">
        <v>2091</v>
      </c>
      <c r="C191" s="54" t="s">
        <v>1690</v>
      </c>
      <c r="D191" s="54" t="s">
        <v>1674</v>
      </c>
      <c r="E191" s="54" t="s">
        <v>1687</v>
      </c>
      <c r="F191" s="55">
        <v>3.8195999999999999</v>
      </c>
      <c r="G191" s="55">
        <f t="shared" si="15"/>
        <v>2.31</v>
      </c>
      <c r="H191" s="55">
        <v>1.5063</v>
      </c>
      <c r="I191" s="54">
        <v>23</v>
      </c>
      <c r="J191" s="54">
        <v>2.2999999999999998</v>
      </c>
      <c r="K191" s="54" t="s">
        <v>587</v>
      </c>
      <c r="L191" s="54" t="s">
        <v>1684</v>
      </c>
      <c r="M191" s="54" t="s">
        <v>1656</v>
      </c>
      <c r="N191" s="54" t="s">
        <v>622</v>
      </c>
      <c r="O191" s="55">
        <f t="shared" si="16"/>
        <v>74.67</v>
      </c>
      <c r="P191" s="54" t="s">
        <v>1731</v>
      </c>
      <c r="Q191" s="54" t="s">
        <v>1249</v>
      </c>
      <c r="R191" s="55">
        <f t="shared" si="17"/>
        <v>0.75</v>
      </c>
      <c r="S191" s="54" t="s">
        <v>1684</v>
      </c>
      <c r="T191" s="57" t="s">
        <v>495</v>
      </c>
    </row>
    <row r="192" spans="1:20" ht="15" customHeight="1" x14ac:dyDescent="0.25">
      <c r="A192" s="50" t="s">
        <v>2092</v>
      </c>
      <c r="B192" s="50" t="s">
        <v>2093</v>
      </c>
      <c r="C192" s="50" t="s">
        <v>1660</v>
      </c>
      <c r="D192" s="50" t="s">
        <v>1701</v>
      </c>
      <c r="E192" s="50" t="s">
        <v>1738</v>
      </c>
      <c r="F192" s="51">
        <v>1.3801000000000001</v>
      </c>
      <c r="G192" s="51">
        <f t="shared" si="15"/>
        <v>1.2</v>
      </c>
      <c r="H192" s="51">
        <v>0.18079999999999999</v>
      </c>
      <c r="I192" s="50">
        <v>3</v>
      </c>
      <c r="J192" s="50">
        <v>1.4</v>
      </c>
      <c r="K192" s="50" t="s">
        <v>587</v>
      </c>
      <c r="L192" s="50" t="s">
        <v>1684</v>
      </c>
      <c r="M192" s="50" t="s">
        <v>1649</v>
      </c>
      <c r="N192" s="50" t="s">
        <v>622</v>
      </c>
      <c r="O192" s="51">
        <f t="shared" si="16"/>
        <v>3.52</v>
      </c>
      <c r="P192" s="50" t="s">
        <v>1716</v>
      </c>
      <c r="Q192" s="50" t="s">
        <v>907</v>
      </c>
      <c r="R192" s="51">
        <f t="shared" si="17"/>
        <v>0.04</v>
      </c>
      <c r="S192" s="50" t="s">
        <v>544</v>
      </c>
      <c r="T192" s="53" t="s">
        <v>266</v>
      </c>
    </row>
    <row r="193" spans="1:20" ht="15" customHeight="1" x14ac:dyDescent="0.25">
      <c r="A193" s="46" t="s">
        <v>2094</v>
      </c>
      <c r="B193" s="46" t="s">
        <v>2095</v>
      </c>
      <c r="C193" s="46" t="s">
        <v>680</v>
      </c>
      <c r="D193" s="46" t="s">
        <v>1701</v>
      </c>
      <c r="E193" s="46" t="s">
        <v>1708</v>
      </c>
      <c r="F193" s="47">
        <v>4.4347000000000003</v>
      </c>
      <c r="G193" s="47">
        <f t="shared" si="15"/>
        <v>3.25</v>
      </c>
      <c r="H193" s="47">
        <v>1.1865000000000001</v>
      </c>
      <c r="I193" s="46">
        <v>19</v>
      </c>
      <c r="J193" s="46">
        <v>3.1</v>
      </c>
      <c r="K193" s="46" t="s">
        <v>587</v>
      </c>
      <c r="L193" s="46" t="s">
        <v>587</v>
      </c>
      <c r="M193" s="46" t="s">
        <v>1639</v>
      </c>
      <c r="N193" s="46" t="s">
        <v>1640</v>
      </c>
      <c r="O193" s="47">
        <f t="shared" si="16"/>
        <v>71.62</v>
      </c>
      <c r="P193" s="46" t="s">
        <v>1836</v>
      </c>
      <c r="Q193" s="46" t="s">
        <v>2096</v>
      </c>
      <c r="R193" s="47">
        <f t="shared" si="17"/>
        <v>0.72</v>
      </c>
      <c r="S193" s="46" t="s">
        <v>1652</v>
      </c>
      <c r="T193" s="49" t="s">
        <v>321</v>
      </c>
    </row>
    <row r="194" spans="1:20" ht="15" customHeight="1" x14ac:dyDescent="0.25">
      <c r="A194" s="50" t="s">
        <v>2097</v>
      </c>
      <c r="B194" s="50" t="s">
        <v>712</v>
      </c>
      <c r="C194" s="50" t="s">
        <v>1747</v>
      </c>
      <c r="D194" s="50" t="s">
        <v>1719</v>
      </c>
      <c r="E194" s="50" t="s">
        <v>1738</v>
      </c>
      <c r="F194" s="51">
        <v>0.68420000000000003</v>
      </c>
      <c r="G194" s="51">
        <f t="shared" si="15"/>
        <v>0.65</v>
      </c>
      <c r="H194" s="51">
        <v>3.8600000000000002E-2</v>
      </c>
      <c r="I194" s="50">
        <v>15</v>
      </c>
      <c r="J194" s="50">
        <v>2.2999999999999998</v>
      </c>
      <c r="K194" s="50" t="s">
        <v>587</v>
      </c>
      <c r="L194" s="50" t="s">
        <v>576</v>
      </c>
      <c r="M194" s="50" t="s">
        <v>1681</v>
      </c>
      <c r="N194" s="50" t="s">
        <v>622</v>
      </c>
      <c r="O194" s="51">
        <f t="shared" si="16"/>
        <v>8.7200000000000006</v>
      </c>
      <c r="P194" s="50" t="s">
        <v>1709</v>
      </c>
      <c r="Q194" s="50" t="s">
        <v>2098</v>
      </c>
      <c r="R194" s="51">
        <f t="shared" si="17"/>
        <v>0.09</v>
      </c>
      <c r="S194" s="50" t="s">
        <v>544</v>
      </c>
      <c r="T194" s="53" t="s">
        <v>266</v>
      </c>
    </row>
    <row r="195" spans="1:20" ht="15" customHeight="1" x14ac:dyDescent="0.25">
      <c r="A195" s="50" t="s">
        <v>2099</v>
      </c>
      <c r="B195" s="50" t="s">
        <v>2100</v>
      </c>
      <c r="C195" s="50" t="s">
        <v>1654</v>
      </c>
      <c r="D195" s="50" t="s">
        <v>1719</v>
      </c>
      <c r="E195" s="50" t="s">
        <v>1720</v>
      </c>
      <c r="F195" s="51">
        <v>1.8878999999999999</v>
      </c>
      <c r="G195" s="51">
        <f t="shared" ref="G195:G226" si="18">ROUND(F195-H195,2)</f>
        <v>0.48</v>
      </c>
      <c r="H195" s="51">
        <v>1.4032</v>
      </c>
      <c r="I195" s="50">
        <v>4</v>
      </c>
      <c r="J195" s="50">
        <v>2.1</v>
      </c>
      <c r="K195" s="50" t="s">
        <v>587</v>
      </c>
      <c r="L195" s="50" t="s">
        <v>1684</v>
      </c>
      <c r="M195" s="50" t="s">
        <v>1649</v>
      </c>
      <c r="N195" s="50" t="s">
        <v>1640</v>
      </c>
      <c r="O195" s="51">
        <f t="shared" ref="O195:O202" si="19">ROUND(F195*I195*0.85,2)</f>
        <v>6.42</v>
      </c>
      <c r="P195" s="50" t="s">
        <v>1854</v>
      </c>
      <c r="Q195" s="50" t="s">
        <v>942</v>
      </c>
      <c r="R195" s="51">
        <f t="shared" ref="R195:R202" si="20">ROUND(O195/100,2)</f>
        <v>0.06</v>
      </c>
      <c r="S195" s="50" t="s">
        <v>1684</v>
      </c>
      <c r="T195" s="53" t="s">
        <v>266</v>
      </c>
    </row>
    <row r="196" spans="1:20" ht="15" customHeight="1" x14ac:dyDescent="0.25">
      <c r="A196" s="54" t="s">
        <v>2101</v>
      </c>
      <c r="B196" s="54" t="s">
        <v>2102</v>
      </c>
      <c r="C196" s="54" t="s">
        <v>680</v>
      </c>
      <c r="D196" s="54" t="s">
        <v>1674</v>
      </c>
      <c r="E196" s="54" t="s">
        <v>1738</v>
      </c>
      <c r="F196" s="55">
        <v>5.0960000000000001</v>
      </c>
      <c r="G196" s="55">
        <f t="shared" si="18"/>
        <v>1.51</v>
      </c>
      <c r="H196" s="55">
        <v>3.5880999999999998</v>
      </c>
      <c r="I196" s="54">
        <v>8</v>
      </c>
      <c r="J196" s="54">
        <v>3.8</v>
      </c>
      <c r="K196" s="54" t="s">
        <v>576</v>
      </c>
      <c r="L196" s="54" t="s">
        <v>576</v>
      </c>
      <c r="M196" s="54" t="s">
        <v>1681</v>
      </c>
      <c r="N196" s="54" t="s">
        <v>622</v>
      </c>
      <c r="O196" s="55">
        <f t="shared" si="19"/>
        <v>34.65</v>
      </c>
      <c r="P196" s="54" t="s">
        <v>1761</v>
      </c>
      <c r="Q196" s="54" t="s">
        <v>2103</v>
      </c>
      <c r="R196" s="55">
        <f t="shared" si="20"/>
        <v>0.35</v>
      </c>
      <c r="S196" s="54" t="s">
        <v>1652</v>
      </c>
      <c r="T196" s="57" t="s">
        <v>495</v>
      </c>
    </row>
    <row r="197" spans="1:20" ht="15" customHeight="1" x14ac:dyDescent="0.25">
      <c r="A197" s="54" t="s">
        <v>2104</v>
      </c>
      <c r="B197" s="54" t="s">
        <v>2105</v>
      </c>
      <c r="C197" s="54" t="s">
        <v>1660</v>
      </c>
      <c r="D197" s="54" t="s">
        <v>1701</v>
      </c>
      <c r="E197" s="54" t="s">
        <v>1720</v>
      </c>
      <c r="F197" s="55">
        <v>2.5634999999999999</v>
      </c>
      <c r="G197" s="55">
        <f t="shared" si="18"/>
        <v>1.59</v>
      </c>
      <c r="H197" s="55">
        <v>0.97770000000000001</v>
      </c>
      <c r="I197" s="54">
        <v>12</v>
      </c>
      <c r="J197" s="54">
        <v>4</v>
      </c>
      <c r="K197" s="54" t="s">
        <v>587</v>
      </c>
      <c r="L197" s="54" t="s">
        <v>576</v>
      </c>
      <c r="M197" s="54" t="s">
        <v>1639</v>
      </c>
      <c r="N197" s="54" t="s">
        <v>1640</v>
      </c>
      <c r="O197" s="55">
        <f t="shared" si="19"/>
        <v>26.15</v>
      </c>
      <c r="P197" s="54" t="s">
        <v>1885</v>
      </c>
      <c r="Q197" s="54" t="s">
        <v>776</v>
      </c>
      <c r="R197" s="55">
        <f t="shared" si="20"/>
        <v>0.26</v>
      </c>
      <c r="S197" s="54" t="s">
        <v>1652</v>
      </c>
      <c r="T197" s="57" t="s">
        <v>495</v>
      </c>
    </row>
    <row r="198" spans="1:20" ht="15" customHeight="1" x14ac:dyDescent="0.25">
      <c r="A198" s="54" t="s">
        <v>2106</v>
      </c>
      <c r="B198" s="54" t="s">
        <v>1314</v>
      </c>
      <c r="C198" s="54" t="s">
        <v>1636</v>
      </c>
      <c r="D198" s="54" t="s">
        <v>1647</v>
      </c>
      <c r="E198" s="54" t="s">
        <v>1675</v>
      </c>
      <c r="F198" s="55">
        <v>1.9742999999999999</v>
      </c>
      <c r="G198" s="55">
        <f t="shared" si="18"/>
        <v>0.78</v>
      </c>
      <c r="H198" s="55">
        <v>1.1922999999999999</v>
      </c>
      <c r="I198" s="54">
        <v>2</v>
      </c>
      <c r="J198" s="54">
        <v>4.4000000000000004</v>
      </c>
      <c r="K198" s="54" t="s">
        <v>587</v>
      </c>
      <c r="L198" s="54" t="s">
        <v>587</v>
      </c>
      <c r="M198" s="54" t="s">
        <v>1649</v>
      </c>
      <c r="N198" s="54" t="s">
        <v>622</v>
      </c>
      <c r="O198" s="55">
        <f t="shared" si="19"/>
        <v>3.36</v>
      </c>
      <c r="P198" s="54" t="s">
        <v>1662</v>
      </c>
      <c r="Q198" s="54" t="s">
        <v>2107</v>
      </c>
      <c r="R198" s="55">
        <f t="shared" si="20"/>
        <v>0.03</v>
      </c>
      <c r="S198" s="54" t="s">
        <v>1684</v>
      </c>
      <c r="T198" s="57" t="s">
        <v>495</v>
      </c>
    </row>
    <row r="199" spans="1:20" ht="15" customHeight="1" x14ac:dyDescent="0.25">
      <c r="A199" s="46" t="s">
        <v>2108</v>
      </c>
      <c r="B199" s="46" t="s">
        <v>1212</v>
      </c>
      <c r="C199" s="46" t="s">
        <v>1673</v>
      </c>
      <c r="D199" s="46" t="s">
        <v>1667</v>
      </c>
      <c r="E199" s="46" t="s">
        <v>1738</v>
      </c>
      <c r="F199" s="47">
        <v>4.8358999999999996</v>
      </c>
      <c r="G199" s="47">
        <f t="shared" si="18"/>
        <v>3.93</v>
      </c>
      <c r="H199" s="47">
        <v>0.90410000000000001</v>
      </c>
      <c r="I199" s="46">
        <v>21</v>
      </c>
      <c r="J199" s="46">
        <v>1</v>
      </c>
      <c r="K199" s="46" t="s">
        <v>576</v>
      </c>
      <c r="L199" s="46" t="s">
        <v>1684</v>
      </c>
      <c r="M199" s="46" t="s">
        <v>1649</v>
      </c>
      <c r="N199" s="46" t="s">
        <v>1640</v>
      </c>
      <c r="O199" s="47">
        <f t="shared" si="19"/>
        <v>86.32</v>
      </c>
      <c r="P199" s="46" t="s">
        <v>1773</v>
      </c>
      <c r="Q199" s="46" t="s">
        <v>2109</v>
      </c>
      <c r="R199" s="47">
        <f t="shared" si="20"/>
        <v>0.86</v>
      </c>
      <c r="S199" s="46" t="s">
        <v>1652</v>
      </c>
      <c r="T199" s="49" t="s">
        <v>321</v>
      </c>
    </row>
    <row r="200" spans="1:20" ht="15" customHeight="1" x14ac:dyDescent="0.25">
      <c r="A200" s="54" t="s">
        <v>2110</v>
      </c>
      <c r="B200" s="54" t="s">
        <v>2111</v>
      </c>
      <c r="C200" s="54" t="s">
        <v>1690</v>
      </c>
      <c r="D200" s="54" t="s">
        <v>1661</v>
      </c>
      <c r="E200" s="54" t="s">
        <v>1668</v>
      </c>
      <c r="F200" s="55">
        <v>1.1188</v>
      </c>
      <c r="G200" s="55">
        <f t="shared" si="18"/>
        <v>1.02</v>
      </c>
      <c r="H200" s="55">
        <v>9.7000000000000003E-2</v>
      </c>
      <c r="I200" s="54">
        <v>17</v>
      </c>
      <c r="J200" s="54">
        <v>3.6</v>
      </c>
      <c r="K200" s="54" t="s">
        <v>587</v>
      </c>
      <c r="L200" s="54" t="s">
        <v>576</v>
      </c>
      <c r="M200" s="54" t="s">
        <v>1681</v>
      </c>
      <c r="N200" s="54" t="s">
        <v>1676</v>
      </c>
      <c r="O200" s="55">
        <f t="shared" si="19"/>
        <v>16.170000000000002</v>
      </c>
      <c r="P200" s="54" t="s">
        <v>1807</v>
      </c>
      <c r="Q200" s="54" t="s">
        <v>2112</v>
      </c>
      <c r="R200" s="55">
        <f t="shared" si="20"/>
        <v>0.16</v>
      </c>
      <c r="S200" s="54" t="s">
        <v>1652</v>
      </c>
      <c r="T200" s="57" t="s">
        <v>495</v>
      </c>
    </row>
    <row r="201" spans="1:20" ht="15" customHeight="1" x14ac:dyDescent="0.25">
      <c r="A201" s="54" t="s">
        <v>2113</v>
      </c>
      <c r="B201" s="54" t="s">
        <v>2114</v>
      </c>
      <c r="C201" s="54" t="s">
        <v>1646</v>
      </c>
      <c r="D201" s="54" t="s">
        <v>1637</v>
      </c>
      <c r="E201" s="54" t="s">
        <v>1708</v>
      </c>
      <c r="F201" s="55">
        <v>5.7295999999999996</v>
      </c>
      <c r="G201" s="55">
        <f t="shared" si="18"/>
        <v>2.82</v>
      </c>
      <c r="H201" s="55">
        <v>2.9047000000000001</v>
      </c>
      <c r="I201" s="54">
        <v>13</v>
      </c>
      <c r="J201" s="54">
        <v>4.0999999999999996</v>
      </c>
      <c r="K201" s="54" t="s">
        <v>576</v>
      </c>
      <c r="L201" s="54" t="s">
        <v>587</v>
      </c>
      <c r="M201" s="54" t="s">
        <v>1681</v>
      </c>
      <c r="N201" s="54" t="s">
        <v>1640</v>
      </c>
      <c r="O201" s="55">
        <f t="shared" si="19"/>
        <v>63.31</v>
      </c>
      <c r="P201" s="54" t="s">
        <v>1798</v>
      </c>
      <c r="Q201" s="54" t="s">
        <v>2115</v>
      </c>
      <c r="R201" s="55">
        <f t="shared" si="20"/>
        <v>0.63</v>
      </c>
      <c r="S201" s="54" t="s">
        <v>1684</v>
      </c>
      <c r="T201" s="57" t="s">
        <v>495</v>
      </c>
    </row>
    <row r="202" spans="1:20" ht="15" customHeight="1" x14ac:dyDescent="0.25">
      <c r="A202" s="54" t="s">
        <v>2116</v>
      </c>
      <c r="B202" s="54" t="s">
        <v>2117</v>
      </c>
      <c r="C202" s="54" t="s">
        <v>1654</v>
      </c>
      <c r="D202" s="54" t="s">
        <v>1647</v>
      </c>
      <c r="E202" s="54" t="s">
        <v>1648</v>
      </c>
      <c r="F202" s="55">
        <v>0.54169999999999996</v>
      </c>
      <c r="G202" s="55">
        <f t="shared" si="18"/>
        <v>0.33</v>
      </c>
      <c r="H202" s="55">
        <v>0.21260000000000001</v>
      </c>
      <c r="I202" s="54">
        <v>22</v>
      </c>
      <c r="J202" s="54">
        <v>4.5999999999999996</v>
      </c>
      <c r="K202" s="54" t="s">
        <v>587</v>
      </c>
      <c r="L202" s="54" t="s">
        <v>576</v>
      </c>
      <c r="M202" s="54" t="s">
        <v>1681</v>
      </c>
      <c r="N202" s="54" t="s">
        <v>1640</v>
      </c>
      <c r="O202" s="55">
        <f t="shared" si="19"/>
        <v>10.130000000000001</v>
      </c>
      <c r="P202" s="54" t="s">
        <v>1885</v>
      </c>
      <c r="Q202" s="54" t="s">
        <v>1186</v>
      </c>
      <c r="R202" s="55">
        <f t="shared" si="20"/>
        <v>0.1</v>
      </c>
      <c r="S202" s="54" t="s">
        <v>1643</v>
      </c>
      <c r="T202" s="57" t="s">
        <v>495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3" sqref="Q3"/>
    </sheetView>
  </sheetViews>
  <sheetFormatPr defaultColWidth="8.7109375" defaultRowHeight="15" x14ac:dyDescent="0.25"/>
  <cols>
    <col min="1" max="1" width="8.85546875" customWidth="1"/>
    <col min="2" max="2" width="10.140625" customWidth="1"/>
    <col min="3" max="3" width="10.28515625" customWidth="1"/>
    <col min="4" max="4" width="9.85546875" customWidth="1"/>
    <col min="5" max="5" width="18.140625" customWidth="1"/>
    <col min="6" max="6" width="16.85546875" customWidth="1"/>
    <col min="7" max="7" width="17.7109375" customWidth="1"/>
    <col min="8" max="8" width="13.5703125" customWidth="1"/>
    <col min="9" max="9" width="15.7109375" customWidth="1"/>
    <col min="10" max="10" width="9.5703125" customWidth="1"/>
    <col min="11" max="11" width="9.28515625" customWidth="1"/>
    <col min="12" max="12" width="10" customWidth="1"/>
    <col min="14" max="14" width="17.7109375" customWidth="1"/>
    <col min="15" max="15" width="20.42578125" customWidth="1"/>
    <col min="16" max="16" width="19.42578125" customWidth="1"/>
    <col min="17" max="17" width="22.7109375" customWidth="1"/>
    <col min="18" max="18" width="6.5703125" customWidth="1"/>
  </cols>
  <sheetData>
    <row r="1" spans="1:18" ht="37.5" customHeight="1" x14ac:dyDescent="0.25">
      <c r="A1" s="137" t="s">
        <v>2118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5"/>
    </row>
    <row r="2" spans="1:18" ht="21.75" customHeight="1" x14ac:dyDescent="0.25">
      <c r="A2" s="45" t="s">
        <v>2119</v>
      </c>
      <c r="B2" s="45" t="s">
        <v>2120</v>
      </c>
      <c r="C2" s="45" t="s">
        <v>2121</v>
      </c>
      <c r="D2" s="45" t="s">
        <v>2122</v>
      </c>
      <c r="E2" s="45" t="s">
        <v>2123</v>
      </c>
      <c r="F2" s="45" t="s">
        <v>2124</v>
      </c>
      <c r="G2" s="45" t="s">
        <v>2125</v>
      </c>
      <c r="H2" s="45" t="s">
        <v>2126</v>
      </c>
      <c r="I2" s="45" t="s">
        <v>2127</v>
      </c>
      <c r="J2" s="45" t="s">
        <v>2128</v>
      </c>
      <c r="K2" s="45" t="s">
        <v>2129</v>
      </c>
      <c r="L2" s="45" t="s">
        <v>559</v>
      </c>
      <c r="M2" s="45" t="s">
        <v>2130</v>
      </c>
      <c r="N2" s="45" t="s">
        <v>2131</v>
      </c>
      <c r="O2" s="45" t="s">
        <v>2132</v>
      </c>
      <c r="P2" s="45" t="s">
        <v>2133</v>
      </c>
      <c r="Q2" s="45" t="s">
        <v>2134</v>
      </c>
      <c r="R2" s="45" t="s">
        <v>568</v>
      </c>
    </row>
    <row r="3" spans="1:18" ht="15" customHeight="1" x14ac:dyDescent="0.25">
      <c r="A3" s="50" t="s">
        <v>2135</v>
      </c>
      <c r="B3" s="51">
        <v>321319</v>
      </c>
      <c r="C3" s="51">
        <v>338640</v>
      </c>
      <c r="D3" s="51">
        <v>59981</v>
      </c>
      <c r="E3" s="51">
        <v>398621</v>
      </c>
      <c r="F3" s="51">
        <v>1602419</v>
      </c>
      <c r="G3" s="51">
        <v>200602</v>
      </c>
      <c r="H3" s="51">
        <v>250179</v>
      </c>
      <c r="I3" s="51">
        <v>2053200</v>
      </c>
      <c r="J3" s="51">
        <f t="shared" ref="J3:J14" si="0">ROUND(B3/I3*100,2)</f>
        <v>15.65</v>
      </c>
      <c r="K3" s="51">
        <f t="shared" ref="K3:K14" si="1">ROUND(C3/I3*100,2)</f>
        <v>16.489999999999998</v>
      </c>
      <c r="L3" s="51">
        <f t="shared" ref="L3:L14" si="2">ROUND(E3/I3*100,2)</f>
        <v>19.41</v>
      </c>
      <c r="M3" s="50">
        <v>2.5</v>
      </c>
      <c r="N3" s="50">
        <v>0.6</v>
      </c>
      <c r="O3" s="51">
        <f t="shared" ref="O3:O14" si="3">ROUND(C3/(I3*11)*100,2)</f>
        <v>1.5</v>
      </c>
      <c r="P3" s="51">
        <f t="shared" ref="P3:P14" si="4">ROUND(E3-I3*0.13,0)</f>
        <v>131705</v>
      </c>
      <c r="Q3" s="51">
        <f t="shared" ref="Q3:Q14" si="5">ROUND(E3-I3*0.15,0)</f>
        <v>90641</v>
      </c>
      <c r="R3" s="53" t="s">
        <v>266</v>
      </c>
    </row>
    <row r="4" spans="1:18" ht="15" customHeight="1" x14ac:dyDescent="0.25">
      <c r="A4" s="50" t="s">
        <v>2136</v>
      </c>
      <c r="B4" s="51">
        <v>322979</v>
      </c>
      <c r="C4" s="51">
        <v>340199</v>
      </c>
      <c r="D4" s="51">
        <v>61217</v>
      </c>
      <c r="E4" s="51">
        <v>401416</v>
      </c>
      <c r="F4" s="51">
        <v>1628168</v>
      </c>
      <c r="G4" s="51">
        <v>202693</v>
      </c>
      <c r="H4" s="51">
        <v>253792</v>
      </c>
      <c r="I4" s="51">
        <v>2084653</v>
      </c>
      <c r="J4" s="51">
        <f t="shared" si="0"/>
        <v>15.49</v>
      </c>
      <c r="K4" s="51">
        <f t="shared" si="1"/>
        <v>16.32</v>
      </c>
      <c r="L4" s="51">
        <f t="shared" si="2"/>
        <v>19.260000000000002</v>
      </c>
      <c r="M4" s="50">
        <v>2.5</v>
      </c>
      <c r="N4" s="50">
        <v>0.6</v>
      </c>
      <c r="O4" s="51">
        <f t="shared" si="3"/>
        <v>1.48</v>
      </c>
      <c r="P4" s="51">
        <f t="shared" si="4"/>
        <v>130411</v>
      </c>
      <c r="Q4" s="51">
        <f t="shared" si="5"/>
        <v>88718</v>
      </c>
      <c r="R4" s="53" t="s">
        <v>266</v>
      </c>
    </row>
    <row r="5" spans="1:18" ht="15" customHeight="1" x14ac:dyDescent="0.25">
      <c r="A5" s="50" t="s">
        <v>2137</v>
      </c>
      <c r="B5" s="51">
        <v>327384</v>
      </c>
      <c r="C5" s="51">
        <v>345646</v>
      </c>
      <c r="D5" s="51">
        <v>61485</v>
      </c>
      <c r="E5" s="51">
        <v>407131</v>
      </c>
      <c r="F5" s="51">
        <v>1652425</v>
      </c>
      <c r="G5" s="51">
        <v>208165</v>
      </c>
      <c r="H5" s="51">
        <v>256048</v>
      </c>
      <c r="I5" s="51">
        <v>2116638</v>
      </c>
      <c r="J5" s="51">
        <f t="shared" si="0"/>
        <v>15.47</v>
      </c>
      <c r="K5" s="51">
        <f t="shared" si="1"/>
        <v>16.329999999999998</v>
      </c>
      <c r="L5" s="51">
        <f t="shared" si="2"/>
        <v>19.23</v>
      </c>
      <c r="M5" s="50">
        <v>2.5</v>
      </c>
      <c r="N5" s="50">
        <v>0.6</v>
      </c>
      <c r="O5" s="51">
        <f t="shared" si="3"/>
        <v>1.48</v>
      </c>
      <c r="P5" s="51">
        <f t="shared" si="4"/>
        <v>131968</v>
      </c>
      <c r="Q5" s="51">
        <f t="shared" si="5"/>
        <v>89635</v>
      </c>
      <c r="R5" s="53" t="s">
        <v>266</v>
      </c>
    </row>
    <row r="6" spans="1:18" ht="15" customHeight="1" x14ac:dyDescent="0.25">
      <c r="A6" s="50" t="s">
        <v>2138</v>
      </c>
      <c r="B6" s="51">
        <v>334797</v>
      </c>
      <c r="C6" s="51">
        <v>353736</v>
      </c>
      <c r="D6" s="51">
        <v>62521</v>
      </c>
      <c r="E6" s="51">
        <v>416257</v>
      </c>
      <c r="F6" s="51">
        <v>1668436</v>
      </c>
      <c r="G6" s="51">
        <v>213454</v>
      </c>
      <c r="H6" s="51">
        <v>260206</v>
      </c>
      <c r="I6" s="51">
        <v>2142096</v>
      </c>
      <c r="J6" s="51">
        <f t="shared" si="0"/>
        <v>15.63</v>
      </c>
      <c r="K6" s="51">
        <f t="shared" si="1"/>
        <v>16.510000000000002</v>
      </c>
      <c r="L6" s="51">
        <f t="shared" si="2"/>
        <v>19.43</v>
      </c>
      <c r="M6" s="50">
        <v>2.5</v>
      </c>
      <c r="N6" s="50">
        <v>0.6</v>
      </c>
      <c r="O6" s="51">
        <f t="shared" si="3"/>
        <v>1.5</v>
      </c>
      <c r="P6" s="51">
        <f t="shared" si="4"/>
        <v>137785</v>
      </c>
      <c r="Q6" s="51">
        <f t="shared" si="5"/>
        <v>94943</v>
      </c>
      <c r="R6" s="53" t="s">
        <v>266</v>
      </c>
    </row>
    <row r="7" spans="1:18" ht="15" customHeight="1" x14ac:dyDescent="0.25">
      <c r="A7" s="50" t="s">
        <v>2139</v>
      </c>
      <c r="B7" s="51">
        <v>341088</v>
      </c>
      <c r="C7" s="51">
        <v>359474</v>
      </c>
      <c r="D7" s="51">
        <v>63005</v>
      </c>
      <c r="E7" s="51">
        <v>422479</v>
      </c>
      <c r="F7" s="51">
        <v>1693048</v>
      </c>
      <c r="G7" s="51">
        <v>215824</v>
      </c>
      <c r="H7" s="51">
        <v>262787</v>
      </c>
      <c r="I7" s="51">
        <v>2171659</v>
      </c>
      <c r="J7" s="51">
        <f t="shared" si="0"/>
        <v>15.71</v>
      </c>
      <c r="K7" s="51">
        <f t="shared" si="1"/>
        <v>16.55</v>
      </c>
      <c r="L7" s="51">
        <f t="shared" si="2"/>
        <v>19.45</v>
      </c>
      <c r="M7" s="50">
        <v>2.5</v>
      </c>
      <c r="N7" s="50">
        <v>0.6</v>
      </c>
      <c r="O7" s="51">
        <f t="shared" si="3"/>
        <v>1.5</v>
      </c>
      <c r="P7" s="51">
        <f t="shared" si="4"/>
        <v>140163</v>
      </c>
      <c r="Q7" s="51">
        <f t="shared" si="5"/>
        <v>96730</v>
      </c>
      <c r="R7" s="53" t="s">
        <v>266</v>
      </c>
    </row>
    <row r="8" spans="1:18" ht="15" customHeight="1" x14ac:dyDescent="0.25">
      <c r="A8" s="50" t="s">
        <v>2140</v>
      </c>
      <c r="B8" s="51">
        <v>342185</v>
      </c>
      <c r="C8" s="51">
        <v>360541</v>
      </c>
      <c r="D8" s="51">
        <v>63226</v>
      </c>
      <c r="E8" s="51">
        <v>423767</v>
      </c>
      <c r="F8" s="51">
        <v>1716781</v>
      </c>
      <c r="G8" s="51">
        <v>219499</v>
      </c>
      <c r="H8" s="51">
        <v>265931</v>
      </c>
      <c r="I8" s="51">
        <v>2202211</v>
      </c>
      <c r="J8" s="51">
        <f t="shared" si="0"/>
        <v>15.54</v>
      </c>
      <c r="K8" s="51">
        <f t="shared" si="1"/>
        <v>16.37</v>
      </c>
      <c r="L8" s="51">
        <f t="shared" si="2"/>
        <v>19.239999999999998</v>
      </c>
      <c r="M8" s="50">
        <v>2.5</v>
      </c>
      <c r="N8" s="50">
        <v>0.6</v>
      </c>
      <c r="O8" s="51">
        <f t="shared" si="3"/>
        <v>1.49</v>
      </c>
      <c r="P8" s="51">
        <f t="shared" si="4"/>
        <v>137480</v>
      </c>
      <c r="Q8" s="51">
        <f t="shared" si="5"/>
        <v>93435</v>
      </c>
      <c r="R8" s="53" t="s">
        <v>266</v>
      </c>
    </row>
    <row r="9" spans="1:18" ht="15" customHeight="1" x14ac:dyDescent="0.25">
      <c r="A9" s="50" t="s">
        <v>2141</v>
      </c>
      <c r="B9" s="51">
        <v>346529</v>
      </c>
      <c r="C9" s="51">
        <v>366593</v>
      </c>
      <c r="D9" s="51">
        <v>64328</v>
      </c>
      <c r="E9" s="51">
        <v>430921</v>
      </c>
      <c r="F9" s="51">
        <v>1743206</v>
      </c>
      <c r="G9" s="51">
        <v>223003</v>
      </c>
      <c r="H9" s="51">
        <v>267794</v>
      </c>
      <c r="I9" s="51">
        <v>2234003</v>
      </c>
      <c r="J9" s="51">
        <f t="shared" si="0"/>
        <v>15.51</v>
      </c>
      <c r="K9" s="51">
        <f t="shared" si="1"/>
        <v>16.41</v>
      </c>
      <c r="L9" s="51">
        <f t="shared" si="2"/>
        <v>19.29</v>
      </c>
      <c r="M9" s="50">
        <v>2.5</v>
      </c>
      <c r="N9" s="50">
        <v>0.6</v>
      </c>
      <c r="O9" s="51">
        <f t="shared" si="3"/>
        <v>1.49</v>
      </c>
      <c r="P9" s="51">
        <f t="shared" si="4"/>
        <v>140501</v>
      </c>
      <c r="Q9" s="51">
        <f t="shared" si="5"/>
        <v>95821</v>
      </c>
      <c r="R9" s="53" t="s">
        <v>266</v>
      </c>
    </row>
    <row r="10" spans="1:18" ht="15" customHeight="1" x14ac:dyDescent="0.25">
      <c r="A10" s="50" t="s">
        <v>2142</v>
      </c>
      <c r="B10" s="51">
        <v>355804</v>
      </c>
      <c r="C10" s="51">
        <v>374662</v>
      </c>
      <c r="D10" s="51">
        <v>64781</v>
      </c>
      <c r="E10" s="51">
        <v>439443</v>
      </c>
      <c r="F10" s="51">
        <v>1774406</v>
      </c>
      <c r="G10" s="51">
        <v>226457</v>
      </c>
      <c r="H10" s="51">
        <v>271766</v>
      </c>
      <c r="I10" s="51">
        <v>2272629</v>
      </c>
      <c r="J10" s="51">
        <f t="shared" si="0"/>
        <v>15.66</v>
      </c>
      <c r="K10" s="51">
        <f t="shared" si="1"/>
        <v>16.489999999999998</v>
      </c>
      <c r="L10" s="51">
        <f t="shared" si="2"/>
        <v>19.34</v>
      </c>
      <c r="M10" s="50">
        <v>2.5</v>
      </c>
      <c r="N10" s="50">
        <v>0.6</v>
      </c>
      <c r="O10" s="51">
        <f t="shared" si="3"/>
        <v>1.5</v>
      </c>
      <c r="P10" s="51">
        <f t="shared" si="4"/>
        <v>144001</v>
      </c>
      <c r="Q10" s="51">
        <f t="shared" si="5"/>
        <v>98549</v>
      </c>
      <c r="R10" s="53" t="s">
        <v>266</v>
      </c>
    </row>
    <row r="11" spans="1:18" ht="15" customHeight="1" x14ac:dyDescent="0.25">
      <c r="A11" s="50" t="s">
        <v>2143</v>
      </c>
      <c r="B11" s="51">
        <v>359199</v>
      </c>
      <c r="C11" s="51">
        <v>379036</v>
      </c>
      <c r="D11" s="51">
        <v>65861</v>
      </c>
      <c r="E11" s="51">
        <v>444897</v>
      </c>
      <c r="F11" s="51">
        <v>1795343</v>
      </c>
      <c r="G11" s="51">
        <v>230100</v>
      </c>
      <c r="H11" s="51">
        <v>275332</v>
      </c>
      <c r="I11" s="51">
        <v>2300775</v>
      </c>
      <c r="J11" s="51">
        <f t="shared" si="0"/>
        <v>15.61</v>
      </c>
      <c r="K11" s="51">
        <f t="shared" si="1"/>
        <v>16.47</v>
      </c>
      <c r="L11" s="51">
        <f t="shared" si="2"/>
        <v>19.34</v>
      </c>
      <c r="M11" s="50">
        <v>2.5</v>
      </c>
      <c r="N11" s="50">
        <v>0.6</v>
      </c>
      <c r="O11" s="51">
        <f t="shared" si="3"/>
        <v>1.5</v>
      </c>
      <c r="P11" s="51">
        <f t="shared" si="4"/>
        <v>145796</v>
      </c>
      <c r="Q11" s="51">
        <f t="shared" si="5"/>
        <v>99781</v>
      </c>
      <c r="R11" s="53" t="s">
        <v>266</v>
      </c>
    </row>
    <row r="12" spans="1:18" ht="15" customHeight="1" x14ac:dyDescent="0.25">
      <c r="A12" s="50" t="s">
        <v>2144</v>
      </c>
      <c r="B12" s="51">
        <v>362448</v>
      </c>
      <c r="C12" s="51">
        <v>382633</v>
      </c>
      <c r="D12" s="51">
        <v>66094</v>
      </c>
      <c r="E12" s="51">
        <v>448727</v>
      </c>
      <c r="F12" s="51">
        <v>1811811</v>
      </c>
      <c r="G12" s="51">
        <v>235791</v>
      </c>
      <c r="H12" s="51">
        <v>276272</v>
      </c>
      <c r="I12" s="51">
        <v>2323874</v>
      </c>
      <c r="J12" s="51">
        <f t="shared" si="0"/>
        <v>15.6</v>
      </c>
      <c r="K12" s="51">
        <f t="shared" si="1"/>
        <v>16.47</v>
      </c>
      <c r="L12" s="51">
        <f t="shared" si="2"/>
        <v>19.309999999999999</v>
      </c>
      <c r="M12" s="50">
        <v>2.5</v>
      </c>
      <c r="N12" s="50">
        <v>0.6</v>
      </c>
      <c r="O12" s="51">
        <f t="shared" si="3"/>
        <v>1.5</v>
      </c>
      <c r="P12" s="51">
        <f t="shared" si="4"/>
        <v>146623</v>
      </c>
      <c r="Q12" s="51">
        <f t="shared" si="5"/>
        <v>100146</v>
      </c>
      <c r="R12" s="53" t="s">
        <v>266</v>
      </c>
    </row>
    <row r="13" spans="1:18" ht="15" customHeight="1" x14ac:dyDescent="0.25">
      <c r="A13" s="50" t="s">
        <v>2145</v>
      </c>
      <c r="B13" s="51">
        <v>366393</v>
      </c>
      <c r="C13" s="51">
        <v>386361</v>
      </c>
      <c r="D13" s="51">
        <v>67647</v>
      </c>
      <c r="E13" s="51">
        <v>454008</v>
      </c>
      <c r="F13" s="51">
        <v>1846812</v>
      </c>
      <c r="G13" s="51">
        <v>237903</v>
      </c>
      <c r="H13" s="51">
        <v>279205</v>
      </c>
      <c r="I13" s="51">
        <v>2363920</v>
      </c>
      <c r="J13" s="51">
        <f t="shared" si="0"/>
        <v>15.5</v>
      </c>
      <c r="K13" s="51">
        <f t="shared" si="1"/>
        <v>16.34</v>
      </c>
      <c r="L13" s="51">
        <f t="shared" si="2"/>
        <v>19.21</v>
      </c>
      <c r="M13" s="50">
        <v>2.5</v>
      </c>
      <c r="N13" s="50">
        <v>0.6</v>
      </c>
      <c r="O13" s="51">
        <f t="shared" si="3"/>
        <v>1.49</v>
      </c>
      <c r="P13" s="51">
        <f t="shared" si="4"/>
        <v>146698</v>
      </c>
      <c r="Q13" s="51">
        <f t="shared" si="5"/>
        <v>99420</v>
      </c>
      <c r="R13" s="53" t="s">
        <v>266</v>
      </c>
    </row>
    <row r="14" spans="1:18" ht="15" customHeight="1" x14ac:dyDescent="0.25">
      <c r="A14" s="50" t="s">
        <v>2146</v>
      </c>
      <c r="B14" s="51">
        <v>372064</v>
      </c>
      <c r="C14" s="51">
        <v>392022</v>
      </c>
      <c r="D14" s="51">
        <v>68086</v>
      </c>
      <c r="E14" s="51">
        <v>460108</v>
      </c>
      <c r="F14" s="51">
        <v>1859378</v>
      </c>
      <c r="G14" s="51">
        <v>239037</v>
      </c>
      <c r="H14" s="51">
        <v>282665</v>
      </c>
      <c r="I14" s="51">
        <v>2381080</v>
      </c>
      <c r="J14" s="51">
        <f t="shared" si="0"/>
        <v>15.63</v>
      </c>
      <c r="K14" s="51">
        <f t="shared" si="1"/>
        <v>16.46</v>
      </c>
      <c r="L14" s="51">
        <f t="shared" si="2"/>
        <v>19.32</v>
      </c>
      <c r="M14" s="50">
        <v>2.5</v>
      </c>
      <c r="N14" s="50">
        <v>0.6</v>
      </c>
      <c r="O14" s="51">
        <f t="shared" si="3"/>
        <v>1.5</v>
      </c>
      <c r="P14" s="51">
        <f t="shared" si="4"/>
        <v>150568</v>
      </c>
      <c r="Q14" s="51">
        <f t="shared" si="5"/>
        <v>102946</v>
      </c>
      <c r="R14" s="53" t="s">
        <v>266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02"/>
  <sheetViews>
    <sheetView zoomScaleNormal="100" workbookViewId="0">
      <pane xSplit="2" ySplit="2" topLeftCell="I3" activePane="bottomRight" state="frozen"/>
      <selection pane="topRight" activeCell="I1" sqref="I1"/>
      <selection pane="bottomLeft" activeCell="A3" sqref="A3"/>
      <selection pane="bottomRight" activeCell="F7" sqref="F7"/>
    </sheetView>
  </sheetViews>
  <sheetFormatPr defaultColWidth="8.7109375" defaultRowHeight="15" x14ac:dyDescent="0.25"/>
  <cols>
    <col min="1" max="1" width="11.7109375" customWidth="1"/>
    <col min="2" max="2" width="11.42578125" customWidth="1"/>
    <col min="3" max="3" width="14.42578125" customWidth="1"/>
    <col min="4" max="4" width="10.5703125" customWidth="1"/>
    <col min="5" max="5" width="12.42578125" customWidth="1"/>
    <col min="6" max="6" width="13.5703125" customWidth="1"/>
    <col min="7" max="7" width="16.42578125" customWidth="1"/>
    <col min="8" max="8" width="8.42578125" customWidth="1"/>
    <col min="9" max="9" width="9.85546875" customWidth="1"/>
    <col min="10" max="10" width="8.28515625" customWidth="1"/>
    <col min="12" max="12" width="10.42578125" customWidth="1"/>
    <col min="13" max="14" width="14.140625" customWidth="1"/>
    <col min="15" max="15" width="29" customWidth="1"/>
    <col min="16" max="16" width="18" customWidth="1"/>
    <col min="17" max="17" width="16" customWidth="1"/>
    <col min="18" max="18" width="15.7109375" customWidth="1"/>
    <col min="19" max="19" width="7.42578125" customWidth="1"/>
    <col min="20" max="20" width="6.42578125" customWidth="1"/>
  </cols>
  <sheetData>
    <row r="1" spans="1:20" ht="37.5" customHeight="1" x14ac:dyDescent="0.25">
      <c r="A1" s="138" t="s">
        <v>2147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40"/>
    </row>
    <row r="2" spans="1:20" ht="21.75" customHeight="1" x14ac:dyDescent="0.25">
      <c r="A2" s="58" t="s">
        <v>2148</v>
      </c>
      <c r="B2" s="58" t="s">
        <v>1618</v>
      </c>
      <c r="C2" s="58" t="s">
        <v>2149</v>
      </c>
      <c r="D2" s="58" t="s">
        <v>2150</v>
      </c>
      <c r="E2" s="58" t="s">
        <v>2151</v>
      </c>
      <c r="F2" s="58" t="s">
        <v>2152</v>
      </c>
      <c r="G2" s="58" t="s">
        <v>2153</v>
      </c>
      <c r="H2" s="58" t="s">
        <v>2154</v>
      </c>
      <c r="I2" s="58" t="s">
        <v>2155</v>
      </c>
      <c r="J2" s="58" t="s">
        <v>2156</v>
      </c>
      <c r="K2" s="58" t="s">
        <v>2157</v>
      </c>
      <c r="L2" s="58" t="s">
        <v>2158</v>
      </c>
      <c r="M2" s="58" t="s">
        <v>2159</v>
      </c>
      <c r="N2" s="58" t="s">
        <v>2160</v>
      </c>
      <c r="O2" s="58" t="s">
        <v>2161</v>
      </c>
      <c r="P2" s="58" t="s">
        <v>2162</v>
      </c>
      <c r="Q2" s="58" t="s">
        <v>2163</v>
      </c>
      <c r="R2" s="58" t="s">
        <v>2164</v>
      </c>
      <c r="S2" s="58" t="s">
        <v>567</v>
      </c>
      <c r="T2" s="58" t="s">
        <v>568</v>
      </c>
    </row>
    <row r="3" spans="1:20" ht="15" customHeight="1" x14ac:dyDescent="0.25">
      <c r="A3" s="50" t="s">
        <v>2165</v>
      </c>
      <c r="B3" s="50" t="s">
        <v>1513</v>
      </c>
      <c r="C3" s="50" t="s">
        <v>2166</v>
      </c>
      <c r="D3" s="51">
        <v>2460.35</v>
      </c>
      <c r="E3" s="51">
        <v>591.20000000000005</v>
      </c>
      <c r="F3" s="50">
        <f t="shared" ref="F3:F34" si="0">ROUND(D3-E3,2)</f>
        <v>1869.15</v>
      </c>
      <c r="G3" s="50">
        <f>ROUND(F3,2)</f>
        <v>1869.15</v>
      </c>
      <c r="H3" s="52">
        <f t="shared" ref="H3:H34" si="1">ROUND(L3/O3*100,2)</f>
        <v>141.66999999999999</v>
      </c>
      <c r="I3" s="52">
        <f t="shared" ref="I3:I34" si="2">ROUND(R3/Q3*100,2)</f>
        <v>122.87</v>
      </c>
      <c r="J3" s="52">
        <v>23.06</v>
      </c>
      <c r="K3" s="52">
        <v>3.64</v>
      </c>
      <c r="L3" s="51">
        <v>3616.8</v>
      </c>
      <c r="M3" s="51">
        <v>2928.42</v>
      </c>
      <c r="N3" s="51">
        <v>688.38</v>
      </c>
      <c r="O3" s="51">
        <v>2552.96</v>
      </c>
      <c r="P3" s="50" t="s">
        <v>2167</v>
      </c>
      <c r="Q3" s="51">
        <v>17944.310000000001</v>
      </c>
      <c r="R3" s="51">
        <v>22048.55</v>
      </c>
      <c r="S3" s="50" t="s">
        <v>590</v>
      </c>
      <c r="T3" s="53" t="s">
        <v>266</v>
      </c>
    </row>
    <row r="4" spans="1:20" ht="15" customHeight="1" x14ac:dyDescent="0.25">
      <c r="A4" s="50" t="s">
        <v>2168</v>
      </c>
      <c r="B4" s="50" t="s">
        <v>2169</v>
      </c>
      <c r="C4" s="50" t="s">
        <v>2170</v>
      </c>
      <c r="D4" s="51">
        <v>3425.49</v>
      </c>
      <c r="E4" s="51">
        <v>3921.85</v>
      </c>
      <c r="F4" s="50">
        <f t="shared" si="0"/>
        <v>-496.36</v>
      </c>
      <c r="G4" s="50">
        <f t="shared" ref="G4:G35" si="3">ROUND(G3+F4,2)</f>
        <v>1372.79</v>
      </c>
      <c r="H4" s="52">
        <f t="shared" si="1"/>
        <v>149.29</v>
      </c>
      <c r="I4" s="52">
        <f t="shared" si="2"/>
        <v>119.14</v>
      </c>
      <c r="J4" s="52">
        <v>21.19</v>
      </c>
      <c r="K4" s="52">
        <v>5.08</v>
      </c>
      <c r="L4" s="51">
        <v>5532.84</v>
      </c>
      <c r="M4" s="51">
        <v>4677.71</v>
      </c>
      <c r="N4" s="51">
        <v>855.13</v>
      </c>
      <c r="O4" s="51">
        <v>3706</v>
      </c>
      <c r="P4" s="50" t="s">
        <v>2171</v>
      </c>
      <c r="Q4" s="51">
        <v>6310.92</v>
      </c>
      <c r="R4" s="51">
        <v>7519.1</v>
      </c>
      <c r="S4" s="50" t="s">
        <v>590</v>
      </c>
      <c r="T4" s="53" t="s">
        <v>266</v>
      </c>
    </row>
    <row r="5" spans="1:20" ht="15" customHeight="1" x14ac:dyDescent="0.25">
      <c r="A5" s="50" t="s">
        <v>2172</v>
      </c>
      <c r="B5" s="50" t="s">
        <v>2095</v>
      </c>
      <c r="C5" s="50" t="s">
        <v>2173</v>
      </c>
      <c r="D5" s="51">
        <v>835.27</v>
      </c>
      <c r="E5" s="51">
        <v>748.94</v>
      </c>
      <c r="F5" s="50">
        <f t="shared" si="0"/>
        <v>86.33</v>
      </c>
      <c r="G5" s="50">
        <f t="shared" si="3"/>
        <v>1459.12</v>
      </c>
      <c r="H5" s="52">
        <f t="shared" si="1"/>
        <v>138.41</v>
      </c>
      <c r="I5" s="52">
        <f t="shared" si="2"/>
        <v>126.92</v>
      </c>
      <c r="J5" s="52">
        <v>21.58</v>
      </c>
      <c r="K5" s="52">
        <v>4.17</v>
      </c>
      <c r="L5" s="51">
        <v>5733.27</v>
      </c>
      <c r="M5" s="51">
        <v>4928.91</v>
      </c>
      <c r="N5" s="51">
        <v>804.36</v>
      </c>
      <c r="O5" s="51">
        <v>4142.22</v>
      </c>
      <c r="P5" s="50" t="s">
        <v>2167</v>
      </c>
      <c r="Q5" s="51">
        <v>7755.96</v>
      </c>
      <c r="R5" s="51">
        <v>9844.17</v>
      </c>
      <c r="S5" s="50" t="s">
        <v>590</v>
      </c>
      <c r="T5" s="53" t="s">
        <v>266</v>
      </c>
    </row>
    <row r="6" spans="1:20" ht="15" customHeight="1" x14ac:dyDescent="0.25">
      <c r="A6" s="50" t="s">
        <v>2174</v>
      </c>
      <c r="B6" s="50" t="s">
        <v>2175</v>
      </c>
      <c r="C6" s="50" t="s">
        <v>2176</v>
      </c>
      <c r="D6" s="51">
        <v>677.89</v>
      </c>
      <c r="E6" s="51">
        <v>5878.96</v>
      </c>
      <c r="F6" s="50">
        <f t="shared" si="0"/>
        <v>-5201.07</v>
      </c>
      <c r="G6" s="50">
        <f t="shared" si="3"/>
        <v>-3741.95</v>
      </c>
      <c r="H6" s="52">
        <f t="shared" si="1"/>
        <v>146.96</v>
      </c>
      <c r="I6" s="52">
        <f t="shared" si="2"/>
        <v>127.27</v>
      </c>
      <c r="J6" s="52">
        <v>19.55</v>
      </c>
      <c r="K6" s="52">
        <v>4.55</v>
      </c>
      <c r="L6" s="51">
        <v>3633.88</v>
      </c>
      <c r="M6" s="51">
        <v>2711.13</v>
      </c>
      <c r="N6" s="51">
        <v>922.75</v>
      </c>
      <c r="O6" s="51">
        <v>2472.63</v>
      </c>
      <c r="P6" s="50" t="s">
        <v>2167</v>
      </c>
      <c r="Q6" s="51">
        <v>13065.92</v>
      </c>
      <c r="R6" s="51">
        <v>16629.25</v>
      </c>
      <c r="S6" s="50" t="s">
        <v>590</v>
      </c>
      <c r="T6" s="53" t="s">
        <v>266</v>
      </c>
    </row>
    <row r="7" spans="1:20" ht="15" customHeight="1" x14ac:dyDescent="0.25">
      <c r="A7" s="46" t="s">
        <v>2177</v>
      </c>
      <c r="B7" s="46" t="s">
        <v>860</v>
      </c>
      <c r="C7" s="46" t="s">
        <v>2178</v>
      </c>
      <c r="D7" s="47">
        <v>2158.5100000000002</v>
      </c>
      <c r="E7" s="47">
        <v>3475.73</v>
      </c>
      <c r="F7" s="46">
        <f t="shared" si="0"/>
        <v>-1317.22</v>
      </c>
      <c r="G7" s="46">
        <f t="shared" si="3"/>
        <v>-5059.17</v>
      </c>
      <c r="H7" s="48">
        <f t="shared" si="1"/>
        <v>105.94</v>
      </c>
      <c r="I7" s="48">
        <f t="shared" si="2"/>
        <v>127.24</v>
      </c>
      <c r="J7" s="48">
        <v>18.91</v>
      </c>
      <c r="K7" s="48">
        <v>4.1399999999999997</v>
      </c>
      <c r="L7" s="47">
        <v>3754.22</v>
      </c>
      <c r="M7" s="47">
        <v>3117.58</v>
      </c>
      <c r="N7" s="47">
        <v>636.64</v>
      </c>
      <c r="O7" s="47">
        <v>3543.59</v>
      </c>
      <c r="P7" s="46" t="s">
        <v>2171</v>
      </c>
      <c r="Q7" s="47">
        <v>8168.07</v>
      </c>
      <c r="R7" s="47">
        <v>10393.33</v>
      </c>
      <c r="S7" s="46" t="s">
        <v>579</v>
      </c>
      <c r="T7" s="49" t="s">
        <v>321</v>
      </c>
    </row>
    <row r="8" spans="1:20" ht="15" customHeight="1" x14ac:dyDescent="0.25">
      <c r="A8" s="46" t="s">
        <v>2179</v>
      </c>
      <c r="B8" s="46" t="s">
        <v>1590</v>
      </c>
      <c r="C8" s="46" t="s">
        <v>2178</v>
      </c>
      <c r="D8" s="47">
        <v>3354.86</v>
      </c>
      <c r="E8" s="47">
        <v>5303.92</v>
      </c>
      <c r="F8" s="46">
        <f t="shared" si="0"/>
        <v>-1949.06</v>
      </c>
      <c r="G8" s="46">
        <f t="shared" si="3"/>
        <v>-7008.23</v>
      </c>
      <c r="H8" s="48">
        <f t="shared" si="1"/>
        <v>115.54</v>
      </c>
      <c r="I8" s="48">
        <f t="shared" si="2"/>
        <v>117.7</v>
      </c>
      <c r="J8" s="48">
        <v>24.34</v>
      </c>
      <c r="K8" s="48">
        <v>4.93</v>
      </c>
      <c r="L8" s="47">
        <v>4995.24</v>
      </c>
      <c r="M8" s="47">
        <v>3938.03</v>
      </c>
      <c r="N8" s="47">
        <v>1057.21</v>
      </c>
      <c r="O8" s="47">
        <v>4323.25</v>
      </c>
      <c r="P8" s="46" t="s">
        <v>2180</v>
      </c>
      <c r="Q8" s="47">
        <v>7712.04</v>
      </c>
      <c r="R8" s="47">
        <v>9077.26</v>
      </c>
      <c r="S8" s="46" t="s">
        <v>579</v>
      </c>
      <c r="T8" s="49" t="s">
        <v>321</v>
      </c>
    </row>
    <row r="9" spans="1:20" ht="15" customHeight="1" x14ac:dyDescent="0.25">
      <c r="A9" s="50" t="s">
        <v>2181</v>
      </c>
      <c r="B9" s="50" t="s">
        <v>1364</v>
      </c>
      <c r="C9" s="50" t="s">
        <v>2176</v>
      </c>
      <c r="D9" s="51">
        <v>5518.81</v>
      </c>
      <c r="E9" s="51">
        <v>3871.24</v>
      </c>
      <c r="F9" s="50">
        <f t="shared" si="0"/>
        <v>1647.57</v>
      </c>
      <c r="G9" s="50">
        <f t="shared" si="3"/>
        <v>-5360.66</v>
      </c>
      <c r="H9" s="52">
        <f t="shared" si="1"/>
        <v>140.69</v>
      </c>
      <c r="I9" s="52">
        <f t="shared" si="2"/>
        <v>126.94</v>
      </c>
      <c r="J9" s="52">
        <v>22.06</v>
      </c>
      <c r="K9" s="52">
        <v>4.42</v>
      </c>
      <c r="L9" s="51">
        <v>4852.59</v>
      </c>
      <c r="M9" s="51">
        <v>3717.02</v>
      </c>
      <c r="N9" s="51">
        <v>1135.57</v>
      </c>
      <c r="O9" s="51">
        <v>3449.06</v>
      </c>
      <c r="P9" s="50" t="s">
        <v>2171</v>
      </c>
      <c r="Q9" s="51">
        <v>17834.96</v>
      </c>
      <c r="R9" s="51">
        <v>22639.48</v>
      </c>
      <c r="S9" s="50" t="s">
        <v>590</v>
      </c>
      <c r="T9" s="53" t="s">
        <v>266</v>
      </c>
    </row>
    <row r="10" spans="1:20" ht="15" customHeight="1" x14ac:dyDescent="0.25">
      <c r="A10" s="46" t="s">
        <v>2182</v>
      </c>
      <c r="B10" s="46" t="s">
        <v>2183</v>
      </c>
      <c r="C10" s="46" t="s">
        <v>2173</v>
      </c>
      <c r="D10" s="47">
        <v>1727.36</v>
      </c>
      <c r="E10" s="47">
        <v>2623.81</v>
      </c>
      <c r="F10" s="46">
        <f t="shared" si="0"/>
        <v>-896.45</v>
      </c>
      <c r="G10" s="46">
        <f t="shared" si="3"/>
        <v>-6257.11</v>
      </c>
      <c r="H10" s="48">
        <f t="shared" si="1"/>
        <v>148.84</v>
      </c>
      <c r="I10" s="48">
        <f t="shared" si="2"/>
        <v>107.51</v>
      </c>
      <c r="J10" s="48">
        <v>21.09</v>
      </c>
      <c r="K10" s="48">
        <v>5.22</v>
      </c>
      <c r="L10" s="47">
        <v>10084.219999999999</v>
      </c>
      <c r="M10" s="47">
        <v>7603.4</v>
      </c>
      <c r="N10" s="47">
        <v>2480.8200000000002</v>
      </c>
      <c r="O10" s="47">
        <v>6775.14</v>
      </c>
      <c r="P10" s="46" t="s">
        <v>2167</v>
      </c>
      <c r="Q10" s="47">
        <v>10878.18</v>
      </c>
      <c r="R10" s="47">
        <v>11695.07</v>
      </c>
      <c r="S10" s="46" t="s">
        <v>579</v>
      </c>
      <c r="T10" s="49" t="s">
        <v>321</v>
      </c>
    </row>
    <row r="11" spans="1:20" ht="15" customHeight="1" x14ac:dyDescent="0.25">
      <c r="A11" s="54" t="s">
        <v>2184</v>
      </c>
      <c r="B11" s="54" t="s">
        <v>2005</v>
      </c>
      <c r="C11" s="54" t="s">
        <v>2185</v>
      </c>
      <c r="D11" s="55">
        <v>568.9</v>
      </c>
      <c r="E11" s="55">
        <v>4406.72</v>
      </c>
      <c r="F11" s="54">
        <f t="shared" si="0"/>
        <v>-3837.82</v>
      </c>
      <c r="G11" s="54">
        <f t="shared" si="3"/>
        <v>-10094.93</v>
      </c>
      <c r="H11" s="56">
        <f t="shared" si="1"/>
        <v>103.44</v>
      </c>
      <c r="I11" s="56">
        <f t="shared" si="2"/>
        <v>95.43</v>
      </c>
      <c r="J11" s="56">
        <v>24.82</v>
      </c>
      <c r="K11" s="56">
        <v>4.6100000000000003</v>
      </c>
      <c r="L11" s="55">
        <v>9020.67</v>
      </c>
      <c r="M11" s="55">
        <v>7625.1</v>
      </c>
      <c r="N11" s="55">
        <v>1395.57</v>
      </c>
      <c r="O11" s="55">
        <v>8720.2800000000007</v>
      </c>
      <c r="P11" s="54" t="s">
        <v>2171</v>
      </c>
      <c r="Q11" s="55">
        <v>15700.16</v>
      </c>
      <c r="R11" s="55">
        <v>14982.32</v>
      </c>
      <c r="S11" s="54" t="s">
        <v>622</v>
      </c>
      <c r="T11" s="57" t="s">
        <v>495</v>
      </c>
    </row>
    <row r="12" spans="1:20" ht="15" customHeight="1" x14ac:dyDescent="0.25">
      <c r="A12" s="50" t="s">
        <v>2186</v>
      </c>
      <c r="B12" s="50" t="s">
        <v>2187</v>
      </c>
      <c r="C12" s="50" t="s">
        <v>2188</v>
      </c>
      <c r="D12" s="51">
        <v>4094.5</v>
      </c>
      <c r="E12" s="51">
        <v>5601.4</v>
      </c>
      <c r="F12" s="50">
        <f t="shared" si="0"/>
        <v>-1506.9</v>
      </c>
      <c r="G12" s="50">
        <f t="shared" si="3"/>
        <v>-11601.83</v>
      </c>
      <c r="H12" s="52">
        <f t="shared" si="1"/>
        <v>141.11000000000001</v>
      </c>
      <c r="I12" s="52">
        <f t="shared" si="2"/>
        <v>119.65</v>
      </c>
      <c r="J12" s="52">
        <v>24.25</v>
      </c>
      <c r="K12" s="52">
        <v>4.5599999999999996</v>
      </c>
      <c r="L12" s="51">
        <v>2658.7</v>
      </c>
      <c r="M12" s="51">
        <v>2127.71</v>
      </c>
      <c r="N12" s="51">
        <v>530.99</v>
      </c>
      <c r="O12" s="51">
        <v>1884.17</v>
      </c>
      <c r="P12" s="50" t="s">
        <v>2189</v>
      </c>
      <c r="Q12" s="51">
        <v>10865.66</v>
      </c>
      <c r="R12" s="51">
        <v>13000.92</v>
      </c>
      <c r="S12" s="50" t="s">
        <v>590</v>
      </c>
      <c r="T12" s="53" t="s">
        <v>266</v>
      </c>
    </row>
    <row r="13" spans="1:20" ht="15" customHeight="1" x14ac:dyDescent="0.25">
      <c r="A13" s="50" t="s">
        <v>2190</v>
      </c>
      <c r="B13" s="50" t="s">
        <v>709</v>
      </c>
      <c r="C13" s="50" t="s">
        <v>2176</v>
      </c>
      <c r="D13" s="51">
        <v>4313.54</v>
      </c>
      <c r="E13" s="51">
        <v>4245.29</v>
      </c>
      <c r="F13" s="50">
        <f t="shared" si="0"/>
        <v>68.25</v>
      </c>
      <c r="G13" s="50">
        <f t="shared" si="3"/>
        <v>-11533.58</v>
      </c>
      <c r="H13" s="52">
        <f t="shared" si="1"/>
        <v>144.34</v>
      </c>
      <c r="I13" s="52">
        <f t="shared" si="2"/>
        <v>133.59</v>
      </c>
      <c r="J13" s="52">
        <v>26.58</v>
      </c>
      <c r="K13" s="52">
        <v>5.15</v>
      </c>
      <c r="L13" s="51">
        <v>7550.02</v>
      </c>
      <c r="M13" s="51">
        <v>6297.74</v>
      </c>
      <c r="N13" s="51">
        <v>1252.28</v>
      </c>
      <c r="O13" s="51">
        <v>5230.76</v>
      </c>
      <c r="P13" s="50" t="s">
        <v>2189</v>
      </c>
      <c r="Q13" s="51">
        <v>13288.48</v>
      </c>
      <c r="R13" s="51">
        <v>17751.53</v>
      </c>
      <c r="S13" s="50" t="s">
        <v>590</v>
      </c>
      <c r="T13" s="53" t="s">
        <v>266</v>
      </c>
    </row>
    <row r="14" spans="1:20" ht="15" customHeight="1" x14ac:dyDescent="0.25">
      <c r="A14" s="54" t="s">
        <v>2191</v>
      </c>
      <c r="B14" s="54" t="s">
        <v>2192</v>
      </c>
      <c r="C14" s="54" t="s">
        <v>2178</v>
      </c>
      <c r="D14" s="55">
        <v>5432.41</v>
      </c>
      <c r="E14" s="55">
        <v>1131.4000000000001</v>
      </c>
      <c r="F14" s="54">
        <f t="shared" si="0"/>
        <v>4301.01</v>
      </c>
      <c r="G14" s="54">
        <f t="shared" si="3"/>
        <v>-7232.57</v>
      </c>
      <c r="H14" s="56">
        <f t="shared" si="1"/>
        <v>121.2</v>
      </c>
      <c r="I14" s="56">
        <f t="shared" si="2"/>
        <v>99.53</v>
      </c>
      <c r="J14" s="56">
        <v>18.93</v>
      </c>
      <c r="K14" s="56">
        <v>4.49</v>
      </c>
      <c r="L14" s="55">
        <v>4348.8900000000003</v>
      </c>
      <c r="M14" s="55">
        <v>3695.95</v>
      </c>
      <c r="N14" s="55">
        <v>652.94000000000005</v>
      </c>
      <c r="O14" s="55">
        <v>3588.27</v>
      </c>
      <c r="P14" s="54" t="s">
        <v>2180</v>
      </c>
      <c r="Q14" s="55">
        <v>10479.4</v>
      </c>
      <c r="R14" s="55">
        <v>10430.08</v>
      </c>
      <c r="S14" s="54" t="s">
        <v>622</v>
      </c>
      <c r="T14" s="57" t="s">
        <v>495</v>
      </c>
    </row>
    <row r="15" spans="1:20" ht="15" customHeight="1" x14ac:dyDescent="0.25">
      <c r="A15" s="46" t="s">
        <v>2193</v>
      </c>
      <c r="B15" s="46" t="s">
        <v>1698</v>
      </c>
      <c r="C15" s="46" t="s">
        <v>2185</v>
      </c>
      <c r="D15" s="47">
        <v>1573.61</v>
      </c>
      <c r="E15" s="47">
        <v>3280.81</v>
      </c>
      <c r="F15" s="46">
        <f t="shared" si="0"/>
        <v>-1707.2</v>
      </c>
      <c r="G15" s="46">
        <f t="shared" si="3"/>
        <v>-8939.77</v>
      </c>
      <c r="H15" s="48">
        <f t="shared" si="1"/>
        <v>117.95</v>
      </c>
      <c r="I15" s="48">
        <f t="shared" si="2"/>
        <v>107.19</v>
      </c>
      <c r="J15" s="48">
        <v>21</v>
      </c>
      <c r="K15" s="48">
        <v>3.93</v>
      </c>
      <c r="L15" s="47">
        <v>7524.49</v>
      </c>
      <c r="M15" s="47">
        <v>6411.61</v>
      </c>
      <c r="N15" s="47">
        <v>1112.8800000000001</v>
      </c>
      <c r="O15" s="47">
        <v>6379.35</v>
      </c>
      <c r="P15" s="46" t="s">
        <v>2171</v>
      </c>
      <c r="Q15" s="47">
        <v>8609.56</v>
      </c>
      <c r="R15" s="47">
        <v>9228.83</v>
      </c>
      <c r="S15" s="46" t="s">
        <v>579</v>
      </c>
      <c r="T15" s="49" t="s">
        <v>321</v>
      </c>
    </row>
    <row r="16" spans="1:20" ht="15" customHeight="1" x14ac:dyDescent="0.25">
      <c r="A16" s="46" t="s">
        <v>2194</v>
      </c>
      <c r="B16" s="46" t="s">
        <v>1203</v>
      </c>
      <c r="C16" s="46" t="s">
        <v>2185</v>
      </c>
      <c r="D16" s="47">
        <v>3141.62</v>
      </c>
      <c r="E16" s="47">
        <v>5371.17</v>
      </c>
      <c r="F16" s="46">
        <f t="shared" si="0"/>
        <v>-2229.5500000000002</v>
      </c>
      <c r="G16" s="46">
        <f t="shared" si="3"/>
        <v>-11169.32</v>
      </c>
      <c r="H16" s="48">
        <f t="shared" si="1"/>
        <v>150.9</v>
      </c>
      <c r="I16" s="48">
        <f t="shared" si="2"/>
        <v>109.16</v>
      </c>
      <c r="J16" s="48">
        <v>18.989999999999998</v>
      </c>
      <c r="K16" s="48">
        <v>3.51</v>
      </c>
      <c r="L16" s="47">
        <v>10044.540000000001</v>
      </c>
      <c r="M16" s="47">
        <v>7560.82</v>
      </c>
      <c r="N16" s="47">
        <v>2483.7199999999998</v>
      </c>
      <c r="O16" s="47">
        <v>6656.37</v>
      </c>
      <c r="P16" s="46" t="s">
        <v>2171</v>
      </c>
      <c r="Q16" s="47">
        <v>9942.6200000000008</v>
      </c>
      <c r="R16" s="47">
        <v>10852.94</v>
      </c>
      <c r="S16" s="46" t="s">
        <v>579</v>
      </c>
      <c r="T16" s="49" t="s">
        <v>321</v>
      </c>
    </row>
    <row r="17" spans="1:20" ht="15" customHeight="1" x14ac:dyDescent="0.25">
      <c r="A17" s="50" t="s">
        <v>2195</v>
      </c>
      <c r="B17" s="50" t="s">
        <v>2196</v>
      </c>
      <c r="C17" s="50" t="s">
        <v>2170</v>
      </c>
      <c r="D17" s="51">
        <v>5352.16</v>
      </c>
      <c r="E17" s="51">
        <v>1198.33</v>
      </c>
      <c r="F17" s="50">
        <f t="shared" si="0"/>
        <v>4153.83</v>
      </c>
      <c r="G17" s="50">
        <f t="shared" si="3"/>
        <v>-7015.49</v>
      </c>
      <c r="H17" s="52">
        <f t="shared" si="1"/>
        <v>129.52000000000001</v>
      </c>
      <c r="I17" s="52">
        <f t="shared" si="2"/>
        <v>131.52000000000001</v>
      </c>
      <c r="J17" s="52">
        <v>19.22</v>
      </c>
      <c r="K17" s="52">
        <v>4.53</v>
      </c>
      <c r="L17" s="51">
        <v>4225.63</v>
      </c>
      <c r="M17" s="51">
        <v>3610.82</v>
      </c>
      <c r="N17" s="51">
        <v>614.80999999999995</v>
      </c>
      <c r="O17" s="51">
        <v>3262.46</v>
      </c>
      <c r="P17" s="50" t="s">
        <v>2180</v>
      </c>
      <c r="Q17" s="51">
        <v>10928.63</v>
      </c>
      <c r="R17" s="51">
        <v>14373.81</v>
      </c>
      <c r="S17" s="50" t="s">
        <v>590</v>
      </c>
      <c r="T17" s="53" t="s">
        <v>266</v>
      </c>
    </row>
    <row r="18" spans="1:20" ht="15" customHeight="1" x14ac:dyDescent="0.25">
      <c r="A18" s="50" t="s">
        <v>2197</v>
      </c>
      <c r="B18" s="50" t="s">
        <v>2198</v>
      </c>
      <c r="C18" s="50" t="s">
        <v>2166</v>
      </c>
      <c r="D18" s="51">
        <v>4639.74</v>
      </c>
      <c r="E18" s="51">
        <v>1575.8</v>
      </c>
      <c r="F18" s="50">
        <f t="shared" si="0"/>
        <v>3063.94</v>
      </c>
      <c r="G18" s="50">
        <f t="shared" si="3"/>
        <v>-3951.55</v>
      </c>
      <c r="H18" s="52">
        <f t="shared" si="1"/>
        <v>121.87</v>
      </c>
      <c r="I18" s="52">
        <f t="shared" si="2"/>
        <v>112.54</v>
      </c>
      <c r="J18" s="52">
        <v>26.08</v>
      </c>
      <c r="K18" s="52">
        <v>4.57</v>
      </c>
      <c r="L18" s="51">
        <v>5390.31</v>
      </c>
      <c r="M18" s="51">
        <v>4400.75</v>
      </c>
      <c r="N18" s="51">
        <v>989.56</v>
      </c>
      <c r="O18" s="51">
        <v>4423.01</v>
      </c>
      <c r="P18" s="50" t="s">
        <v>2167</v>
      </c>
      <c r="Q18" s="51">
        <v>7304.34</v>
      </c>
      <c r="R18" s="51">
        <v>8220.51</v>
      </c>
      <c r="S18" s="50" t="s">
        <v>590</v>
      </c>
      <c r="T18" s="53" t="s">
        <v>266</v>
      </c>
    </row>
    <row r="19" spans="1:20" ht="15" customHeight="1" x14ac:dyDescent="0.25">
      <c r="A19" s="50" t="s">
        <v>2199</v>
      </c>
      <c r="B19" s="50" t="s">
        <v>1856</v>
      </c>
      <c r="C19" s="50" t="s">
        <v>2200</v>
      </c>
      <c r="D19" s="51">
        <v>1054.82</v>
      </c>
      <c r="E19" s="51">
        <v>2187.0500000000002</v>
      </c>
      <c r="F19" s="50">
        <f t="shared" si="0"/>
        <v>-1132.23</v>
      </c>
      <c r="G19" s="50">
        <f t="shared" si="3"/>
        <v>-5083.78</v>
      </c>
      <c r="H19" s="52">
        <f t="shared" si="1"/>
        <v>152.22999999999999</v>
      </c>
      <c r="I19" s="52">
        <f t="shared" si="2"/>
        <v>111.84</v>
      </c>
      <c r="J19" s="52">
        <v>20.190000000000001</v>
      </c>
      <c r="K19" s="52">
        <v>3.88</v>
      </c>
      <c r="L19" s="51">
        <v>5071.8</v>
      </c>
      <c r="M19" s="51">
        <v>4150.93</v>
      </c>
      <c r="N19" s="51">
        <v>920.87</v>
      </c>
      <c r="O19" s="51">
        <v>3331.65</v>
      </c>
      <c r="P19" s="50" t="s">
        <v>2189</v>
      </c>
      <c r="Q19" s="51">
        <v>7604.16</v>
      </c>
      <c r="R19" s="51">
        <v>8504.66</v>
      </c>
      <c r="S19" s="50" t="s">
        <v>590</v>
      </c>
      <c r="T19" s="53" t="s">
        <v>266</v>
      </c>
    </row>
    <row r="20" spans="1:20" ht="15" customHeight="1" x14ac:dyDescent="0.25">
      <c r="A20" s="46" t="s">
        <v>2201</v>
      </c>
      <c r="B20" s="46" t="s">
        <v>2202</v>
      </c>
      <c r="C20" s="46" t="s">
        <v>2176</v>
      </c>
      <c r="D20" s="47">
        <v>1045.8399999999999</v>
      </c>
      <c r="E20" s="47">
        <v>1274.05</v>
      </c>
      <c r="F20" s="46">
        <f t="shared" si="0"/>
        <v>-228.21</v>
      </c>
      <c r="G20" s="46">
        <f t="shared" si="3"/>
        <v>-5311.99</v>
      </c>
      <c r="H20" s="48">
        <f t="shared" si="1"/>
        <v>115.95</v>
      </c>
      <c r="I20" s="48">
        <f t="shared" si="2"/>
        <v>125.58</v>
      </c>
      <c r="J20" s="48">
        <v>22.08</v>
      </c>
      <c r="K20" s="48">
        <v>4.5999999999999996</v>
      </c>
      <c r="L20" s="47">
        <v>5721.38</v>
      </c>
      <c r="M20" s="47">
        <v>4459.21</v>
      </c>
      <c r="N20" s="47">
        <v>1262.17</v>
      </c>
      <c r="O20" s="47">
        <v>4934.4399999999996</v>
      </c>
      <c r="P20" s="46" t="s">
        <v>2180</v>
      </c>
      <c r="Q20" s="47">
        <v>9898.65</v>
      </c>
      <c r="R20" s="47">
        <v>12430.3</v>
      </c>
      <c r="S20" s="46" t="s">
        <v>579</v>
      </c>
      <c r="T20" s="49" t="s">
        <v>321</v>
      </c>
    </row>
    <row r="21" spans="1:20" ht="15" customHeight="1" x14ac:dyDescent="0.25">
      <c r="A21" s="54" t="s">
        <v>2203</v>
      </c>
      <c r="B21" s="54" t="s">
        <v>2204</v>
      </c>
      <c r="C21" s="54" t="s">
        <v>2188</v>
      </c>
      <c r="D21" s="55">
        <v>3060.97</v>
      </c>
      <c r="E21" s="55">
        <v>5549.01</v>
      </c>
      <c r="F21" s="54">
        <f t="shared" si="0"/>
        <v>-2488.04</v>
      </c>
      <c r="G21" s="54">
        <f t="shared" si="3"/>
        <v>-7800.03</v>
      </c>
      <c r="H21" s="56">
        <f t="shared" si="1"/>
        <v>106.58</v>
      </c>
      <c r="I21" s="56">
        <f t="shared" si="2"/>
        <v>95.55</v>
      </c>
      <c r="J21" s="56">
        <v>19.420000000000002</v>
      </c>
      <c r="K21" s="56">
        <v>3.54</v>
      </c>
      <c r="L21" s="55">
        <v>8511.92</v>
      </c>
      <c r="M21" s="55">
        <v>6932.83</v>
      </c>
      <c r="N21" s="55">
        <v>1579.09</v>
      </c>
      <c r="O21" s="55">
        <v>7986.12</v>
      </c>
      <c r="P21" s="54" t="s">
        <v>2180</v>
      </c>
      <c r="Q21" s="55">
        <v>10129.450000000001</v>
      </c>
      <c r="R21" s="55">
        <v>9678.2800000000007</v>
      </c>
      <c r="S21" s="54" t="s">
        <v>622</v>
      </c>
      <c r="T21" s="57" t="s">
        <v>495</v>
      </c>
    </row>
    <row r="22" spans="1:20" ht="15" customHeight="1" x14ac:dyDescent="0.25">
      <c r="A22" s="46" t="s">
        <v>2205</v>
      </c>
      <c r="B22" s="46" t="s">
        <v>1409</v>
      </c>
      <c r="C22" s="46" t="s">
        <v>2206</v>
      </c>
      <c r="D22" s="47">
        <v>407.04</v>
      </c>
      <c r="E22" s="47">
        <v>4996.03</v>
      </c>
      <c r="F22" s="46">
        <f t="shared" si="0"/>
        <v>-4588.99</v>
      </c>
      <c r="G22" s="46">
        <f t="shared" si="3"/>
        <v>-12389.02</v>
      </c>
      <c r="H22" s="48">
        <f t="shared" si="1"/>
        <v>100.48</v>
      </c>
      <c r="I22" s="48">
        <f t="shared" si="2"/>
        <v>104.91</v>
      </c>
      <c r="J22" s="48">
        <v>22.58</v>
      </c>
      <c r="K22" s="48">
        <v>4.0599999999999996</v>
      </c>
      <c r="L22" s="47">
        <v>5232.18</v>
      </c>
      <c r="M22" s="47">
        <v>4121.72</v>
      </c>
      <c r="N22" s="47">
        <v>1110.46</v>
      </c>
      <c r="O22" s="47">
        <v>5207.1000000000004</v>
      </c>
      <c r="P22" s="46" t="s">
        <v>2189</v>
      </c>
      <c r="Q22" s="47">
        <v>15130.8</v>
      </c>
      <c r="R22" s="47">
        <v>15873.71</v>
      </c>
      <c r="S22" s="46" t="s">
        <v>579</v>
      </c>
      <c r="T22" s="49" t="s">
        <v>321</v>
      </c>
    </row>
    <row r="23" spans="1:20" ht="15" customHeight="1" x14ac:dyDescent="0.25">
      <c r="A23" s="50" t="s">
        <v>2207</v>
      </c>
      <c r="B23" s="50" t="s">
        <v>1073</v>
      </c>
      <c r="C23" s="50" t="s">
        <v>2178</v>
      </c>
      <c r="D23" s="51">
        <v>1202.48</v>
      </c>
      <c r="E23" s="51">
        <v>1758.72</v>
      </c>
      <c r="F23" s="50">
        <f t="shared" si="0"/>
        <v>-556.24</v>
      </c>
      <c r="G23" s="50">
        <f t="shared" si="3"/>
        <v>-12945.26</v>
      </c>
      <c r="H23" s="52">
        <f t="shared" si="1"/>
        <v>142.06</v>
      </c>
      <c r="I23" s="52">
        <f t="shared" si="2"/>
        <v>127.4</v>
      </c>
      <c r="J23" s="52">
        <v>24.16</v>
      </c>
      <c r="K23" s="52">
        <v>4.3600000000000003</v>
      </c>
      <c r="L23" s="51">
        <v>2383.9299999999998</v>
      </c>
      <c r="M23" s="51">
        <v>1982.14</v>
      </c>
      <c r="N23" s="51">
        <v>401.79</v>
      </c>
      <c r="O23" s="51">
        <v>1678.15</v>
      </c>
      <c r="P23" s="50" t="s">
        <v>2171</v>
      </c>
      <c r="Q23" s="51">
        <v>14477.53</v>
      </c>
      <c r="R23" s="51">
        <v>18444.099999999999</v>
      </c>
      <c r="S23" s="50" t="s">
        <v>590</v>
      </c>
      <c r="T23" s="53" t="s">
        <v>266</v>
      </c>
    </row>
    <row r="24" spans="1:20" ht="15" customHeight="1" x14ac:dyDescent="0.25">
      <c r="A24" s="46" t="s">
        <v>2208</v>
      </c>
      <c r="B24" s="46" t="s">
        <v>2209</v>
      </c>
      <c r="C24" s="46" t="s">
        <v>2178</v>
      </c>
      <c r="D24" s="47">
        <v>3705.49</v>
      </c>
      <c r="E24" s="47">
        <v>1213.1500000000001</v>
      </c>
      <c r="F24" s="46">
        <f t="shared" si="0"/>
        <v>2492.34</v>
      </c>
      <c r="G24" s="46">
        <f t="shared" si="3"/>
        <v>-10452.92</v>
      </c>
      <c r="H24" s="48">
        <f t="shared" si="1"/>
        <v>108.92</v>
      </c>
      <c r="I24" s="48">
        <f t="shared" si="2"/>
        <v>132.16</v>
      </c>
      <c r="J24" s="48">
        <v>19.52</v>
      </c>
      <c r="K24" s="48">
        <v>4.3</v>
      </c>
      <c r="L24" s="47">
        <v>8947.2199999999993</v>
      </c>
      <c r="M24" s="47">
        <v>7013.13</v>
      </c>
      <c r="N24" s="47">
        <v>1934.09</v>
      </c>
      <c r="O24" s="47">
        <v>8214.2199999999993</v>
      </c>
      <c r="P24" s="46" t="s">
        <v>2167</v>
      </c>
      <c r="Q24" s="47">
        <v>17884.79</v>
      </c>
      <c r="R24" s="47">
        <v>23637.24</v>
      </c>
      <c r="S24" s="46" t="s">
        <v>579</v>
      </c>
      <c r="T24" s="49" t="s">
        <v>321</v>
      </c>
    </row>
    <row r="25" spans="1:20" ht="15" customHeight="1" x14ac:dyDescent="0.25">
      <c r="A25" s="54" t="s">
        <v>2210</v>
      </c>
      <c r="B25" s="54" t="s">
        <v>1882</v>
      </c>
      <c r="C25" s="54" t="s">
        <v>2176</v>
      </c>
      <c r="D25" s="55">
        <v>3737.16</v>
      </c>
      <c r="E25" s="55">
        <v>636.52</v>
      </c>
      <c r="F25" s="54">
        <f t="shared" si="0"/>
        <v>3100.64</v>
      </c>
      <c r="G25" s="54">
        <f t="shared" si="3"/>
        <v>-7352.28</v>
      </c>
      <c r="H25" s="56">
        <f t="shared" si="1"/>
        <v>118.39</v>
      </c>
      <c r="I25" s="56">
        <f t="shared" si="2"/>
        <v>97.45</v>
      </c>
      <c r="J25" s="56">
        <v>23.88</v>
      </c>
      <c r="K25" s="56">
        <v>3.96</v>
      </c>
      <c r="L25" s="55">
        <v>1904.45</v>
      </c>
      <c r="M25" s="55">
        <v>1546.5</v>
      </c>
      <c r="N25" s="55">
        <v>357.95</v>
      </c>
      <c r="O25" s="55">
        <v>1608.67</v>
      </c>
      <c r="P25" s="54" t="s">
        <v>2167</v>
      </c>
      <c r="Q25" s="55">
        <v>11112.91</v>
      </c>
      <c r="R25" s="55">
        <v>10829.97</v>
      </c>
      <c r="S25" s="54" t="s">
        <v>622</v>
      </c>
      <c r="T25" s="57" t="s">
        <v>495</v>
      </c>
    </row>
    <row r="26" spans="1:20" ht="15" customHeight="1" x14ac:dyDescent="0.25">
      <c r="A26" s="54" t="s">
        <v>2211</v>
      </c>
      <c r="B26" s="54" t="s">
        <v>1882</v>
      </c>
      <c r="C26" s="54" t="s">
        <v>2185</v>
      </c>
      <c r="D26" s="55">
        <v>404.77</v>
      </c>
      <c r="E26" s="55">
        <v>749.32</v>
      </c>
      <c r="F26" s="54">
        <f t="shared" si="0"/>
        <v>-344.55</v>
      </c>
      <c r="G26" s="54">
        <f t="shared" si="3"/>
        <v>-7696.83</v>
      </c>
      <c r="H26" s="56">
        <f t="shared" si="1"/>
        <v>142.69</v>
      </c>
      <c r="I26" s="56">
        <f t="shared" si="2"/>
        <v>97.09</v>
      </c>
      <c r="J26" s="56">
        <v>20.6</v>
      </c>
      <c r="K26" s="56">
        <v>5.29</v>
      </c>
      <c r="L26" s="55">
        <v>4915.7700000000004</v>
      </c>
      <c r="M26" s="55">
        <v>3672.32</v>
      </c>
      <c r="N26" s="55">
        <v>1243.45</v>
      </c>
      <c r="O26" s="55">
        <v>3444.95</v>
      </c>
      <c r="P26" s="54" t="s">
        <v>2180</v>
      </c>
      <c r="Q26" s="55">
        <v>6490.67</v>
      </c>
      <c r="R26" s="55">
        <v>6301.48</v>
      </c>
      <c r="S26" s="54" t="s">
        <v>622</v>
      </c>
      <c r="T26" s="57" t="s">
        <v>495</v>
      </c>
    </row>
    <row r="27" spans="1:20" ht="15" customHeight="1" x14ac:dyDescent="0.25">
      <c r="A27" s="46" t="s">
        <v>2212</v>
      </c>
      <c r="B27" s="46" t="s">
        <v>595</v>
      </c>
      <c r="C27" s="46" t="s">
        <v>2170</v>
      </c>
      <c r="D27" s="47">
        <v>1350.67</v>
      </c>
      <c r="E27" s="47">
        <v>2885.14</v>
      </c>
      <c r="F27" s="46">
        <f t="shared" si="0"/>
        <v>-1534.47</v>
      </c>
      <c r="G27" s="46">
        <f t="shared" si="3"/>
        <v>-9231.2999999999993</v>
      </c>
      <c r="H27" s="48">
        <f t="shared" si="1"/>
        <v>111.09</v>
      </c>
      <c r="I27" s="48">
        <f t="shared" si="2"/>
        <v>121.76</v>
      </c>
      <c r="J27" s="48">
        <v>26.56</v>
      </c>
      <c r="K27" s="48">
        <v>4.2300000000000004</v>
      </c>
      <c r="L27" s="47">
        <v>8633.01</v>
      </c>
      <c r="M27" s="47">
        <v>7377.68</v>
      </c>
      <c r="N27" s="47">
        <v>1255.33</v>
      </c>
      <c r="O27" s="47">
        <v>7771.16</v>
      </c>
      <c r="P27" s="46" t="s">
        <v>2167</v>
      </c>
      <c r="Q27" s="47">
        <v>7338.34</v>
      </c>
      <c r="R27" s="47">
        <v>8935.01</v>
      </c>
      <c r="S27" s="46" t="s">
        <v>579</v>
      </c>
      <c r="T27" s="49" t="s">
        <v>321</v>
      </c>
    </row>
    <row r="28" spans="1:20" ht="15" customHeight="1" x14ac:dyDescent="0.25">
      <c r="A28" s="46" t="s">
        <v>2213</v>
      </c>
      <c r="B28" s="46" t="s">
        <v>2214</v>
      </c>
      <c r="C28" s="46" t="s">
        <v>2178</v>
      </c>
      <c r="D28" s="47">
        <v>4645.74</v>
      </c>
      <c r="E28" s="47">
        <v>868.82</v>
      </c>
      <c r="F28" s="46">
        <f t="shared" si="0"/>
        <v>3776.92</v>
      </c>
      <c r="G28" s="46">
        <f t="shared" si="3"/>
        <v>-5454.38</v>
      </c>
      <c r="H28" s="48">
        <f t="shared" si="1"/>
        <v>144.58000000000001</v>
      </c>
      <c r="I28" s="48">
        <f t="shared" si="2"/>
        <v>103.4</v>
      </c>
      <c r="J28" s="48">
        <v>23.51</v>
      </c>
      <c r="K28" s="48">
        <v>4.71</v>
      </c>
      <c r="L28" s="47">
        <v>4791.28</v>
      </c>
      <c r="M28" s="47">
        <v>3651.87</v>
      </c>
      <c r="N28" s="47">
        <v>1139.4100000000001</v>
      </c>
      <c r="O28" s="47">
        <v>3314.02</v>
      </c>
      <c r="P28" s="46" t="s">
        <v>2180</v>
      </c>
      <c r="Q28" s="47">
        <v>13802.98</v>
      </c>
      <c r="R28" s="47">
        <v>14272.47</v>
      </c>
      <c r="S28" s="46" t="s">
        <v>579</v>
      </c>
      <c r="T28" s="49" t="s">
        <v>321</v>
      </c>
    </row>
    <row r="29" spans="1:20" ht="15" customHeight="1" x14ac:dyDescent="0.25">
      <c r="A29" s="50" t="s">
        <v>2215</v>
      </c>
      <c r="B29" s="50" t="s">
        <v>2216</v>
      </c>
      <c r="C29" s="50" t="s">
        <v>2217</v>
      </c>
      <c r="D29" s="51">
        <v>5334.44</v>
      </c>
      <c r="E29" s="51">
        <v>869.86</v>
      </c>
      <c r="F29" s="50">
        <f t="shared" si="0"/>
        <v>4464.58</v>
      </c>
      <c r="G29" s="50">
        <f t="shared" si="3"/>
        <v>-989.8</v>
      </c>
      <c r="H29" s="52">
        <f t="shared" si="1"/>
        <v>135.19</v>
      </c>
      <c r="I29" s="52">
        <f t="shared" si="2"/>
        <v>112.83</v>
      </c>
      <c r="J29" s="52">
        <v>26.25</v>
      </c>
      <c r="K29" s="52">
        <v>4.8099999999999996</v>
      </c>
      <c r="L29" s="51">
        <v>7337.46</v>
      </c>
      <c r="M29" s="51">
        <v>6249.59</v>
      </c>
      <c r="N29" s="51">
        <v>1087.8699999999999</v>
      </c>
      <c r="O29" s="51">
        <v>5427.37</v>
      </c>
      <c r="P29" s="50" t="s">
        <v>2180</v>
      </c>
      <c r="Q29" s="51">
        <v>8315.1299999999992</v>
      </c>
      <c r="R29" s="51">
        <v>9382.0300000000007</v>
      </c>
      <c r="S29" s="50" t="s">
        <v>590</v>
      </c>
      <c r="T29" s="53" t="s">
        <v>266</v>
      </c>
    </row>
    <row r="30" spans="1:20" ht="15" customHeight="1" x14ac:dyDescent="0.25">
      <c r="A30" s="50" t="s">
        <v>2218</v>
      </c>
      <c r="B30" s="50" t="s">
        <v>1278</v>
      </c>
      <c r="C30" s="50" t="s">
        <v>2217</v>
      </c>
      <c r="D30" s="51">
        <v>5656.73</v>
      </c>
      <c r="E30" s="51">
        <v>3752.16</v>
      </c>
      <c r="F30" s="50">
        <f t="shared" si="0"/>
        <v>1904.57</v>
      </c>
      <c r="G30" s="50">
        <f t="shared" si="3"/>
        <v>914.77</v>
      </c>
      <c r="H30" s="52">
        <f t="shared" si="1"/>
        <v>145.66</v>
      </c>
      <c r="I30" s="52">
        <f t="shared" si="2"/>
        <v>117.02</v>
      </c>
      <c r="J30" s="52">
        <v>23.04</v>
      </c>
      <c r="K30" s="52">
        <v>3.81</v>
      </c>
      <c r="L30" s="51">
        <v>4045.78</v>
      </c>
      <c r="M30" s="51">
        <v>3250.04</v>
      </c>
      <c r="N30" s="51">
        <v>795.74</v>
      </c>
      <c r="O30" s="51">
        <v>2777.56</v>
      </c>
      <c r="P30" s="50" t="s">
        <v>2180</v>
      </c>
      <c r="Q30" s="51">
        <v>8300.48</v>
      </c>
      <c r="R30" s="51">
        <v>9713.2099999999991</v>
      </c>
      <c r="S30" s="50" t="s">
        <v>590</v>
      </c>
      <c r="T30" s="53" t="s">
        <v>266</v>
      </c>
    </row>
    <row r="31" spans="1:20" ht="15" customHeight="1" x14ac:dyDescent="0.25">
      <c r="A31" s="46" t="s">
        <v>2219</v>
      </c>
      <c r="B31" s="46" t="s">
        <v>1704</v>
      </c>
      <c r="C31" s="46" t="s">
        <v>2178</v>
      </c>
      <c r="D31" s="47">
        <v>5853.24</v>
      </c>
      <c r="E31" s="47">
        <v>5379.99</v>
      </c>
      <c r="F31" s="46">
        <f t="shared" si="0"/>
        <v>473.25</v>
      </c>
      <c r="G31" s="46">
        <f t="shared" si="3"/>
        <v>1388.02</v>
      </c>
      <c r="H31" s="48">
        <f t="shared" si="1"/>
        <v>154.65</v>
      </c>
      <c r="I31" s="48">
        <f t="shared" si="2"/>
        <v>105.97</v>
      </c>
      <c r="J31" s="48">
        <v>19.079999999999998</v>
      </c>
      <c r="K31" s="48">
        <v>4.34</v>
      </c>
      <c r="L31" s="47">
        <v>5496.81</v>
      </c>
      <c r="M31" s="47">
        <v>4249.68</v>
      </c>
      <c r="N31" s="47">
        <v>1247.1300000000001</v>
      </c>
      <c r="O31" s="47">
        <v>3554.33</v>
      </c>
      <c r="P31" s="46" t="s">
        <v>2189</v>
      </c>
      <c r="Q31" s="47">
        <v>8003.22</v>
      </c>
      <c r="R31" s="47">
        <v>8480.69</v>
      </c>
      <c r="S31" s="46" t="s">
        <v>579</v>
      </c>
      <c r="T31" s="49" t="s">
        <v>321</v>
      </c>
    </row>
    <row r="32" spans="1:20" ht="15" customHeight="1" x14ac:dyDescent="0.25">
      <c r="A32" s="46" t="s">
        <v>2220</v>
      </c>
      <c r="B32" s="46" t="s">
        <v>2221</v>
      </c>
      <c r="C32" s="46" t="s">
        <v>2166</v>
      </c>
      <c r="D32" s="47">
        <v>1808.97</v>
      </c>
      <c r="E32" s="47">
        <v>5739.24</v>
      </c>
      <c r="F32" s="46">
        <f t="shared" si="0"/>
        <v>-3930.27</v>
      </c>
      <c r="G32" s="46">
        <f t="shared" si="3"/>
        <v>-2542.25</v>
      </c>
      <c r="H32" s="48">
        <f t="shared" si="1"/>
        <v>111.41</v>
      </c>
      <c r="I32" s="48">
        <f t="shared" si="2"/>
        <v>125.03</v>
      </c>
      <c r="J32" s="48">
        <v>25.42</v>
      </c>
      <c r="K32" s="48">
        <v>4.49</v>
      </c>
      <c r="L32" s="47">
        <v>2169.21</v>
      </c>
      <c r="M32" s="47">
        <v>1613.4</v>
      </c>
      <c r="N32" s="47">
        <v>555.80999999999995</v>
      </c>
      <c r="O32" s="47">
        <v>1947.03</v>
      </c>
      <c r="P32" s="46" t="s">
        <v>2189</v>
      </c>
      <c r="Q32" s="47">
        <v>7986.22</v>
      </c>
      <c r="R32" s="47">
        <v>9985.1</v>
      </c>
      <c r="S32" s="46" t="s">
        <v>579</v>
      </c>
      <c r="T32" s="49" t="s">
        <v>321</v>
      </c>
    </row>
    <row r="33" spans="1:20" ht="15" customHeight="1" x14ac:dyDescent="0.25">
      <c r="A33" s="46" t="s">
        <v>2222</v>
      </c>
      <c r="B33" s="46" t="s">
        <v>2216</v>
      </c>
      <c r="C33" s="46" t="s">
        <v>2178</v>
      </c>
      <c r="D33" s="47">
        <v>4698.3</v>
      </c>
      <c r="E33" s="47">
        <v>2465.0100000000002</v>
      </c>
      <c r="F33" s="46">
        <f t="shared" si="0"/>
        <v>2233.29</v>
      </c>
      <c r="G33" s="46">
        <f t="shared" si="3"/>
        <v>-308.95999999999998</v>
      </c>
      <c r="H33" s="48">
        <f t="shared" si="1"/>
        <v>109.6</v>
      </c>
      <c r="I33" s="48">
        <f t="shared" si="2"/>
        <v>123.82</v>
      </c>
      <c r="J33" s="48">
        <v>20.350000000000001</v>
      </c>
      <c r="K33" s="48">
        <v>4.8899999999999997</v>
      </c>
      <c r="L33" s="47">
        <v>3615.22</v>
      </c>
      <c r="M33" s="47">
        <v>3046.16</v>
      </c>
      <c r="N33" s="47">
        <v>569.05999999999995</v>
      </c>
      <c r="O33" s="47">
        <v>3298.55</v>
      </c>
      <c r="P33" s="46" t="s">
        <v>2171</v>
      </c>
      <c r="Q33" s="47">
        <v>12045.81</v>
      </c>
      <c r="R33" s="47">
        <v>14915.5</v>
      </c>
      <c r="S33" s="46" t="s">
        <v>579</v>
      </c>
      <c r="T33" s="49" t="s">
        <v>321</v>
      </c>
    </row>
    <row r="34" spans="1:20" ht="15" customHeight="1" x14ac:dyDescent="0.25">
      <c r="A34" s="46" t="s">
        <v>2223</v>
      </c>
      <c r="B34" s="46" t="s">
        <v>957</v>
      </c>
      <c r="C34" s="46" t="s">
        <v>2173</v>
      </c>
      <c r="D34" s="47">
        <v>5129.6000000000004</v>
      </c>
      <c r="E34" s="47">
        <v>1848.55</v>
      </c>
      <c r="F34" s="46">
        <f t="shared" si="0"/>
        <v>3281.05</v>
      </c>
      <c r="G34" s="46">
        <f t="shared" si="3"/>
        <v>2972.09</v>
      </c>
      <c r="H34" s="48">
        <f t="shared" si="1"/>
        <v>113.44</v>
      </c>
      <c r="I34" s="48">
        <f t="shared" si="2"/>
        <v>106.11</v>
      </c>
      <c r="J34" s="48">
        <v>23.04</v>
      </c>
      <c r="K34" s="48">
        <v>4.08</v>
      </c>
      <c r="L34" s="47">
        <v>3551.86</v>
      </c>
      <c r="M34" s="47">
        <v>3025.9</v>
      </c>
      <c r="N34" s="47">
        <v>525.96</v>
      </c>
      <c r="O34" s="47">
        <v>3131.16</v>
      </c>
      <c r="P34" s="46" t="s">
        <v>2180</v>
      </c>
      <c r="Q34" s="47">
        <v>17304.55</v>
      </c>
      <c r="R34" s="47">
        <v>18361.900000000001</v>
      </c>
      <c r="S34" s="46" t="s">
        <v>579</v>
      </c>
      <c r="T34" s="49" t="s">
        <v>321</v>
      </c>
    </row>
    <row r="35" spans="1:20" ht="15" customHeight="1" x14ac:dyDescent="0.25">
      <c r="A35" s="46" t="s">
        <v>2224</v>
      </c>
      <c r="B35" s="46" t="s">
        <v>1615</v>
      </c>
      <c r="C35" s="46" t="s">
        <v>2173</v>
      </c>
      <c r="D35" s="47">
        <v>5252.96</v>
      </c>
      <c r="E35" s="47">
        <v>403.97</v>
      </c>
      <c r="F35" s="46">
        <f t="shared" ref="F35:F66" si="4">ROUND(D35-E35,2)</f>
        <v>4848.99</v>
      </c>
      <c r="G35" s="46">
        <f t="shared" si="3"/>
        <v>7821.08</v>
      </c>
      <c r="H35" s="48">
        <f t="shared" ref="H35:H66" si="5">ROUND(L35/O35*100,2)</f>
        <v>112.6</v>
      </c>
      <c r="I35" s="48">
        <f t="shared" ref="I35:I66" si="6">ROUND(R35/Q35*100,2)</f>
        <v>132.86000000000001</v>
      </c>
      <c r="J35" s="48">
        <v>19.489999999999998</v>
      </c>
      <c r="K35" s="48">
        <v>4.8</v>
      </c>
      <c r="L35" s="47">
        <v>10600.16</v>
      </c>
      <c r="M35" s="47">
        <v>7864.16</v>
      </c>
      <c r="N35" s="47">
        <v>2736</v>
      </c>
      <c r="O35" s="47">
        <v>9414.1299999999992</v>
      </c>
      <c r="P35" s="46" t="s">
        <v>2167</v>
      </c>
      <c r="Q35" s="47">
        <v>9894.74</v>
      </c>
      <c r="R35" s="47">
        <v>13145.87</v>
      </c>
      <c r="S35" s="46" t="s">
        <v>579</v>
      </c>
      <c r="T35" s="49" t="s">
        <v>321</v>
      </c>
    </row>
    <row r="36" spans="1:20" ht="15" customHeight="1" x14ac:dyDescent="0.25">
      <c r="A36" s="50" t="s">
        <v>2225</v>
      </c>
      <c r="B36" s="50" t="s">
        <v>1892</v>
      </c>
      <c r="C36" s="50" t="s">
        <v>2178</v>
      </c>
      <c r="D36" s="51">
        <v>1657.83</v>
      </c>
      <c r="E36" s="51">
        <v>888.31</v>
      </c>
      <c r="F36" s="50">
        <f t="shared" si="4"/>
        <v>769.52</v>
      </c>
      <c r="G36" s="50">
        <f t="shared" ref="G36:G67" si="7">ROUND(G35+F36,2)</f>
        <v>8590.6</v>
      </c>
      <c r="H36" s="52">
        <f t="shared" si="5"/>
        <v>159.12</v>
      </c>
      <c r="I36" s="52">
        <f t="shared" si="6"/>
        <v>133.61000000000001</v>
      </c>
      <c r="J36" s="52">
        <v>23.82</v>
      </c>
      <c r="K36" s="52">
        <v>3.52</v>
      </c>
      <c r="L36" s="51">
        <v>8836.0400000000009</v>
      </c>
      <c r="M36" s="51">
        <v>7308.68</v>
      </c>
      <c r="N36" s="51">
        <v>1527.36</v>
      </c>
      <c r="O36" s="51">
        <v>5553.22</v>
      </c>
      <c r="P36" s="50" t="s">
        <v>2167</v>
      </c>
      <c r="Q36" s="51">
        <v>8631.36</v>
      </c>
      <c r="R36" s="51">
        <v>11532.28</v>
      </c>
      <c r="S36" s="50" t="s">
        <v>590</v>
      </c>
      <c r="T36" s="53" t="s">
        <v>266</v>
      </c>
    </row>
    <row r="37" spans="1:20" ht="15" customHeight="1" x14ac:dyDescent="0.25">
      <c r="A37" s="46" t="s">
        <v>2226</v>
      </c>
      <c r="B37" s="46" t="s">
        <v>749</v>
      </c>
      <c r="C37" s="46" t="s">
        <v>2173</v>
      </c>
      <c r="D37" s="47">
        <v>5832.47</v>
      </c>
      <c r="E37" s="47">
        <v>3270.59</v>
      </c>
      <c r="F37" s="46">
        <f t="shared" si="4"/>
        <v>2561.88</v>
      </c>
      <c r="G37" s="46">
        <f t="shared" si="7"/>
        <v>11152.48</v>
      </c>
      <c r="H37" s="48">
        <f t="shared" si="5"/>
        <v>146.83000000000001</v>
      </c>
      <c r="I37" s="48">
        <f t="shared" si="6"/>
        <v>105.29</v>
      </c>
      <c r="J37" s="48">
        <v>19.399999999999999</v>
      </c>
      <c r="K37" s="48">
        <v>4.99</v>
      </c>
      <c r="L37" s="47">
        <v>10256.540000000001</v>
      </c>
      <c r="M37" s="47">
        <v>7855.58</v>
      </c>
      <c r="N37" s="47">
        <v>2400.96</v>
      </c>
      <c r="O37" s="47">
        <v>6985.28</v>
      </c>
      <c r="P37" s="46" t="s">
        <v>2171</v>
      </c>
      <c r="Q37" s="47">
        <v>17347.88</v>
      </c>
      <c r="R37" s="47">
        <v>18266.240000000002</v>
      </c>
      <c r="S37" s="46" t="s">
        <v>579</v>
      </c>
      <c r="T37" s="49" t="s">
        <v>321</v>
      </c>
    </row>
    <row r="38" spans="1:20" ht="15" customHeight="1" x14ac:dyDescent="0.25">
      <c r="A38" s="46" t="s">
        <v>2227</v>
      </c>
      <c r="B38" s="46" t="s">
        <v>1509</v>
      </c>
      <c r="C38" s="46" t="s">
        <v>2185</v>
      </c>
      <c r="D38" s="47">
        <v>3665.62</v>
      </c>
      <c r="E38" s="47">
        <v>1316.34</v>
      </c>
      <c r="F38" s="46">
        <f t="shared" si="4"/>
        <v>2349.2800000000002</v>
      </c>
      <c r="G38" s="46">
        <f t="shared" si="7"/>
        <v>13501.76</v>
      </c>
      <c r="H38" s="48">
        <f t="shared" si="5"/>
        <v>112.24</v>
      </c>
      <c r="I38" s="48">
        <f t="shared" si="6"/>
        <v>104.27</v>
      </c>
      <c r="J38" s="48">
        <v>23.85</v>
      </c>
      <c r="K38" s="48">
        <v>5.22</v>
      </c>
      <c r="L38" s="47">
        <v>5110.71</v>
      </c>
      <c r="M38" s="47">
        <v>4206.8599999999997</v>
      </c>
      <c r="N38" s="47">
        <v>903.85</v>
      </c>
      <c r="O38" s="47">
        <v>4553.57</v>
      </c>
      <c r="P38" s="46" t="s">
        <v>2171</v>
      </c>
      <c r="Q38" s="47">
        <v>7867.7</v>
      </c>
      <c r="R38" s="47">
        <v>8203.57</v>
      </c>
      <c r="S38" s="46" t="s">
        <v>579</v>
      </c>
      <c r="T38" s="49" t="s">
        <v>321</v>
      </c>
    </row>
    <row r="39" spans="1:20" ht="15" customHeight="1" x14ac:dyDescent="0.25">
      <c r="A39" s="46" t="s">
        <v>2228</v>
      </c>
      <c r="B39" s="46" t="s">
        <v>2229</v>
      </c>
      <c r="C39" s="46" t="s">
        <v>2188</v>
      </c>
      <c r="D39" s="47">
        <v>2274.98</v>
      </c>
      <c r="E39" s="47">
        <v>5422.79</v>
      </c>
      <c r="F39" s="46">
        <f t="shared" si="4"/>
        <v>-3147.81</v>
      </c>
      <c r="G39" s="46">
        <f t="shared" si="7"/>
        <v>10353.950000000001</v>
      </c>
      <c r="H39" s="48">
        <f t="shared" si="5"/>
        <v>111.1</v>
      </c>
      <c r="I39" s="48">
        <f t="shared" si="6"/>
        <v>102.22</v>
      </c>
      <c r="J39" s="48">
        <v>25.83</v>
      </c>
      <c r="K39" s="48">
        <v>3.88</v>
      </c>
      <c r="L39" s="47">
        <v>2179.36</v>
      </c>
      <c r="M39" s="47">
        <v>1837.1</v>
      </c>
      <c r="N39" s="47">
        <v>342.26</v>
      </c>
      <c r="O39" s="47">
        <v>1961.59</v>
      </c>
      <c r="P39" s="46" t="s">
        <v>2171</v>
      </c>
      <c r="Q39" s="47">
        <v>17320.259999999998</v>
      </c>
      <c r="R39" s="47">
        <v>17704.12</v>
      </c>
      <c r="S39" s="46" t="s">
        <v>579</v>
      </c>
      <c r="T39" s="49" t="s">
        <v>321</v>
      </c>
    </row>
    <row r="40" spans="1:20" ht="15" customHeight="1" x14ac:dyDescent="0.25">
      <c r="A40" s="46" t="s">
        <v>2230</v>
      </c>
      <c r="B40" s="46" t="s">
        <v>1592</v>
      </c>
      <c r="C40" s="46" t="s">
        <v>2176</v>
      </c>
      <c r="D40" s="47">
        <v>1929.95</v>
      </c>
      <c r="E40" s="47">
        <v>5322.99</v>
      </c>
      <c r="F40" s="46">
        <f t="shared" si="4"/>
        <v>-3393.04</v>
      </c>
      <c r="G40" s="46">
        <f t="shared" si="7"/>
        <v>6960.91</v>
      </c>
      <c r="H40" s="48">
        <f t="shared" si="5"/>
        <v>111.27</v>
      </c>
      <c r="I40" s="48">
        <f t="shared" si="6"/>
        <v>133.82</v>
      </c>
      <c r="J40" s="48">
        <v>19.72</v>
      </c>
      <c r="K40" s="48">
        <v>4.3499999999999996</v>
      </c>
      <c r="L40" s="47">
        <v>8702.02</v>
      </c>
      <c r="M40" s="47">
        <v>6758.99</v>
      </c>
      <c r="N40" s="47">
        <v>1943.03</v>
      </c>
      <c r="O40" s="47">
        <v>7820.57</v>
      </c>
      <c r="P40" s="46" t="s">
        <v>2171</v>
      </c>
      <c r="Q40" s="47">
        <v>16909.57</v>
      </c>
      <c r="R40" s="47">
        <v>22627.61</v>
      </c>
      <c r="S40" s="46" t="s">
        <v>579</v>
      </c>
      <c r="T40" s="49" t="s">
        <v>321</v>
      </c>
    </row>
    <row r="41" spans="1:20" ht="15" customHeight="1" x14ac:dyDescent="0.25">
      <c r="A41" s="50" t="s">
        <v>2231</v>
      </c>
      <c r="B41" s="50" t="s">
        <v>1059</v>
      </c>
      <c r="C41" s="50" t="s">
        <v>2178</v>
      </c>
      <c r="D41" s="51">
        <v>910.02</v>
      </c>
      <c r="E41" s="51">
        <v>4527.62</v>
      </c>
      <c r="F41" s="50">
        <f t="shared" si="4"/>
        <v>-3617.6</v>
      </c>
      <c r="G41" s="50">
        <f t="shared" si="7"/>
        <v>3343.31</v>
      </c>
      <c r="H41" s="52">
        <f t="shared" si="5"/>
        <v>123.04</v>
      </c>
      <c r="I41" s="52">
        <f t="shared" si="6"/>
        <v>125.8</v>
      </c>
      <c r="J41" s="52">
        <v>19.440000000000001</v>
      </c>
      <c r="K41" s="52">
        <v>3.53</v>
      </c>
      <c r="L41" s="51">
        <v>1497.72</v>
      </c>
      <c r="M41" s="51">
        <v>1280.1600000000001</v>
      </c>
      <c r="N41" s="51">
        <v>217.56</v>
      </c>
      <c r="O41" s="51">
        <v>1217.27</v>
      </c>
      <c r="P41" s="50" t="s">
        <v>2189</v>
      </c>
      <c r="Q41" s="51">
        <v>7586.15</v>
      </c>
      <c r="R41" s="51">
        <v>9543.73</v>
      </c>
      <c r="S41" s="50" t="s">
        <v>590</v>
      </c>
      <c r="T41" s="53" t="s">
        <v>266</v>
      </c>
    </row>
    <row r="42" spans="1:20" ht="15" customHeight="1" x14ac:dyDescent="0.25">
      <c r="A42" s="50" t="s">
        <v>2232</v>
      </c>
      <c r="B42" s="50" t="s">
        <v>1393</v>
      </c>
      <c r="C42" s="50" t="s">
        <v>2166</v>
      </c>
      <c r="D42" s="51">
        <v>5637.73</v>
      </c>
      <c r="E42" s="51">
        <v>3637.86</v>
      </c>
      <c r="F42" s="50">
        <f t="shared" si="4"/>
        <v>1999.87</v>
      </c>
      <c r="G42" s="50">
        <f t="shared" si="7"/>
        <v>5343.18</v>
      </c>
      <c r="H42" s="52">
        <f t="shared" si="5"/>
        <v>147.5</v>
      </c>
      <c r="I42" s="52">
        <f t="shared" si="6"/>
        <v>114.22</v>
      </c>
      <c r="J42" s="52">
        <v>23.11</v>
      </c>
      <c r="K42" s="52">
        <v>5.14</v>
      </c>
      <c r="L42" s="51">
        <v>7588.95</v>
      </c>
      <c r="M42" s="51">
        <v>6588.32</v>
      </c>
      <c r="N42" s="51">
        <v>1000.63</v>
      </c>
      <c r="O42" s="51">
        <v>5145.0600000000004</v>
      </c>
      <c r="P42" s="50" t="s">
        <v>2189</v>
      </c>
      <c r="Q42" s="51">
        <v>8427.86</v>
      </c>
      <c r="R42" s="51">
        <v>9626.0499999999993</v>
      </c>
      <c r="S42" s="50" t="s">
        <v>590</v>
      </c>
      <c r="T42" s="53" t="s">
        <v>266</v>
      </c>
    </row>
    <row r="43" spans="1:20" ht="15" customHeight="1" x14ac:dyDescent="0.25">
      <c r="A43" s="54" t="s">
        <v>2233</v>
      </c>
      <c r="B43" s="54" t="s">
        <v>2234</v>
      </c>
      <c r="C43" s="54" t="s">
        <v>2200</v>
      </c>
      <c r="D43" s="55">
        <v>4911.24</v>
      </c>
      <c r="E43" s="55">
        <v>1913.57</v>
      </c>
      <c r="F43" s="54">
        <f t="shared" si="4"/>
        <v>2997.67</v>
      </c>
      <c r="G43" s="54">
        <f t="shared" si="7"/>
        <v>8340.85</v>
      </c>
      <c r="H43" s="56">
        <f t="shared" si="5"/>
        <v>132.61000000000001</v>
      </c>
      <c r="I43" s="56">
        <f t="shared" si="6"/>
        <v>99.11</v>
      </c>
      <c r="J43" s="56">
        <v>20.77</v>
      </c>
      <c r="K43" s="56">
        <v>4.59</v>
      </c>
      <c r="L43" s="55">
        <v>5342.38</v>
      </c>
      <c r="M43" s="55">
        <v>4456.58</v>
      </c>
      <c r="N43" s="55">
        <v>885.8</v>
      </c>
      <c r="O43" s="55">
        <v>4028.59</v>
      </c>
      <c r="P43" s="54" t="s">
        <v>2189</v>
      </c>
      <c r="Q43" s="55">
        <v>15899.1</v>
      </c>
      <c r="R43" s="55">
        <v>15758.01</v>
      </c>
      <c r="S43" s="54" t="s">
        <v>622</v>
      </c>
      <c r="T43" s="57" t="s">
        <v>495</v>
      </c>
    </row>
    <row r="44" spans="1:20" ht="15" customHeight="1" x14ac:dyDescent="0.25">
      <c r="A44" s="46" t="s">
        <v>2235</v>
      </c>
      <c r="B44" s="46" t="s">
        <v>2236</v>
      </c>
      <c r="C44" s="46" t="s">
        <v>2217</v>
      </c>
      <c r="D44" s="47">
        <v>3118.1</v>
      </c>
      <c r="E44" s="47">
        <v>5035.25</v>
      </c>
      <c r="F44" s="46">
        <f t="shared" si="4"/>
        <v>-1917.15</v>
      </c>
      <c r="G44" s="46">
        <f t="shared" si="7"/>
        <v>6423.7</v>
      </c>
      <c r="H44" s="48">
        <f t="shared" si="5"/>
        <v>101.44</v>
      </c>
      <c r="I44" s="48">
        <f t="shared" si="6"/>
        <v>130.16</v>
      </c>
      <c r="J44" s="48">
        <v>22.13</v>
      </c>
      <c r="K44" s="48">
        <v>3.79</v>
      </c>
      <c r="L44" s="47">
        <v>2884.03</v>
      </c>
      <c r="M44" s="47">
        <v>2164.48</v>
      </c>
      <c r="N44" s="47">
        <v>719.55</v>
      </c>
      <c r="O44" s="47">
        <v>2843.09</v>
      </c>
      <c r="P44" s="46" t="s">
        <v>2167</v>
      </c>
      <c r="Q44" s="47">
        <v>8710.61</v>
      </c>
      <c r="R44" s="47">
        <v>11337.7</v>
      </c>
      <c r="S44" s="46" t="s">
        <v>579</v>
      </c>
      <c r="T44" s="49" t="s">
        <v>321</v>
      </c>
    </row>
    <row r="45" spans="1:20" ht="15" customHeight="1" x14ac:dyDescent="0.25">
      <c r="A45" s="46" t="s">
        <v>2237</v>
      </c>
      <c r="B45" s="46" t="s">
        <v>2216</v>
      </c>
      <c r="C45" s="46" t="s">
        <v>2185</v>
      </c>
      <c r="D45" s="47">
        <v>5316.92</v>
      </c>
      <c r="E45" s="47">
        <v>4954.43</v>
      </c>
      <c r="F45" s="46">
        <f t="shared" si="4"/>
        <v>362.49</v>
      </c>
      <c r="G45" s="46">
        <f t="shared" si="7"/>
        <v>6786.19</v>
      </c>
      <c r="H45" s="48">
        <f t="shared" si="5"/>
        <v>106.61</v>
      </c>
      <c r="I45" s="48">
        <f t="shared" si="6"/>
        <v>108.35</v>
      </c>
      <c r="J45" s="48">
        <v>19.36</v>
      </c>
      <c r="K45" s="48">
        <v>5.41</v>
      </c>
      <c r="L45" s="47">
        <v>2325.65</v>
      </c>
      <c r="M45" s="47">
        <v>1964.38</v>
      </c>
      <c r="N45" s="47">
        <v>361.27</v>
      </c>
      <c r="O45" s="47">
        <v>2181.4899999999998</v>
      </c>
      <c r="P45" s="46" t="s">
        <v>2167</v>
      </c>
      <c r="Q45" s="47">
        <v>6915.48</v>
      </c>
      <c r="R45" s="47">
        <v>7492.85</v>
      </c>
      <c r="S45" s="46" t="s">
        <v>579</v>
      </c>
      <c r="T45" s="49" t="s">
        <v>321</v>
      </c>
    </row>
    <row r="46" spans="1:20" ht="15" customHeight="1" x14ac:dyDescent="0.25">
      <c r="A46" s="46" t="s">
        <v>2238</v>
      </c>
      <c r="B46" s="46" t="s">
        <v>2239</v>
      </c>
      <c r="C46" s="46" t="s">
        <v>2217</v>
      </c>
      <c r="D46" s="47">
        <v>5383.96</v>
      </c>
      <c r="E46" s="47">
        <v>3666.59</v>
      </c>
      <c r="F46" s="46">
        <f t="shared" si="4"/>
        <v>1717.37</v>
      </c>
      <c r="G46" s="46">
        <f t="shared" si="7"/>
        <v>8503.56</v>
      </c>
      <c r="H46" s="48">
        <f t="shared" si="5"/>
        <v>135.97999999999999</v>
      </c>
      <c r="I46" s="48">
        <f t="shared" si="6"/>
        <v>106.48</v>
      </c>
      <c r="J46" s="48">
        <v>24.28</v>
      </c>
      <c r="K46" s="48">
        <v>3.8</v>
      </c>
      <c r="L46" s="47">
        <v>3028.27</v>
      </c>
      <c r="M46" s="47">
        <v>2410.86</v>
      </c>
      <c r="N46" s="47">
        <v>617.41</v>
      </c>
      <c r="O46" s="47">
        <v>2227.0500000000002</v>
      </c>
      <c r="P46" s="46" t="s">
        <v>2167</v>
      </c>
      <c r="Q46" s="47">
        <v>13497.1</v>
      </c>
      <c r="R46" s="47">
        <v>14371.74</v>
      </c>
      <c r="S46" s="46" t="s">
        <v>579</v>
      </c>
      <c r="T46" s="49" t="s">
        <v>321</v>
      </c>
    </row>
    <row r="47" spans="1:20" ht="15" customHeight="1" x14ac:dyDescent="0.25">
      <c r="A47" s="46" t="s">
        <v>2240</v>
      </c>
      <c r="B47" s="46" t="s">
        <v>1262</v>
      </c>
      <c r="C47" s="46" t="s">
        <v>2217</v>
      </c>
      <c r="D47" s="47">
        <v>1699.45</v>
      </c>
      <c r="E47" s="47">
        <v>3045.58</v>
      </c>
      <c r="F47" s="46">
        <f t="shared" si="4"/>
        <v>-1346.13</v>
      </c>
      <c r="G47" s="46">
        <f t="shared" si="7"/>
        <v>7157.43</v>
      </c>
      <c r="H47" s="48">
        <f t="shared" si="5"/>
        <v>154.41999999999999</v>
      </c>
      <c r="I47" s="48">
        <f t="shared" si="6"/>
        <v>100.86</v>
      </c>
      <c r="J47" s="48">
        <v>25.29</v>
      </c>
      <c r="K47" s="48">
        <v>5.08</v>
      </c>
      <c r="L47" s="47">
        <v>4463.38</v>
      </c>
      <c r="M47" s="47">
        <v>3709.96</v>
      </c>
      <c r="N47" s="47">
        <v>753.42</v>
      </c>
      <c r="O47" s="47">
        <v>2890.43</v>
      </c>
      <c r="P47" s="46" t="s">
        <v>2180</v>
      </c>
      <c r="Q47" s="47">
        <v>15333.41</v>
      </c>
      <c r="R47" s="47">
        <v>15465.82</v>
      </c>
      <c r="S47" s="46" t="s">
        <v>579</v>
      </c>
      <c r="T47" s="49" t="s">
        <v>321</v>
      </c>
    </row>
    <row r="48" spans="1:20" ht="15" customHeight="1" x14ac:dyDescent="0.25">
      <c r="A48" s="46" t="s">
        <v>2241</v>
      </c>
      <c r="B48" s="46" t="s">
        <v>2242</v>
      </c>
      <c r="C48" s="46" t="s">
        <v>2188</v>
      </c>
      <c r="D48" s="47">
        <v>2735.5</v>
      </c>
      <c r="E48" s="47">
        <v>4801.42</v>
      </c>
      <c r="F48" s="46">
        <f t="shared" si="4"/>
        <v>-2065.92</v>
      </c>
      <c r="G48" s="46">
        <f t="shared" si="7"/>
        <v>5091.51</v>
      </c>
      <c r="H48" s="48">
        <f t="shared" si="5"/>
        <v>106.79</v>
      </c>
      <c r="I48" s="48">
        <f t="shared" si="6"/>
        <v>134.79</v>
      </c>
      <c r="J48" s="48">
        <v>22.13</v>
      </c>
      <c r="K48" s="48">
        <v>4.95</v>
      </c>
      <c r="L48" s="47">
        <v>10292.200000000001</v>
      </c>
      <c r="M48" s="47">
        <v>7839.11</v>
      </c>
      <c r="N48" s="47">
        <v>2453.09</v>
      </c>
      <c r="O48" s="47">
        <v>9637.81</v>
      </c>
      <c r="P48" s="46" t="s">
        <v>2180</v>
      </c>
      <c r="Q48" s="47">
        <v>7085.36</v>
      </c>
      <c r="R48" s="47">
        <v>9550.42</v>
      </c>
      <c r="S48" s="46" t="s">
        <v>579</v>
      </c>
      <c r="T48" s="49" t="s">
        <v>321</v>
      </c>
    </row>
    <row r="49" spans="1:20" ht="15" customHeight="1" x14ac:dyDescent="0.25">
      <c r="A49" s="50" t="s">
        <v>2243</v>
      </c>
      <c r="B49" s="50" t="s">
        <v>694</v>
      </c>
      <c r="C49" s="50" t="s">
        <v>2188</v>
      </c>
      <c r="D49" s="51">
        <v>2180.39</v>
      </c>
      <c r="E49" s="51">
        <v>3015.82</v>
      </c>
      <c r="F49" s="50">
        <f t="shared" si="4"/>
        <v>-835.43</v>
      </c>
      <c r="G49" s="50">
        <f t="shared" si="7"/>
        <v>4256.08</v>
      </c>
      <c r="H49" s="52">
        <f t="shared" si="5"/>
        <v>136.1</v>
      </c>
      <c r="I49" s="52">
        <f t="shared" si="6"/>
        <v>116.97</v>
      </c>
      <c r="J49" s="52">
        <v>23.91</v>
      </c>
      <c r="K49" s="52">
        <v>3.78</v>
      </c>
      <c r="L49" s="51">
        <v>6013.94</v>
      </c>
      <c r="M49" s="51">
        <v>4472.76</v>
      </c>
      <c r="N49" s="51">
        <v>1541.18</v>
      </c>
      <c r="O49" s="51">
        <v>4418.62</v>
      </c>
      <c r="P49" s="50" t="s">
        <v>2180</v>
      </c>
      <c r="Q49" s="51">
        <v>10598.22</v>
      </c>
      <c r="R49" s="51">
        <v>12397.12</v>
      </c>
      <c r="S49" s="50" t="s">
        <v>590</v>
      </c>
      <c r="T49" s="53" t="s">
        <v>266</v>
      </c>
    </row>
    <row r="50" spans="1:20" ht="15" customHeight="1" x14ac:dyDescent="0.25">
      <c r="A50" s="46" t="s">
        <v>2244</v>
      </c>
      <c r="B50" s="46" t="s">
        <v>2039</v>
      </c>
      <c r="C50" s="46" t="s">
        <v>2178</v>
      </c>
      <c r="D50" s="47">
        <v>3006.35</v>
      </c>
      <c r="E50" s="47">
        <v>3263.65</v>
      </c>
      <c r="F50" s="46">
        <f t="shared" si="4"/>
        <v>-257.3</v>
      </c>
      <c r="G50" s="46">
        <f t="shared" si="7"/>
        <v>3998.78</v>
      </c>
      <c r="H50" s="48">
        <f t="shared" si="5"/>
        <v>142.9</v>
      </c>
      <c r="I50" s="48">
        <f t="shared" si="6"/>
        <v>104.41</v>
      </c>
      <c r="J50" s="48">
        <v>22.98</v>
      </c>
      <c r="K50" s="48">
        <v>5.05</v>
      </c>
      <c r="L50" s="47">
        <v>3225.73</v>
      </c>
      <c r="M50" s="47">
        <v>2764.78</v>
      </c>
      <c r="N50" s="47">
        <v>460.95</v>
      </c>
      <c r="O50" s="47">
        <v>2257.41</v>
      </c>
      <c r="P50" s="46" t="s">
        <v>2180</v>
      </c>
      <c r="Q50" s="47">
        <v>14437.12</v>
      </c>
      <c r="R50" s="47">
        <v>15073.47</v>
      </c>
      <c r="S50" s="46" t="s">
        <v>579</v>
      </c>
      <c r="T50" s="49" t="s">
        <v>321</v>
      </c>
    </row>
    <row r="51" spans="1:20" ht="15" customHeight="1" x14ac:dyDescent="0.25">
      <c r="A51" s="46" t="s">
        <v>2245</v>
      </c>
      <c r="B51" s="46" t="s">
        <v>1256</v>
      </c>
      <c r="C51" s="46" t="s">
        <v>2206</v>
      </c>
      <c r="D51" s="47">
        <v>5964.04</v>
      </c>
      <c r="E51" s="47">
        <v>201.21</v>
      </c>
      <c r="F51" s="46">
        <f t="shared" si="4"/>
        <v>5762.83</v>
      </c>
      <c r="G51" s="46">
        <f t="shared" si="7"/>
        <v>9761.61</v>
      </c>
      <c r="H51" s="48">
        <f t="shared" si="5"/>
        <v>155.25</v>
      </c>
      <c r="I51" s="48">
        <f t="shared" si="6"/>
        <v>100.77</v>
      </c>
      <c r="J51" s="48">
        <v>19.010000000000002</v>
      </c>
      <c r="K51" s="48">
        <v>4.2</v>
      </c>
      <c r="L51" s="47">
        <v>6703.52</v>
      </c>
      <c r="M51" s="47">
        <v>4996.95</v>
      </c>
      <c r="N51" s="47">
        <v>1706.57</v>
      </c>
      <c r="O51" s="47">
        <v>4317.7700000000004</v>
      </c>
      <c r="P51" s="46" t="s">
        <v>2180</v>
      </c>
      <c r="Q51" s="47">
        <v>9536.3700000000008</v>
      </c>
      <c r="R51" s="47">
        <v>9609.3799999999992</v>
      </c>
      <c r="S51" s="46" t="s">
        <v>579</v>
      </c>
      <c r="T51" s="49" t="s">
        <v>321</v>
      </c>
    </row>
    <row r="52" spans="1:20" ht="15" customHeight="1" x14ac:dyDescent="0.25">
      <c r="A52" s="54" t="s">
        <v>2246</v>
      </c>
      <c r="B52" s="54" t="s">
        <v>1902</v>
      </c>
      <c r="C52" s="54" t="s">
        <v>2178</v>
      </c>
      <c r="D52" s="55">
        <v>5833.74</v>
      </c>
      <c r="E52" s="55">
        <v>5486.43</v>
      </c>
      <c r="F52" s="54">
        <f t="shared" si="4"/>
        <v>347.31</v>
      </c>
      <c r="G52" s="54">
        <f t="shared" si="7"/>
        <v>10108.92</v>
      </c>
      <c r="H52" s="56">
        <f t="shared" si="5"/>
        <v>103.35</v>
      </c>
      <c r="I52" s="56">
        <f t="shared" si="6"/>
        <v>96.05</v>
      </c>
      <c r="J52" s="56">
        <v>19.670000000000002</v>
      </c>
      <c r="K52" s="56">
        <v>5.42</v>
      </c>
      <c r="L52" s="55">
        <v>3748.02</v>
      </c>
      <c r="M52" s="55">
        <v>2848.98</v>
      </c>
      <c r="N52" s="55">
        <v>899.04</v>
      </c>
      <c r="O52" s="55">
        <v>3626.46</v>
      </c>
      <c r="P52" s="54" t="s">
        <v>2180</v>
      </c>
      <c r="Q52" s="55">
        <v>10529.53</v>
      </c>
      <c r="R52" s="55">
        <v>10114.02</v>
      </c>
      <c r="S52" s="54" t="s">
        <v>622</v>
      </c>
      <c r="T52" s="57" t="s">
        <v>495</v>
      </c>
    </row>
    <row r="53" spans="1:20" ht="15" customHeight="1" x14ac:dyDescent="0.25">
      <c r="A53" s="46" t="s">
        <v>2247</v>
      </c>
      <c r="B53" s="46" t="s">
        <v>1042</v>
      </c>
      <c r="C53" s="46" t="s">
        <v>2188</v>
      </c>
      <c r="D53" s="47">
        <v>2292.94</v>
      </c>
      <c r="E53" s="47">
        <v>4238.2700000000004</v>
      </c>
      <c r="F53" s="46">
        <f t="shared" si="4"/>
        <v>-1945.33</v>
      </c>
      <c r="G53" s="46">
        <f t="shared" si="7"/>
        <v>8163.59</v>
      </c>
      <c r="H53" s="48">
        <f t="shared" si="5"/>
        <v>150.25</v>
      </c>
      <c r="I53" s="48">
        <f t="shared" si="6"/>
        <v>104.8</v>
      </c>
      <c r="J53" s="48">
        <v>25.9</v>
      </c>
      <c r="K53" s="48">
        <v>3.56</v>
      </c>
      <c r="L53" s="47">
        <v>6646.88</v>
      </c>
      <c r="M53" s="47">
        <v>5706.68</v>
      </c>
      <c r="N53" s="47">
        <v>940.2</v>
      </c>
      <c r="O53" s="47">
        <v>4423.99</v>
      </c>
      <c r="P53" s="46" t="s">
        <v>2167</v>
      </c>
      <c r="Q53" s="47">
        <v>7695.33</v>
      </c>
      <c r="R53" s="47">
        <v>8064.85</v>
      </c>
      <c r="S53" s="46" t="s">
        <v>579</v>
      </c>
      <c r="T53" s="49" t="s">
        <v>321</v>
      </c>
    </row>
    <row r="54" spans="1:20" ht="15" customHeight="1" x14ac:dyDescent="0.25">
      <c r="A54" s="46" t="s">
        <v>2248</v>
      </c>
      <c r="B54" s="46" t="s">
        <v>1975</v>
      </c>
      <c r="C54" s="46" t="s">
        <v>2249</v>
      </c>
      <c r="D54" s="47">
        <v>5003.3</v>
      </c>
      <c r="E54" s="47">
        <v>2557.3200000000002</v>
      </c>
      <c r="F54" s="46">
        <f t="shared" si="4"/>
        <v>2445.98</v>
      </c>
      <c r="G54" s="46">
        <f t="shared" si="7"/>
        <v>10609.57</v>
      </c>
      <c r="H54" s="48">
        <f t="shared" si="5"/>
        <v>108.41</v>
      </c>
      <c r="I54" s="48">
        <f t="shared" si="6"/>
        <v>108.49</v>
      </c>
      <c r="J54" s="48">
        <v>22.98</v>
      </c>
      <c r="K54" s="48">
        <v>5.4</v>
      </c>
      <c r="L54" s="47">
        <v>7967.32</v>
      </c>
      <c r="M54" s="47">
        <v>6404.84</v>
      </c>
      <c r="N54" s="47">
        <v>1562.48</v>
      </c>
      <c r="O54" s="47">
        <v>7349.47</v>
      </c>
      <c r="P54" s="46" t="s">
        <v>2171</v>
      </c>
      <c r="Q54" s="47">
        <v>10938.27</v>
      </c>
      <c r="R54" s="47">
        <v>11867.31</v>
      </c>
      <c r="S54" s="46" t="s">
        <v>579</v>
      </c>
      <c r="T54" s="49" t="s">
        <v>321</v>
      </c>
    </row>
    <row r="55" spans="1:20" ht="15" customHeight="1" x14ac:dyDescent="0.25">
      <c r="A55" s="46" t="s">
        <v>2250</v>
      </c>
      <c r="B55" s="46" t="s">
        <v>1574</v>
      </c>
      <c r="C55" s="46" t="s">
        <v>2185</v>
      </c>
      <c r="D55" s="47">
        <v>4201.96</v>
      </c>
      <c r="E55" s="47">
        <v>1791.94</v>
      </c>
      <c r="F55" s="46">
        <f t="shared" si="4"/>
        <v>2410.02</v>
      </c>
      <c r="G55" s="46">
        <f t="shared" si="7"/>
        <v>13019.59</v>
      </c>
      <c r="H55" s="48">
        <f t="shared" si="5"/>
        <v>101.93</v>
      </c>
      <c r="I55" s="48">
        <f t="shared" si="6"/>
        <v>111.94</v>
      </c>
      <c r="J55" s="48">
        <v>24.88</v>
      </c>
      <c r="K55" s="48">
        <v>4.51</v>
      </c>
      <c r="L55" s="47">
        <v>2997.32</v>
      </c>
      <c r="M55" s="47">
        <v>2260.0300000000002</v>
      </c>
      <c r="N55" s="47">
        <v>737.29</v>
      </c>
      <c r="O55" s="47">
        <v>2940.65</v>
      </c>
      <c r="P55" s="46" t="s">
        <v>2189</v>
      </c>
      <c r="Q55" s="47">
        <v>10756.69</v>
      </c>
      <c r="R55" s="47">
        <v>12041.56</v>
      </c>
      <c r="S55" s="46" t="s">
        <v>579</v>
      </c>
      <c r="T55" s="49" t="s">
        <v>321</v>
      </c>
    </row>
    <row r="56" spans="1:20" ht="15" customHeight="1" x14ac:dyDescent="0.25">
      <c r="A56" s="50" t="s">
        <v>2251</v>
      </c>
      <c r="B56" s="50" t="s">
        <v>2187</v>
      </c>
      <c r="C56" s="50" t="s">
        <v>2200</v>
      </c>
      <c r="D56" s="51">
        <v>3369.52</v>
      </c>
      <c r="E56" s="51">
        <v>4994.16</v>
      </c>
      <c r="F56" s="50">
        <f t="shared" si="4"/>
        <v>-1624.64</v>
      </c>
      <c r="G56" s="50">
        <f t="shared" si="7"/>
        <v>11394.95</v>
      </c>
      <c r="H56" s="52">
        <f t="shared" si="5"/>
        <v>142.56</v>
      </c>
      <c r="I56" s="52">
        <f t="shared" si="6"/>
        <v>134.12</v>
      </c>
      <c r="J56" s="52">
        <v>22.1</v>
      </c>
      <c r="K56" s="52">
        <v>3.81</v>
      </c>
      <c r="L56" s="51">
        <v>9315.57</v>
      </c>
      <c r="M56" s="51">
        <v>7450.22</v>
      </c>
      <c r="N56" s="51">
        <v>1865.35</v>
      </c>
      <c r="O56" s="51">
        <v>6534.44</v>
      </c>
      <c r="P56" s="50" t="s">
        <v>2189</v>
      </c>
      <c r="Q56" s="51">
        <v>12258.01</v>
      </c>
      <c r="R56" s="51">
        <v>16440.080000000002</v>
      </c>
      <c r="S56" s="50" t="s">
        <v>590</v>
      </c>
      <c r="T56" s="53" t="s">
        <v>266</v>
      </c>
    </row>
    <row r="57" spans="1:20" ht="15" customHeight="1" x14ac:dyDescent="0.25">
      <c r="A57" s="50" t="s">
        <v>2252</v>
      </c>
      <c r="B57" s="50" t="s">
        <v>1468</v>
      </c>
      <c r="C57" s="50" t="s">
        <v>2206</v>
      </c>
      <c r="D57" s="51">
        <v>2462.37</v>
      </c>
      <c r="E57" s="51">
        <v>430.38</v>
      </c>
      <c r="F57" s="50">
        <f t="shared" si="4"/>
        <v>2031.99</v>
      </c>
      <c r="G57" s="50">
        <f t="shared" si="7"/>
        <v>13426.94</v>
      </c>
      <c r="H57" s="52">
        <f t="shared" si="5"/>
        <v>158.56</v>
      </c>
      <c r="I57" s="52">
        <f t="shared" si="6"/>
        <v>121.11</v>
      </c>
      <c r="J57" s="52">
        <v>23.64</v>
      </c>
      <c r="K57" s="52">
        <v>3.65</v>
      </c>
      <c r="L57" s="51">
        <v>5083.9399999999996</v>
      </c>
      <c r="M57" s="51">
        <v>3867.58</v>
      </c>
      <c r="N57" s="51">
        <v>1216.3599999999999</v>
      </c>
      <c r="O57" s="51">
        <v>3206.33</v>
      </c>
      <c r="P57" s="50" t="s">
        <v>2171</v>
      </c>
      <c r="Q57" s="51">
        <v>11729</v>
      </c>
      <c r="R57" s="51">
        <v>14204.76</v>
      </c>
      <c r="S57" s="50" t="s">
        <v>590</v>
      </c>
      <c r="T57" s="53" t="s">
        <v>266</v>
      </c>
    </row>
    <row r="58" spans="1:20" ht="15" customHeight="1" x14ac:dyDescent="0.25">
      <c r="A58" s="46" t="s">
        <v>2253</v>
      </c>
      <c r="B58" s="46" t="s">
        <v>1212</v>
      </c>
      <c r="C58" s="46" t="s">
        <v>2188</v>
      </c>
      <c r="D58" s="47">
        <v>1072.46</v>
      </c>
      <c r="E58" s="47">
        <v>4839.7</v>
      </c>
      <c r="F58" s="46">
        <f t="shared" si="4"/>
        <v>-3767.24</v>
      </c>
      <c r="G58" s="46">
        <f t="shared" si="7"/>
        <v>9659.7000000000007</v>
      </c>
      <c r="H58" s="48">
        <f t="shared" si="5"/>
        <v>106.5</v>
      </c>
      <c r="I58" s="48">
        <f t="shared" si="6"/>
        <v>106.29</v>
      </c>
      <c r="J58" s="48">
        <v>19.16</v>
      </c>
      <c r="K58" s="48">
        <v>4.71</v>
      </c>
      <c r="L58" s="47">
        <v>6654.77</v>
      </c>
      <c r="M58" s="47">
        <v>5597.2</v>
      </c>
      <c r="N58" s="47">
        <v>1057.57</v>
      </c>
      <c r="O58" s="47">
        <v>6248.37</v>
      </c>
      <c r="P58" s="46" t="s">
        <v>2167</v>
      </c>
      <c r="Q58" s="47">
        <v>6336.59</v>
      </c>
      <c r="R58" s="47">
        <v>6735.05</v>
      </c>
      <c r="S58" s="46" t="s">
        <v>579</v>
      </c>
      <c r="T58" s="49" t="s">
        <v>321</v>
      </c>
    </row>
    <row r="59" spans="1:20" ht="15" customHeight="1" x14ac:dyDescent="0.25">
      <c r="A59" s="50" t="s">
        <v>2254</v>
      </c>
      <c r="B59" s="50" t="s">
        <v>904</v>
      </c>
      <c r="C59" s="50" t="s">
        <v>2217</v>
      </c>
      <c r="D59" s="51">
        <v>485.38</v>
      </c>
      <c r="E59" s="51">
        <v>3622.95</v>
      </c>
      <c r="F59" s="50">
        <f t="shared" si="4"/>
        <v>-3137.57</v>
      </c>
      <c r="G59" s="50">
        <f t="shared" si="7"/>
        <v>6522.13</v>
      </c>
      <c r="H59" s="52">
        <f t="shared" si="5"/>
        <v>133.1</v>
      </c>
      <c r="I59" s="52">
        <f t="shared" si="6"/>
        <v>117.8</v>
      </c>
      <c r="J59" s="52">
        <v>23.93</v>
      </c>
      <c r="K59" s="52">
        <v>3.56</v>
      </c>
      <c r="L59" s="51">
        <v>7688.24</v>
      </c>
      <c r="M59" s="51">
        <v>6344.35</v>
      </c>
      <c r="N59" s="51">
        <v>1343.89</v>
      </c>
      <c r="O59" s="51">
        <v>5776.22</v>
      </c>
      <c r="P59" s="50" t="s">
        <v>2167</v>
      </c>
      <c r="Q59" s="51">
        <v>7020.47</v>
      </c>
      <c r="R59" s="51">
        <v>8270.4599999999991</v>
      </c>
      <c r="S59" s="50" t="s">
        <v>590</v>
      </c>
      <c r="T59" s="53" t="s">
        <v>266</v>
      </c>
    </row>
    <row r="60" spans="1:20" ht="15" customHeight="1" x14ac:dyDescent="0.25">
      <c r="A60" s="46" t="s">
        <v>2255</v>
      </c>
      <c r="B60" s="46" t="s">
        <v>717</v>
      </c>
      <c r="C60" s="46" t="s">
        <v>2249</v>
      </c>
      <c r="D60" s="47">
        <v>5920.31</v>
      </c>
      <c r="E60" s="47">
        <v>2954.46</v>
      </c>
      <c r="F60" s="46">
        <f t="shared" si="4"/>
        <v>2965.85</v>
      </c>
      <c r="G60" s="46">
        <f t="shared" si="7"/>
        <v>9487.98</v>
      </c>
      <c r="H60" s="48">
        <f t="shared" si="5"/>
        <v>118.52</v>
      </c>
      <c r="I60" s="48">
        <f t="shared" si="6"/>
        <v>107.58</v>
      </c>
      <c r="J60" s="48">
        <v>26.83</v>
      </c>
      <c r="K60" s="48">
        <v>5</v>
      </c>
      <c r="L60" s="47">
        <v>1784.2</v>
      </c>
      <c r="M60" s="47">
        <v>1526.73</v>
      </c>
      <c r="N60" s="47">
        <v>257.47000000000003</v>
      </c>
      <c r="O60" s="47">
        <v>1505.45</v>
      </c>
      <c r="P60" s="46" t="s">
        <v>2171</v>
      </c>
      <c r="Q60" s="47">
        <v>12002.59</v>
      </c>
      <c r="R60" s="47">
        <v>12912.25</v>
      </c>
      <c r="S60" s="46" t="s">
        <v>579</v>
      </c>
      <c r="T60" s="49" t="s">
        <v>321</v>
      </c>
    </row>
    <row r="61" spans="1:20" ht="15" customHeight="1" x14ac:dyDescent="0.25">
      <c r="A61" s="50" t="s">
        <v>2256</v>
      </c>
      <c r="B61" s="50" t="s">
        <v>2257</v>
      </c>
      <c r="C61" s="50" t="s">
        <v>2170</v>
      </c>
      <c r="D61" s="51">
        <v>5845.72</v>
      </c>
      <c r="E61" s="51">
        <v>4245.68</v>
      </c>
      <c r="F61" s="50">
        <f t="shared" si="4"/>
        <v>1600.04</v>
      </c>
      <c r="G61" s="50">
        <f t="shared" si="7"/>
        <v>11088.02</v>
      </c>
      <c r="H61" s="52">
        <f t="shared" si="5"/>
        <v>144.49</v>
      </c>
      <c r="I61" s="52">
        <f t="shared" si="6"/>
        <v>126.84</v>
      </c>
      <c r="J61" s="52">
        <v>19.36</v>
      </c>
      <c r="K61" s="52">
        <v>5.1100000000000003</v>
      </c>
      <c r="L61" s="51">
        <v>2293.1999999999998</v>
      </c>
      <c r="M61" s="51">
        <v>1862.18</v>
      </c>
      <c r="N61" s="51">
        <v>431.02</v>
      </c>
      <c r="O61" s="51">
        <v>1587.13</v>
      </c>
      <c r="P61" s="50" t="s">
        <v>2180</v>
      </c>
      <c r="Q61" s="51">
        <v>6284.22</v>
      </c>
      <c r="R61" s="51">
        <v>7971.08</v>
      </c>
      <c r="S61" s="50" t="s">
        <v>590</v>
      </c>
      <c r="T61" s="53" t="s">
        <v>266</v>
      </c>
    </row>
    <row r="62" spans="1:20" ht="15" customHeight="1" x14ac:dyDescent="0.25">
      <c r="A62" s="46" t="s">
        <v>2258</v>
      </c>
      <c r="B62" s="46" t="s">
        <v>2259</v>
      </c>
      <c r="C62" s="46" t="s">
        <v>2249</v>
      </c>
      <c r="D62" s="47">
        <v>5225.99</v>
      </c>
      <c r="E62" s="47">
        <v>320.70999999999998</v>
      </c>
      <c r="F62" s="46">
        <f t="shared" si="4"/>
        <v>4905.28</v>
      </c>
      <c r="G62" s="46">
        <f t="shared" si="7"/>
        <v>15993.3</v>
      </c>
      <c r="H62" s="48">
        <f t="shared" si="5"/>
        <v>104.73</v>
      </c>
      <c r="I62" s="48">
        <f t="shared" si="6"/>
        <v>127.3</v>
      </c>
      <c r="J62" s="48">
        <v>23.82</v>
      </c>
      <c r="K62" s="48">
        <v>5.41</v>
      </c>
      <c r="L62" s="47">
        <v>2954.16</v>
      </c>
      <c r="M62" s="47">
        <v>2296.3200000000002</v>
      </c>
      <c r="N62" s="47">
        <v>657.84</v>
      </c>
      <c r="O62" s="47">
        <v>2820.87</v>
      </c>
      <c r="P62" s="46" t="s">
        <v>2180</v>
      </c>
      <c r="Q62" s="47">
        <v>16612.82</v>
      </c>
      <c r="R62" s="47">
        <v>21147.96</v>
      </c>
      <c r="S62" s="46" t="s">
        <v>579</v>
      </c>
      <c r="T62" s="49" t="s">
        <v>321</v>
      </c>
    </row>
    <row r="63" spans="1:20" ht="15" customHeight="1" x14ac:dyDescent="0.25">
      <c r="A63" s="46" t="s">
        <v>2260</v>
      </c>
      <c r="B63" s="46" t="s">
        <v>2031</v>
      </c>
      <c r="C63" s="46" t="s">
        <v>2166</v>
      </c>
      <c r="D63" s="47">
        <v>4636.07</v>
      </c>
      <c r="E63" s="47">
        <v>1050.18</v>
      </c>
      <c r="F63" s="46">
        <f t="shared" si="4"/>
        <v>3585.89</v>
      </c>
      <c r="G63" s="46">
        <f t="shared" si="7"/>
        <v>19579.189999999999</v>
      </c>
      <c r="H63" s="48">
        <f t="shared" si="5"/>
        <v>143.72</v>
      </c>
      <c r="I63" s="48">
        <f t="shared" si="6"/>
        <v>100.25</v>
      </c>
      <c r="J63" s="48">
        <v>24.04</v>
      </c>
      <c r="K63" s="48">
        <v>5.36</v>
      </c>
      <c r="L63" s="47">
        <v>9716.4500000000007</v>
      </c>
      <c r="M63" s="47">
        <v>7752.94</v>
      </c>
      <c r="N63" s="47">
        <v>1963.51</v>
      </c>
      <c r="O63" s="47">
        <v>6760.53</v>
      </c>
      <c r="P63" s="46" t="s">
        <v>2167</v>
      </c>
      <c r="Q63" s="47">
        <v>11369.76</v>
      </c>
      <c r="R63" s="47">
        <v>11397.95</v>
      </c>
      <c r="S63" s="46" t="s">
        <v>579</v>
      </c>
      <c r="T63" s="49" t="s">
        <v>321</v>
      </c>
    </row>
    <row r="64" spans="1:20" ht="15" customHeight="1" x14ac:dyDescent="0.25">
      <c r="A64" s="50" t="s">
        <v>2261</v>
      </c>
      <c r="B64" s="50" t="s">
        <v>1521</v>
      </c>
      <c r="C64" s="50" t="s">
        <v>2170</v>
      </c>
      <c r="D64" s="51">
        <v>3778.48</v>
      </c>
      <c r="E64" s="51">
        <v>5646.83</v>
      </c>
      <c r="F64" s="50">
        <f t="shared" si="4"/>
        <v>-1868.35</v>
      </c>
      <c r="G64" s="50">
        <f t="shared" si="7"/>
        <v>17710.84</v>
      </c>
      <c r="H64" s="52">
        <f t="shared" si="5"/>
        <v>140.97</v>
      </c>
      <c r="I64" s="52">
        <f t="shared" si="6"/>
        <v>117.68</v>
      </c>
      <c r="J64" s="52">
        <v>20.53</v>
      </c>
      <c r="K64" s="52">
        <v>5.49</v>
      </c>
      <c r="L64" s="51">
        <v>1902.75</v>
      </c>
      <c r="M64" s="51">
        <v>1472.09</v>
      </c>
      <c r="N64" s="51">
        <v>430.66</v>
      </c>
      <c r="O64" s="51">
        <v>1349.73</v>
      </c>
      <c r="P64" s="50" t="s">
        <v>2189</v>
      </c>
      <c r="Q64" s="51">
        <v>17496.189999999999</v>
      </c>
      <c r="R64" s="51">
        <v>20588.82</v>
      </c>
      <c r="S64" s="50" t="s">
        <v>590</v>
      </c>
      <c r="T64" s="53" t="s">
        <v>266</v>
      </c>
    </row>
    <row r="65" spans="1:20" ht="15" customHeight="1" x14ac:dyDescent="0.25">
      <c r="A65" s="46" t="s">
        <v>2262</v>
      </c>
      <c r="B65" s="46" t="s">
        <v>846</v>
      </c>
      <c r="C65" s="46" t="s">
        <v>2217</v>
      </c>
      <c r="D65" s="47">
        <v>4847.8900000000003</v>
      </c>
      <c r="E65" s="47">
        <v>941.47</v>
      </c>
      <c r="F65" s="46">
        <f t="shared" si="4"/>
        <v>3906.42</v>
      </c>
      <c r="G65" s="46">
        <f t="shared" si="7"/>
        <v>21617.26</v>
      </c>
      <c r="H65" s="48">
        <f t="shared" si="5"/>
        <v>158.13999999999999</v>
      </c>
      <c r="I65" s="48">
        <f t="shared" si="6"/>
        <v>101.79</v>
      </c>
      <c r="J65" s="48">
        <v>25.14</v>
      </c>
      <c r="K65" s="48">
        <v>3.67</v>
      </c>
      <c r="L65" s="47">
        <v>8966</v>
      </c>
      <c r="M65" s="47">
        <v>7119.11</v>
      </c>
      <c r="N65" s="47">
        <v>1846.89</v>
      </c>
      <c r="O65" s="47">
        <v>5669.77</v>
      </c>
      <c r="P65" s="46" t="s">
        <v>2189</v>
      </c>
      <c r="Q65" s="47">
        <v>11457.69</v>
      </c>
      <c r="R65" s="47">
        <v>11662.63</v>
      </c>
      <c r="S65" s="46" t="s">
        <v>579</v>
      </c>
      <c r="T65" s="49" t="s">
        <v>321</v>
      </c>
    </row>
    <row r="66" spans="1:20" ht="15" customHeight="1" x14ac:dyDescent="0.25">
      <c r="A66" s="50" t="s">
        <v>2263</v>
      </c>
      <c r="B66" s="50" t="s">
        <v>2236</v>
      </c>
      <c r="C66" s="50" t="s">
        <v>2166</v>
      </c>
      <c r="D66" s="51">
        <v>502.15</v>
      </c>
      <c r="E66" s="51">
        <v>3501.42</v>
      </c>
      <c r="F66" s="50">
        <f t="shared" si="4"/>
        <v>-2999.27</v>
      </c>
      <c r="G66" s="50">
        <f t="shared" si="7"/>
        <v>18617.990000000002</v>
      </c>
      <c r="H66" s="52">
        <f t="shared" si="5"/>
        <v>142.63999999999999</v>
      </c>
      <c r="I66" s="52">
        <f t="shared" si="6"/>
        <v>112.68</v>
      </c>
      <c r="J66" s="52">
        <v>22.42</v>
      </c>
      <c r="K66" s="52">
        <v>5.47</v>
      </c>
      <c r="L66" s="51">
        <v>4194.6000000000004</v>
      </c>
      <c r="M66" s="51">
        <v>3602.91</v>
      </c>
      <c r="N66" s="51">
        <v>591.69000000000005</v>
      </c>
      <c r="O66" s="51">
        <v>2940.7</v>
      </c>
      <c r="P66" s="50" t="s">
        <v>2167</v>
      </c>
      <c r="Q66" s="51">
        <v>15157.76</v>
      </c>
      <c r="R66" s="51">
        <v>17080.04</v>
      </c>
      <c r="S66" s="50" t="s">
        <v>590</v>
      </c>
      <c r="T66" s="53" t="s">
        <v>266</v>
      </c>
    </row>
    <row r="67" spans="1:20" ht="15" customHeight="1" x14ac:dyDescent="0.25">
      <c r="A67" s="46" t="s">
        <v>2264</v>
      </c>
      <c r="B67" s="46" t="s">
        <v>2265</v>
      </c>
      <c r="C67" s="46" t="s">
        <v>2166</v>
      </c>
      <c r="D67" s="47">
        <v>5644.99</v>
      </c>
      <c r="E67" s="47">
        <v>5832.92</v>
      </c>
      <c r="F67" s="46">
        <f t="shared" ref="F67:F98" si="8">ROUND(D67-E67,2)</f>
        <v>-187.93</v>
      </c>
      <c r="G67" s="46">
        <f t="shared" si="7"/>
        <v>18430.060000000001</v>
      </c>
      <c r="H67" s="48">
        <f t="shared" ref="H67:H98" si="9">ROUND(L67/O67*100,2)</f>
        <v>117.2</v>
      </c>
      <c r="I67" s="48">
        <f t="shared" ref="I67:I98" si="10">ROUND(R67/Q67*100,2)</f>
        <v>115.5</v>
      </c>
      <c r="J67" s="48">
        <v>21.98</v>
      </c>
      <c r="K67" s="48">
        <v>4.74</v>
      </c>
      <c r="L67" s="47">
        <v>5526.77</v>
      </c>
      <c r="M67" s="47">
        <v>4520.16</v>
      </c>
      <c r="N67" s="47">
        <v>1006.61</v>
      </c>
      <c r="O67" s="47">
        <v>4715.7700000000004</v>
      </c>
      <c r="P67" s="46" t="s">
        <v>2180</v>
      </c>
      <c r="Q67" s="47">
        <v>11289.93</v>
      </c>
      <c r="R67" s="47">
        <v>13039.78</v>
      </c>
      <c r="S67" s="46" t="s">
        <v>579</v>
      </c>
      <c r="T67" s="49" t="s">
        <v>321</v>
      </c>
    </row>
    <row r="68" spans="1:20" ht="15" customHeight="1" x14ac:dyDescent="0.25">
      <c r="A68" s="46" t="s">
        <v>2266</v>
      </c>
      <c r="B68" s="46" t="s">
        <v>1500</v>
      </c>
      <c r="C68" s="46" t="s">
        <v>2170</v>
      </c>
      <c r="D68" s="47">
        <v>2304.73</v>
      </c>
      <c r="E68" s="47">
        <v>4124.99</v>
      </c>
      <c r="F68" s="46">
        <f t="shared" si="8"/>
        <v>-1820.26</v>
      </c>
      <c r="G68" s="46">
        <f t="shared" ref="G68:G99" si="11">ROUND(G67+F68,2)</f>
        <v>16609.8</v>
      </c>
      <c r="H68" s="48">
        <f t="shared" si="9"/>
        <v>152.53</v>
      </c>
      <c r="I68" s="48">
        <f t="shared" si="10"/>
        <v>104.79</v>
      </c>
      <c r="J68" s="48">
        <v>24.3</v>
      </c>
      <c r="K68" s="48">
        <v>4.74</v>
      </c>
      <c r="L68" s="47">
        <v>5580.4</v>
      </c>
      <c r="M68" s="47">
        <v>4640.41</v>
      </c>
      <c r="N68" s="47">
        <v>939.99</v>
      </c>
      <c r="O68" s="47">
        <v>3658.51</v>
      </c>
      <c r="P68" s="46" t="s">
        <v>2189</v>
      </c>
      <c r="Q68" s="47">
        <v>14892.51</v>
      </c>
      <c r="R68" s="47">
        <v>15606.26</v>
      </c>
      <c r="S68" s="46" t="s">
        <v>579</v>
      </c>
      <c r="T68" s="49" t="s">
        <v>321</v>
      </c>
    </row>
    <row r="69" spans="1:20" ht="15" customHeight="1" x14ac:dyDescent="0.25">
      <c r="A69" s="46" t="s">
        <v>2267</v>
      </c>
      <c r="B69" s="46" t="s">
        <v>1406</v>
      </c>
      <c r="C69" s="46" t="s">
        <v>2178</v>
      </c>
      <c r="D69" s="47">
        <v>146.86000000000001</v>
      </c>
      <c r="E69" s="47">
        <v>5133.05</v>
      </c>
      <c r="F69" s="46">
        <f t="shared" si="8"/>
        <v>-4986.1899999999996</v>
      </c>
      <c r="G69" s="46">
        <f t="shared" si="11"/>
        <v>11623.61</v>
      </c>
      <c r="H69" s="48">
        <f t="shared" si="9"/>
        <v>123.96</v>
      </c>
      <c r="I69" s="48">
        <f t="shared" si="10"/>
        <v>108.96</v>
      </c>
      <c r="J69" s="48">
        <v>19.12</v>
      </c>
      <c r="K69" s="48">
        <v>4.28</v>
      </c>
      <c r="L69" s="47">
        <v>3753.47</v>
      </c>
      <c r="M69" s="47">
        <v>3176.49</v>
      </c>
      <c r="N69" s="47">
        <v>576.98</v>
      </c>
      <c r="O69" s="47">
        <v>3028.05</v>
      </c>
      <c r="P69" s="46" t="s">
        <v>2171</v>
      </c>
      <c r="Q69" s="47">
        <v>14029.81</v>
      </c>
      <c r="R69" s="47">
        <v>15286.53</v>
      </c>
      <c r="S69" s="46" t="s">
        <v>579</v>
      </c>
      <c r="T69" s="49" t="s">
        <v>321</v>
      </c>
    </row>
    <row r="70" spans="1:20" ht="15" customHeight="1" x14ac:dyDescent="0.25">
      <c r="A70" s="46" t="s">
        <v>2268</v>
      </c>
      <c r="B70" s="46" t="s">
        <v>1863</v>
      </c>
      <c r="C70" s="46" t="s">
        <v>2185</v>
      </c>
      <c r="D70" s="47">
        <v>3257.18</v>
      </c>
      <c r="E70" s="47">
        <v>4927.91</v>
      </c>
      <c r="F70" s="46">
        <f t="shared" si="8"/>
        <v>-1670.73</v>
      </c>
      <c r="G70" s="46">
        <f t="shared" si="11"/>
        <v>9952.8799999999992</v>
      </c>
      <c r="H70" s="48">
        <f t="shared" si="9"/>
        <v>106.5</v>
      </c>
      <c r="I70" s="48">
        <f t="shared" si="10"/>
        <v>108.15</v>
      </c>
      <c r="J70" s="48">
        <v>26.66</v>
      </c>
      <c r="K70" s="48">
        <v>4.29</v>
      </c>
      <c r="L70" s="47">
        <v>2303.33</v>
      </c>
      <c r="M70" s="47">
        <v>1942.01</v>
      </c>
      <c r="N70" s="47">
        <v>361.32</v>
      </c>
      <c r="O70" s="47">
        <v>2162.73</v>
      </c>
      <c r="P70" s="46" t="s">
        <v>2171</v>
      </c>
      <c r="Q70" s="47">
        <v>8393.65</v>
      </c>
      <c r="R70" s="47">
        <v>9077.6299999999992</v>
      </c>
      <c r="S70" s="46" t="s">
        <v>579</v>
      </c>
      <c r="T70" s="49" t="s">
        <v>321</v>
      </c>
    </row>
    <row r="71" spans="1:20" ht="15" customHeight="1" x14ac:dyDescent="0.25">
      <c r="A71" s="46" t="s">
        <v>2269</v>
      </c>
      <c r="B71" s="46" t="s">
        <v>1305</v>
      </c>
      <c r="C71" s="46" t="s">
        <v>2170</v>
      </c>
      <c r="D71" s="47">
        <v>5978.99</v>
      </c>
      <c r="E71" s="47">
        <v>2969.14</v>
      </c>
      <c r="F71" s="46">
        <f t="shared" si="8"/>
        <v>3009.85</v>
      </c>
      <c r="G71" s="46">
        <f t="shared" si="11"/>
        <v>12962.73</v>
      </c>
      <c r="H71" s="48">
        <f t="shared" si="9"/>
        <v>116.7</v>
      </c>
      <c r="I71" s="48">
        <f t="shared" si="10"/>
        <v>103.54</v>
      </c>
      <c r="J71" s="48">
        <v>18.829999999999998</v>
      </c>
      <c r="K71" s="48">
        <v>3.81</v>
      </c>
      <c r="L71" s="47">
        <v>7441.05</v>
      </c>
      <c r="M71" s="47">
        <v>5975.58</v>
      </c>
      <c r="N71" s="47">
        <v>1465.47</v>
      </c>
      <c r="O71" s="47">
        <v>6376.08</v>
      </c>
      <c r="P71" s="46" t="s">
        <v>2171</v>
      </c>
      <c r="Q71" s="47">
        <v>7746.17</v>
      </c>
      <c r="R71" s="47">
        <v>8020.29</v>
      </c>
      <c r="S71" s="46" t="s">
        <v>579</v>
      </c>
      <c r="T71" s="49" t="s">
        <v>321</v>
      </c>
    </row>
    <row r="72" spans="1:20" ht="15" customHeight="1" x14ac:dyDescent="0.25">
      <c r="A72" s="50" t="s">
        <v>2270</v>
      </c>
      <c r="B72" s="50" t="s">
        <v>931</v>
      </c>
      <c r="C72" s="50" t="s">
        <v>2176</v>
      </c>
      <c r="D72" s="51">
        <v>5928.08</v>
      </c>
      <c r="E72" s="51">
        <v>4667.8100000000004</v>
      </c>
      <c r="F72" s="50">
        <f t="shared" si="8"/>
        <v>1260.27</v>
      </c>
      <c r="G72" s="50">
        <f t="shared" si="11"/>
        <v>14223</v>
      </c>
      <c r="H72" s="52">
        <f t="shared" si="9"/>
        <v>147.37</v>
      </c>
      <c r="I72" s="52">
        <f t="shared" si="10"/>
        <v>133.11000000000001</v>
      </c>
      <c r="J72" s="52">
        <v>26.82</v>
      </c>
      <c r="K72" s="52">
        <v>3.93</v>
      </c>
      <c r="L72" s="51">
        <v>2130.63</v>
      </c>
      <c r="M72" s="51">
        <v>1624.32</v>
      </c>
      <c r="N72" s="51">
        <v>506.31</v>
      </c>
      <c r="O72" s="51">
        <v>1445.73</v>
      </c>
      <c r="P72" s="50" t="s">
        <v>2180</v>
      </c>
      <c r="Q72" s="51">
        <v>16416.25</v>
      </c>
      <c r="R72" s="51">
        <v>21850.98</v>
      </c>
      <c r="S72" s="50" t="s">
        <v>590</v>
      </c>
      <c r="T72" s="53" t="s">
        <v>266</v>
      </c>
    </row>
    <row r="73" spans="1:20" ht="15" customHeight="1" x14ac:dyDescent="0.25">
      <c r="A73" s="50" t="s">
        <v>2271</v>
      </c>
      <c r="B73" s="50" t="s">
        <v>1409</v>
      </c>
      <c r="C73" s="50" t="s">
        <v>2188</v>
      </c>
      <c r="D73" s="51">
        <v>1692.1</v>
      </c>
      <c r="E73" s="51">
        <v>3850.56</v>
      </c>
      <c r="F73" s="50">
        <f t="shared" si="8"/>
        <v>-2158.46</v>
      </c>
      <c r="G73" s="50">
        <f t="shared" si="11"/>
        <v>12064.54</v>
      </c>
      <c r="H73" s="52">
        <f t="shared" si="9"/>
        <v>124.3</v>
      </c>
      <c r="I73" s="52">
        <f t="shared" si="10"/>
        <v>121.79</v>
      </c>
      <c r="J73" s="52">
        <v>21.04</v>
      </c>
      <c r="K73" s="52">
        <v>4.92</v>
      </c>
      <c r="L73" s="51">
        <v>2058.1799999999998</v>
      </c>
      <c r="M73" s="51">
        <v>1768.42</v>
      </c>
      <c r="N73" s="51">
        <v>289.76</v>
      </c>
      <c r="O73" s="51">
        <v>1655.76</v>
      </c>
      <c r="P73" s="50" t="s">
        <v>2171</v>
      </c>
      <c r="Q73" s="51">
        <v>12297.34</v>
      </c>
      <c r="R73" s="51">
        <v>14976.41</v>
      </c>
      <c r="S73" s="50" t="s">
        <v>590</v>
      </c>
      <c r="T73" s="53" t="s">
        <v>266</v>
      </c>
    </row>
    <row r="74" spans="1:20" ht="15" customHeight="1" x14ac:dyDescent="0.25">
      <c r="A74" s="50" t="s">
        <v>2272</v>
      </c>
      <c r="B74" s="50" t="s">
        <v>957</v>
      </c>
      <c r="C74" s="50" t="s">
        <v>2166</v>
      </c>
      <c r="D74" s="51">
        <v>5000.24</v>
      </c>
      <c r="E74" s="51">
        <v>645.4</v>
      </c>
      <c r="F74" s="50">
        <f t="shared" si="8"/>
        <v>4354.84</v>
      </c>
      <c r="G74" s="50">
        <f t="shared" si="11"/>
        <v>16419.38</v>
      </c>
      <c r="H74" s="52">
        <f t="shared" si="9"/>
        <v>145.19</v>
      </c>
      <c r="I74" s="52">
        <f t="shared" si="10"/>
        <v>116.42</v>
      </c>
      <c r="J74" s="52">
        <v>19.899999999999999</v>
      </c>
      <c r="K74" s="52">
        <v>4.2</v>
      </c>
      <c r="L74" s="51">
        <v>8932.31</v>
      </c>
      <c r="M74" s="51">
        <v>7331.16</v>
      </c>
      <c r="N74" s="51">
        <v>1601.15</v>
      </c>
      <c r="O74" s="51">
        <v>6152.13</v>
      </c>
      <c r="P74" s="50" t="s">
        <v>2171</v>
      </c>
      <c r="Q74" s="51">
        <v>11779.5</v>
      </c>
      <c r="R74" s="51">
        <v>13713.72</v>
      </c>
      <c r="S74" s="50" t="s">
        <v>590</v>
      </c>
      <c r="T74" s="53" t="s">
        <v>266</v>
      </c>
    </row>
    <row r="75" spans="1:20" ht="15" customHeight="1" x14ac:dyDescent="0.25">
      <c r="A75" s="50" t="s">
        <v>2273</v>
      </c>
      <c r="B75" s="50" t="s">
        <v>1396</v>
      </c>
      <c r="C75" s="50" t="s">
        <v>2166</v>
      </c>
      <c r="D75" s="51">
        <v>5796.98</v>
      </c>
      <c r="E75" s="51">
        <v>2677.03</v>
      </c>
      <c r="F75" s="50">
        <f t="shared" si="8"/>
        <v>3119.95</v>
      </c>
      <c r="G75" s="50">
        <f t="shared" si="11"/>
        <v>19539.330000000002</v>
      </c>
      <c r="H75" s="52">
        <f t="shared" si="9"/>
        <v>149.38</v>
      </c>
      <c r="I75" s="52">
        <f t="shared" si="10"/>
        <v>121.72</v>
      </c>
      <c r="J75" s="52">
        <v>23.27</v>
      </c>
      <c r="K75" s="52">
        <v>5.29</v>
      </c>
      <c r="L75" s="51">
        <v>9361.24</v>
      </c>
      <c r="M75" s="51">
        <v>7405.67</v>
      </c>
      <c r="N75" s="51">
        <v>1955.57</v>
      </c>
      <c r="O75" s="51">
        <v>6266.69</v>
      </c>
      <c r="P75" s="50" t="s">
        <v>2180</v>
      </c>
      <c r="Q75" s="51">
        <v>6933.7</v>
      </c>
      <c r="R75" s="51">
        <v>8439.6</v>
      </c>
      <c r="S75" s="50" t="s">
        <v>590</v>
      </c>
      <c r="T75" s="53" t="s">
        <v>266</v>
      </c>
    </row>
    <row r="76" spans="1:20" ht="15" customHeight="1" x14ac:dyDescent="0.25">
      <c r="A76" s="50" t="s">
        <v>2274</v>
      </c>
      <c r="B76" s="50" t="s">
        <v>2114</v>
      </c>
      <c r="C76" s="50" t="s">
        <v>2166</v>
      </c>
      <c r="D76" s="51">
        <v>2010.02</v>
      </c>
      <c r="E76" s="51">
        <v>5919.57</v>
      </c>
      <c r="F76" s="50">
        <f t="shared" si="8"/>
        <v>-3909.55</v>
      </c>
      <c r="G76" s="50">
        <f t="shared" si="11"/>
        <v>15629.78</v>
      </c>
      <c r="H76" s="52">
        <f t="shared" si="9"/>
        <v>144.19999999999999</v>
      </c>
      <c r="I76" s="52">
        <f t="shared" si="10"/>
        <v>114.98</v>
      </c>
      <c r="J76" s="52">
        <v>21.19</v>
      </c>
      <c r="K76" s="52">
        <v>3.8</v>
      </c>
      <c r="L76" s="51">
        <v>9849.6200000000008</v>
      </c>
      <c r="M76" s="51">
        <v>7584.99</v>
      </c>
      <c r="N76" s="51">
        <v>2264.63</v>
      </c>
      <c r="O76" s="51">
        <v>6830.38</v>
      </c>
      <c r="P76" s="50" t="s">
        <v>2171</v>
      </c>
      <c r="Q76" s="51">
        <v>17205.830000000002</v>
      </c>
      <c r="R76" s="51">
        <v>19782.89</v>
      </c>
      <c r="S76" s="50" t="s">
        <v>590</v>
      </c>
      <c r="T76" s="53" t="s">
        <v>266</v>
      </c>
    </row>
    <row r="77" spans="1:20" ht="15" customHeight="1" x14ac:dyDescent="0.25">
      <c r="A77" s="50" t="s">
        <v>2275</v>
      </c>
      <c r="B77" s="50" t="s">
        <v>1305</v>
      </c>
      <c r="C77" s="50" t="s">
        <v>2217</v>
      </c>
      <c r="D77" s="51">
        <v>4772.8999999999996</v>
      </c>
      <c r="E77" s="51">
        <v>4076.28</v>
      </c>
      <c r="F77" s="50">
        <f t="shared" si="8"/>
        <v>696.62</v>
      </c>
      <c r="G77" s="50">
        <f t="shared" si="11"/>
        <v>16326.4</v>
      </c>
      <c r="H77" s="52">
        <f t="shared" si="9"/>
        <v>159.29</v>
      </c>
      <c r="I77" s="52">
        <f t="shared" si="10"/>
        <v>118.14</v>
      </c>
      <c r="J77" s="52">
        <v>26.52</v>
      </c>
      <c r="K77" s="52">
        <v>5.21</v>
      </c>
      <c r="L77" s="51">
        <v>3866.62</v>
      </c>
      <c r="M77" s="51">
        <v>2987.06</v>
      </c>
      <c r="N77" s="51">
        <v>879.56</v>
      </c>
      <c r="O77" s="51">
        <v>2427.34</v>
      </c>
      <c r="P77" s="50" t="s">
        <v>2171</v>
      </c>
      <c r="Q77" s="51">
        <v>13667</v>
      </c>
      <c r="R77" s="51">
        <v>16145.52</v>
      </c>
      <c r="S77" s="50" t="s">
        <v>590</v>
      </c>
      <c r="T77" s="53" t="s">
        <v>266</v>
      </c>
    </row>
    <row r="78" spans="1:20" ht="15" customHeight="1" x14ac:dyDescent="0.25">
      <c r="A78" s="50" t="s">
        <v>2276</v>
      </c>
      <c r="B78" s="50" t="s">
        <v>2277</v>
      </c>
      <c r="C78" s="50" t="s">
        <v>2206</v>
      </c>
      <c r="D78" s="51">
        <v>4499.67</v>
      </c>
      <c r="E78" s="51">
        <v>1207.18</v>
      </c>
      <c r="F78" s="50">
        <f t="shared" si="8"/>
        <v>3292.49</v>
      </c>
      <c r="G78" s="50">
        <f t="shared" si="11"/>
        <v>19618.89</v>
      </c>
      <c r="H78" s="52">
        <f t="shared" si="9"/>
        <v>136.06</v>
      </c>
      <c r="I78" s="52">
        <f t="shared" si="10"/>
        <v>118.07</v>
      </c>
      <c r="J78" s="52">
        <v>20.34</v>
      </c>
      <c r="K78" s="52">
        <v>3.92</v>
      </c>
      <c r="L78" s="51">
        <v>7745.53</v>
      </c>
      <c r="M78" s="51">
        <v>5935.83</v>
      </c>
      <c r="N78" s="51">
        <v>1809.7</v>
      </c>
      <c r="O78" s="51">
        <v>5692.87</v>
      </c>
      <c r="P78" s="50" t="s">
        <v>2180</v>
      </c>
      <c r="Q78" s="51">
        <v>17660.93</v>
      </c>
      <c r="R78" s="51">
        <v>20852.87</v>
      </c>
      <c r="S78" s="50" t="s">
        <v>590</v>
      </c>
      <c r="T78" s="53" t="s">
        <v>266</v>
      </c>
    </row>
    <row r="79" spans="1:20" ht="15" customHeight="1" x14ac:dyDescent="0.25">
      <c r="A79" s="46" t="s">
        <v>2278</v>
      </c>
      <c r="B79" s="46" t="s">
        <v>1218</v>
      </c>
      <c r="C79" s="46" t="s">
        <v>2170</v>
      </c>
      <c r="D79" s="47">
        <v>4901.3</v>
      </c>
      <c r="E79" s="47">
        <v>195.53</v>
      </c>
      <c r="F79" s="46">
        <f t="shared" si="8"/>
        <v>4705.7700000000004</v>
      </c>
      <c r="G79" s="46">
        <f t="shared" si="11"/>
        <v>24324.66</v>
      </c>
      <c r="H79" s="48">
        <f t="shared" si="9"/>
        <v>152.07</v>
      </c>
      <c r="I79" s="48">
        <f t="shared" si="10"/>
        <v>109.07</v>
      </c>
      <c r="J79" s="48">
        <v>24.44</v>
      </c>
      <c r="K79" s="48">
        <v>4.8</v>
      </c>
      <c r="L79" s="47">
        <v>9124.61</v>
      </c>
      <c r="M79" s="47">
        <v>7297.25</v>
      </c>
      <c r="N79" s="47">
        <v>1827.36</v>
      </c>
      <c r="O79" s="47">
        <v>6000.45</v>
      </c>
      <c r="P79" s="46" t="s">
        <v>2171</v>
      </c>
      <c r="Q79" s="47">
        <v>10968.64</v>
      </c>
      <c r="R79" s="47">
        <v>11963.4</v>
      </c>
      <c r="S79" s="46" t="s">
        <v>579</v>
      </c>
      <c r="T79" s="49" t="s">
        <v>321</v>
      </c>
    </row>
    <row r="80" spans="1:20" ht="15" customHeight="1" x14ac:dyDescent="0.25">
      <c r="A80" s="50" t="s">
        <v>2279</v>
      </c>
      <c r="B80" s="50" t="s">
        <v>1635</v>
      </c>
      <c r="C80" s="50" t="s">
        <v>2178</v>
      </c>
      <c r="D80" s="51">
        <v>2612.5100000000002</v>
      </c>
      <c r="E80" s="51">
        <v>5847.01</v>
      </c>
      <c r="F80" s="50">
        <f t="shared" si="8"/>
        <v>-3234.5</v>
      </c>
      <c r="G80" s="50">
        <f t="shared" si="11"/>
        <v>21090.16</v>
      </c>
      <c r="H80" s="52">
        <f t="shared" si="9"/>
        <v>127.53</v>
      </c>
      <c r="I80" s="52">
        <f t="shared" si="10"/>
        <v>110.26</v>
      </c>
      <c r="J80" s="52">
        <v>21.67</v>
      </c>
      <c r="K80" s="52">
        <v>4.6100000000000003</v>
      </c>
      <c r="L80" s="51">
        <v>4651.57</v>
      </c>
      <c r="M80" s="51">
        <v>3483.62</v>
      </c>
      <c r="N80" s="51">
        <v>1167.95</v>
      </c>
      <c r="O80" s="51">
        <v>3647.45</v>
      </c>
      <c r="P80" s="50" t="s">
        <v>2180</v>
      </c>
      <c r="Q80" s="51">
        <v>12513.15</v>
      </c>
      <c r="R80" s="51">
        <v>13797.32</v>
      </c>
      <c r="S80" s="50" t="s">
        <v>590</v>
      </c>
      <c r="T80" s="53" t="s">
        <v>266</v>
      </c>
    </row>
    <row r="81" spans="1:20" ht="15" customHeight="1" x14ac:dyDescent="0.25">
      <c r="A81" s="54" t="s">
        <v>2280</v>
      </c>
      <c r="B81" s="54" t="s">
        <v>2281</v>
      </c>
      <c r="C81" s="54" t="s">
        <v>2185</v>
      </c>
      <c r="D81" s="55">
        <v>4162.45</v>
      </c>
      <c r="E81" s="55">
        <v>2681.21</v>
      </c>
      <c r="F81" s="54">
        <f t="shared" si="8"/>
        <v>1481.24</v>
      </c>
      <c r="G81" s="54">
        <f t="shared" si="11"/>
        <v>22571.4</v>
      </c>
      <c r="H81" s="56">
        <f t="shared" si="9"/>
        <v>155.51</v>
      </c>
      <c r="I81" s="56">
        <f t="shared" si="10"/>
        <v>95.66</v>
      </c>
      <c r="J81" s="56">
        <v>25.78</v>
      </c>
      <c r="K81" s="56">
        <v>5.49</v>
      </c>
      <c r="L81" s="55">
        <v>3982.87</v>
      </c>
      <c r="M81" s="55">
        <v>3126.09</v>
      </c>
      <c r="N81" s="55">
        <v>856.78</v>
      </c>
      <c r="O81" s="55">
        <v>2561.1999999999998</v>
      </c>
      <c r="P81" s="54" t="s">
        <v>2189</v>
      </c>
      <c r="Q81" s="55">
        <v>7075.66</v>
      </c>
      <c r="R81" s="55">
        <v>6768.37</v>
      </c>
      <c r="S81" s="54" t="s">
        <v>622</v>
      </c>
      <c r="T81" s="57" t="s">
        <v>495</v>
      </c>
    </row>
    <row r="82" spans="1:20" ht="15" customHeight="1" x14ac:dyDescent="0.25">
      <c r="A82" s="46" t="s">
        <v>2282</v>
      </c>
      <c r="B82" s="46" t="s">
        <v>1203</v>
      </c>
      <c r="C82" s="46" t="s">
        <v>2188</v>
      </c>
      <c r="D82" s="47">
        <v>711.68</v>
      </c>
      <c r="E82" s="47">
        <v>4524.67</v>
      </c>
      <c r="F82" s="46">
        <f t="shared" si="8"/>
        <v>-3812.99</v>
      </c>
      <c r="G82" s="46">
        <f t="shared" si="11"/>
        <v>18758.41</v>
      </c>
      <c r="H82" s="48">
        <f t="shared" si="9"/>
        <v>138.01</v>
      </c>
      <c r="I82" s="48">
        <f t="shared" si="10"/>
        <v>103.47</v>
      </c>
      <c r="J82" s="48">
        <v>22.78</v>
      </c>
      <c r="K82" s="48">
        <v>5.1100000000000003</v>
      </c>
      <c r="L82" s="47">
        <v>6851.2</v>
      </c>
      <c r="M82" s="47">
        <v>5442.01</v>
      </c>
      <c r="N82" s="47">
        <v>1409.19</v>
      </c>
      <c r="O82" s="47">
        <v>4964.22</v>
      </c>
      <c r="P82" s="46" t="s">
        <v>2167</v>
      </c>
      <c r="Q82" s="47">
        <v>16220.46</v>
      </c>
      <c r="R82" s="47">
        <v>16784.099999999999</v>
      </c>
      <c r="S82" s="46" t="s">
        <v>579</v>
      </c>
      <c r="T82" s="49" t="s">
        <v>321</v>
      </c>
    </row>
    <row r="83" spans="1:20" ht="15" customHeight="1" x14ac:dyDescent="0.25">
      <c r="A83" s="46" t="s">
        <v>2283</v>
      </c>
      <c r="B83" s="46" t="s">
        <v>1294</v>
      </c>
      <c r="C83" s="46" t="s">
        <v>2200</v>
      </c>
      <c r="D83" s="47">
        <v>3354.37</v>
      </c>
      <c r="E83" s="47">
        <v>775.56</v>
      </c>
      <c r="F83" s="46">
        <f t="shared" si="8"/>
        <v>2578.81</v>
      </c>
      <c r="G83" s="46">
        <f t="shared" si="11"/>
        <v>21337.22</v>
      </c>
      <c r="H83" s="48">
        <f t="shared" si="9"/>
        <v>121.04</v>
      </c>
      <c r="I83" s="48">
        <f t="shared" si="10"/>
        <v>109.99</v>
      </c>
      <c r="J83" s="48">
        <v>25.25</v>
      </c>
      <c r="K83" s="48">
        <v>4.43</v>
      </c>
      <c r="L83" s="47">
        <v>9411.77</v>
      </c>
      <c r="M83" s="47">
        <v>7023.13</v>
      </c>
      <c r="N83" s="47">
        <v>2388.64</v>
      </c>
      <c r="O83" s="47">
        <v>7775.96</v>
      </c>
      <c r="P83" s="46" t="s">
        <v>2171</v>
      </c>
      <c r="Q83" s="47">
        <v>6091.26</v>
      </c>
      <c r="R83" s="47">
        <v>6699.52</v>
      </c>
      <c r="S83" s="46" t="s">
        <v>579</v>
      </c>
      <c r="T83" s="49" t="s">
        <v>321</v>
      </c>
    </row>
    <row r="84" spans="1:20" ht="15" customHeight="1" x14ac:dyDescent="0.25">
      <c r="A84" s="54" t="s">
        <v>2284</v>
      </c>
      <c r="B84" s="54" t="s">
        <v>1536</v>
      </c>
      <c r="C84" s="54" t="s">
        <v>2178</v>
      </c>
      <c r="D84" s="55">
        <v>1773.27</v>
      </c>
      <c r="E84" s="55">
        <v>5289.68</v>
      </c>
      <c r="F84" s="54">
        <f t="shared" si="8"/>
        <v>-3516.41</v>
      </c>
      <c r="G84" s="54">
        <f t="shared" si="11"/>
        <v>17820.810000000001</v>
      </c>
      <c r="H84" s="56">
        <f t="shared" si="9"/>
        <v>147.71</v>
      </c>
      <c r="I84" s="56">
        <f t="shared" si="10"/>
        <v>96.05</v>
      </c>
      <c r="J84" s="56">
        <v>22.03</v>
      </c>
      <c r="K84" s="56">
        <v>3.98</v>
      </c>
      <c r="L84" s="55">
        <v>3951.23</v>
      </c>
      <c r="M84" s="55">
        <v>2998.59</v>
      </c>
      <c r="N84" s="55">
        <v>952.64</v>
      </c>
      <c r="O84" s="55">
        <v>2675.02</v>
      </c>
      <c r="P84" s="54" t="s">
        <v>2171</v>
      </c>
      <c r="Q84" s="55">
        <v>6392.1</v>
      </c>
      <c r="R84" s="55">
        <v>6139.6</v>
      </c>
      <c r="S84" s="54" t="s">
        <v>622</v>
      </c>
      <c r="T84" s="57" t="s">
        <v>495</v>
      </c>
    </row>
    <row r="85" spans="1:20" ht="15" customHeight="1" x14ac:dyDescent="0.25">
      <c r="A85" s="46" t="s">
        <v>2285</v>
      </c>
      <c r="B85" s="46" t="s">
        <v>2286</v>
      </c>
      <c r="C85" s="46" t="s">
        <v>2170</v>
      </c>
      <c r="D85" s="47">
        <v>5060.54</v>
      </c>
      <c r="E85" s="47">
        <v>3161.88</v>
      </c>
      <c r="F85" s="46">
        <f t="shared" si="8"/>
        <v>1898.66</v>
      </c>
      <c r="G85" s="46">
        <f t="shared" si="11"/>
        <v>19719.47</v>
      </c>
      <c r="H85" s="48">
        <f t="shared" si="9"/>
        <v>110.22</v>
      </c>
      <c r="I85" s="48">
        <f t="shared" si="10"/>
        <v>120.78</v>
      </c>
      <c r="J85" s="48">
        <v>23.36</v>
      </c>
      <c r="K85" s="48">
        <v>4.3600000000000003</v>
      </c>
      <c r="L85" s="47">
        <v>7572.77</v>
      </c>
      <c r="M85" s="47">
        <v>6240.47</v>
      </c>
      <c r="N85" s="47">
        <v>1332.3</v>
      </c>
      <c r="O85" s="47">
        <v>6870.31</v>
      </c>
      <c r="P85" s="46" t="s">
        <v>2171</v>
      </c>
      <c r="Q85" s="47">
        <v>8311.92</v>
      </c>
      <c r="R85" s="47">
        <v>10038.92</v>
      </c>
      <c r="S85" s="46" t="s">
        <v>579</v>
      </c>
      <c r="T85" s="49" t="s">
        <v>321</v>
      </c>
    </row>
    <row r="86" spans="1:20" ht="15" customHeight="1" x14ac:dyDescent="0.25">
      <c r="A86" s="54" t="s">
        <v>2287</v>
      </c>
      <c r="B86" s="54" t="s">
        <v>1635</v>
      </c>
      <c r="C86" s="54" t="s">
        <v>2176</v>
      </c>
      <c r="D86" s="55">
        <v>4827.8599999999997</v>
      </c>
      <c r="E86" s="55">
        <v>3509.34</v>
      </c>
      <c r="F86" s="54">
        <f t="shared" si="8"/>
        <v>1318.52</v>
      </c>
      <c r="G86" s="54">
        <f t="shared" si="11"/>
        <v>21037.99</v>
      </c>
      <c r="H86" s="56">
        <f t="shared" si="9"/>
        <v>158.63999999999999</v>
      </c>
      <c r="I86" s="56">
        <f t="shared" si="10"/>
        <v>98.98</v>
      </c>
      <c r="J86" s="56">
        <v>19.98</v>
      </c>
      <c r="K86" s="56">
        <v>5.31</v>
      </c>
      <c r="L86" s="55">
        <v>2651.99</v>
      </c>
      <c r="M86" s="55">
        <v>2076.3200000000002</v>
      </c>
      <c r="N86" s="55">
        <v>575.66999999999996</v>
      </c>
      <c r="O86" s="55">
        <v>1671.69</v>
      </c>
      <c r="P86" s="54" t="s">
        <v>2180</v>
      </c>
      <c r="Q86" s="55">
        <v>11248.82</v>
      </c>
      <c r="R86" s="55">
        <v>11134.43</v>
      </c>
      <c r="S86" s="54" t="s">
        <v>622</v>
      </c>
      <c r="T86" s="57" t="s">
        <v>495</v>
      </c>
    </row>
    <row r="87" spans="1:20" ht="15" customHeight="1" x14ac:dyDescent="0.25">
      <c r="A87" s="54" t="s">
        <v>2288</v>
      </c>
      <c r="B87" s="54" t="s">
        <v>2289</v>
      </c>
      <c r="C87" s="54" t="s">
        <v>2166</v>
      </c>
      <c r="D87" s="55">
        <v>3075.12</v>
      </c>
      <c r="E87" s="55">
        <v>3825.5</v>
      </c>
      <c r="F87" s="54">
        <f t="shared" si="8"/>
        <v>-750.38</v>
      </c>
      <c r="G87" s="54">
        <f t="shared" si="11"/>
        <v>20287.61</v>
      </c>
      <c r="H87" s="56">
        <f t="shared" si="9"/>
        <v>137.63999999999999</v>
      </c>
      <c r="I87" s="56">
        <f t="shared" si="10"/>
        <v>98.73</v>
      </c>
      <c r="J87" s="56">
        <v>20.71</v>
      </c>
      <c r="K87" s="56">
        <v>4.6100000000000003</v>
      </c>
      <c r="L87" s="55">
        <v>8614.6</v>
      </c>
      <c r="M87" s="55">
        <v>6533.11</v>
      </c>
      <c r="N87" s="55">
        <v>2081.4899999999998</v>
      </c>
      <c r="O87" s="55">
        <v>6258.83</v>
      </c>
      <c r="P87" s="54" t="s">
        <v>2167</v>
      </c>
      <c r="Q87" s="55">
        <v>8445.15</v>
      </c>
      <c r="R87" s="55">
        <v>8337.9500000000007</v>
      </c>
      <c r="S87" s="54" t="s">
        <v>622</v>
      </c>
      <c r="T87" s="57" t="s">
        <v>495</v>
      </c>
    </row>
    <row r="88" spans="1:20" ht="15" customHeight="1" x14ac:dyDescent="0.25">
      <c r="A88" s="50" t="s">
        <v>2290</v>
      </c>
      <c r="B88" s="50" t="s">
        <v>2291</v>
      </c>
      <c r="C88" s="50" t="s">
        <v>2176</v>
      </c>
      <c r="D88" s="51">
        <v>3810.48</v>
      </c>
      <c r="E88" s="51">
        <v>3600.4</v>
      </c>
      <c r="F88" s="50">
        <f t="shared" si="8"/>
        <v>210.08</v>
      </c>
      <c r="G88" s="50">
        <f t="shared" si="11"/>
        <v>20497.689999999999</v>
      </c>
      <c r="H88" s="52">
        <f t="shared" si="9"/>
        <v>155.24</v>
      </c>
      <c r="I88" s="52">
        <f t="shared" si="10"/>
        <v>120.38</v>
      </c>
      <c r="J88" s="52">
        <v>19.170000000000002</v>
      </c>
      <c r="K88" s="52">
        <v>4.26</v>
      </c>
      <c r="L88" s="51">
        <v>1794.12</v>
      </c>
      <c r="M88" s="51">
        <v>1389.16</v>
      </c>
      <c r="N88" s="51">
        <v>404.96</v>
      </c>
      <c r="O88" s="51">
        <v>1155.74</v>
      </c>
      <c r="P88" s="50" t="s">
        <v>2180</v>
      </c>
      <c r="Q88" s="51">
        <v>17800.97</v>
      </c>
      <c r="R88" s="51">
        <v>21428.55</v>
      </c>
      <c r="S88" s="50" t="s">
        <v>590</v>
      </c>
      <c r="T88" s="53" t="s">
        <v>266</v>
      </c>
    </row>
    <row r="89" spans="1:20" ht="15" customHeight="1" x14ac:dyDescent="0.25">
      <c r="A89" s="50" t="s">
        <v>2292</v>
      </c>
      <c r="B89" s="50" t="s">
        <v>1534</v>
      </c>
      <c r="C89" s="50" t="s">
        <v>2170</v>
      </c>
      <c r="D89" s="51">
        <v>1200.68</v>
      </c>
      <c r="E89" s="51">
        <v>3949.88</v>
      </c>
      <c r="F89" s="50">
        <f t="shared" si="8"/>
        <v>-2749.2</v>
      </c>
      <c r="G89" s="50">
        <f t="shared" si="11"/>
        <v>17748.490000000002</v>
      </c>
      <c r="H89" s="52">
        <f t="shared" si="9"/>
        <v>150.43</v>
      </c>
      <c r="I89" s="52">
        <f t="shared" si="10"/>
        <v>121.37</v>
      </c>
      <c r="J89" s="52">
        <v>24.67</v>
      </c>
      <c r="K89" s="52">
        <v>5.1100000000000003</v>
      </c>
      <c r="L89" s="51">
        <v>3219.11</v>
      </c>
      <c r="M89" s="51">
        <v>2707.94</v>
      </c>
      <c r="N89" s="51">
        <v>511.17</v>
      </c>
      <c r="O89" s="51">
        <v>2139.98</v>
      </c>
      <c r="P89" s="50" t="s">
        <v>2171</v>
      </c>
      <c r="Q89" s="51">
        <v>15244.7</v>
      </c>
      <c r="R89" s="51">
        <v>18502.54</v>
      </c>
      <c r="S89" s="50" t="s">
        <v>590</v>
      </c>
      <c r="T89" s="53" t="s">
        <v>266</v>
      </c>
    </row>
    <row r="90" spans="1:20" ht="15" customHeight="1" x14ac:dyDescent="0.25">
      <c r="A90" s="46" t="s">
        <v>2293</v>
      </c>
      <c r="B90" s="46" t="s">
        <v>2175</v>
      </c>
      <c r="C90" s="46" t="s">
        <v>2217</v>
      </c>
      <c r="D90" s="47">
        <v>5616.36</v>
      </c>
      <c r="E90" s="47">
        <v>3801.88</v>
      </c>
      <c r="F90" s="46">
        <f t="shared" si="8"/>
        <v>1814.48</v>
      </c>
      <c r="G90" s="46">
        <f t="shared" si="11"/>
        <v>19562.97</v>
      </c>
      <c r="H90" s="48">
        <f t="shared" si="9"/>
        <v>106.21</v>
      </c>
      <c r="I90" s="48">
        <f t="shared" si="10"/>
        <v>105.48</v>
      </c>
      <c r="J90" s="48">
        <v>22.4</v>
      </c>
      <c r="K90" s="48">
        <v>4.6900000000000004</v>
      </c>
      <c r="L90" s="47">
        <v>7014.23</v>
      </c>
      <c r="M90" s="47">
        <v>5541.03</v>
      </c>
      <c r="N90" s="47">
        <v>1473.2</v>
      </c>
      <c r="O90" s="47">
        <v>6604.42</v>
      </c>
      <c r="P90" s="46" t="s">
        <v>2189</v>
      </c>
      <c r="Q90" s="47">
        <v>7702.02</v>
      </c>
      <c r="R90" s="47">
        <v>8124.07</v>
      </c>
      <c r="S90" s="46" t="s">
        <v>579</v>
      </c>
      <c r="T90" s="49" t="s">
        <v>321</v>
      </c>
    </row>
    <row r="91" spans="1:20" ht="15" customHeight="1" x14ac:dyDescent="0.25">
      <c r="A91" s="54" t="s">
        <v>2294</v>
      </c>
      <c r="B91" s="54" t="s">
        <v>1191</v>
      </c>
      <c r="C91" s="54" t="s">
        <v>2217</v>
      </c>
      <c r="D91" s="55">
        <v>556.54999999999995</v>
      </c>
      <c r="E91" s="55">
        <v>5083.28</v>
      </c>
      <c r="F91" s="54">
        <f t="shared" si="8"/>
        <v>-4526.7299999999996</v>
      </c>
      <c r="G91" s="54">
        <f t="shared" si="11"/>
        <v>15036.24</v>
      </c>
      <c r="H91" s="56">
        <f t="shared" si="9"/>
        <v>106.04</v>
      </c>
      <c r="I91" s="56">
        <f t="shared" si="10"/>
        <v>98.05</v>
      </c>
      <c r="J91" s="56">
        <v>25.26</v>
      </c>
      <c r="K91" s="56">
        <v>4.33</v>
      </c>
      <c r="L91" s="55">
        <v>8825.5300000000007</v>
      </c>
      <c r="M91" s="55">
        <v>7406.49</v>
      </c>
      <c r="N91" s="55">
        <v>1419.04</v>
      </c>
      <c r="O91" s="55">
        <v>8322.81</v>
      </c>
      <c r="P91" s="54" t="s">
        <v>2171</v>
      </c>
      <c r="Q91" s="55">
        <v>17510.61</v>
      </c>
      <c r="R91" s="55">
        <v>17169.59</v>
      </c>
      <c r="S91" s="54" t="s">
        <v>622</v>
      </c>
      <c r="T91" s="57" t="s">
        <v>495</v>
      </c>
    </row>
    <row r="92" spans="1:20" ht="15" customHeight="1" x14ac:dyDescent="0.25">
      <c r="A92" s="46" t="s">
        <v>2295</v>
      </c>
      <c r="B92" s="46" t="s">
        <v>2296</v>
      </c>
      <c r="C92" s="46" t="s">
        <v>2188</v>
      </c>
      <c r="D92" s="47">
        <v>2314</v>
      </c>
      <c r="E92" s="47">
        <v>1950.15</v>
      </c>
      <c r="F92" s="46">
        <f t="shared" si="8"/>
        <v>363.85</v>
      </c>
      <c r="G92" s="46">
        <f t="shared" si="11"/>
        <v>15400.09</v>
      </c>
      <c r="H92" s="48">
        <f t="shared" si="9"/>
        <v>110.79</v>
      </c>
      <c r="I92" s="48">
        <f t="shared" si="10"/>
        <v>108.71</v>
      </c>
      <c r="J92" s="48">
        <v>18.59</v>
      </c>
      <c r="K92" s="48">
        <v>3.86</v>
      </c>
      <c r="L92" s="47">
        <v>9675.77</v>
      </c>
      <c r="M92" s="47">
        <v>7376.46</v>
      </c>
      <c r="N92" s="47">
        <v>2299.31</v>
      </c>
      <c r="O92" s="47">
        <v>8733.56</v>
      </c>
      <c r="P92" s="46" t="s">
        <v>2189</v>
      </c>
      <c r="Q92" s="47">
        <v>7406.49</v>
      </c>
      <c r="R92" s="47">
        <v>8051.77</v>
      </c>
      <c r="S92" s="46" t="s">
        <v>579</v>
      </c>
      <c r="T92" s="49" t="s">
        <v>321</v>
      </c>
    </row>
    <row r="93" spans="1:20" ht="15" customHeight="1" x14ac:dyDescent="0.25">
      <c r="A93" s="46" t="s">
        <v>2297</v>
      </c>
      <c r="B93" s="46" t="s">
        <v>643</v>
      </c>
      <c r="C93" s="46" t="s">
        <v>2200</v>
      </c>
      <c r="D93" s="47">
        <v>5970</v>
      </c>
      <c r="E93" s="47">
        <v>3639.96</v>
      </c>
      <c r="F93" s="46">
        <f t="shared" si="8"/>
        <v>2330.04</v>
      </c>
      <c r="G93" s="46">
        <f t="shared" si="11"/>
        <v>17730.13</v>
      </c>
      <c r="H93" s="48">
        <f t="shared" si="9"/>
        <v>115.27</v>
      </c>
      <c r="I93" s="48">
        <f t="shared" si="10"/>
        <v>125.44</v>
      </c>
      <c r="J93" s="48">
        <v>19.53</v>
      </c>
      <c r="K93" s="48">
        <v>4.71</v>
      </c>
      <c r="L93" s="47">
        <v>1547.99</v>
      </c>
      <c r="M93" s="47">
        <v>1234.0999999999999</v>
      </c>
      <c r="N93" s="47">
        <v>313.89</v>
      </c>
      <c r="O93" s="47">
        <v>1342.92</v>
      </c>
      <c r="P93" s="46" t="s">
        <v>2189</v>
      </c>
      <c r="Q93" s="47">
        <v>12215.94</v>
      </c>
      <c r="R93" s="47">
        <v>15323.48</v>
      </c>
      <c r="S93" s="46" t="s">
        <v>579</v>
      </c>
      <c r="T93" s="49" t="s">
        <v>321</v>
      </c>
    </row>
    <row r="94" spans="1:20" ht="15" customHeight="1" x14ac:dyDescent="0.25">
      <c r="A94" s="54" t="s">
        <v>2298</v>
      </c>
      <c r="B94" s="54" t="s">
        <v>1317</v>
      </c>
      <c r="C94" s="54" t="s">
        <v>2170</v>
      </c>
      <c r="D94" s="55">
        <v>777.25</v>
      </c>
      <c r="E94" s="55">
        <v>1380.05</v>
      </c>
      <c r="F94" s="54">
        <f t="shared" si="8"/>
        <v>-602.79999999999995</v>
      </c>
      <c r="G94" s="54">
        <f t="shared" si="11"/>
        <v>17127.330000000002</v>
      </c>
      <c r="H94" s="56">
        <f t="shared" si="9"/>
        <v>143.66</v>
      </c>
      <c r="I94" s="56">
        <f t="shared" si="10"/>
        <v>98.68</v>
      </c>
      <c r="J94" s="56">
        <v>26.49</v>
      </c>
      <c r="K94" s="56">
        <v>4.04</v>
      </c>
      <c r="L94" s="55">
        <v>4092</v>
      </c>
      <c r="M94" s="55">
        <v>3427.27</v>
      </c>
      <c r="N94" s="55">
        <v>664.73</v>
      </c>
      <c r="O94" s="55">
        <v>2848.3</v>
      </c>
      <c r="P94" s="54" t="s">
        <v>2171</v>
      </c>
      <c r="Q94" s="55">
        <v>8390.85</v>
      </c>
      <c r="R94" s="55">
        <v>8279.99</v>
      </c>
      <c r="S94" s="54" t="s">
        <v>622</v>
      </c>
      <c r="T94" s="57" t="s">
        <v>495</v>
      </c>
    </row>
    <row r="95" spans="1:20" ht="15" customHeight="1" x14ac:dyDescent="0.25">
      <c r="A95" s="50" t="s">
        <v>2299</v>
      </c>
      <c r="B95" s="50" t="s">
        <v>2300</v>
      </c>
      <c r="C95" s="50" t="s">
        <v>2178</v>
      </c>
      <c r="D95" s="51">
        <v>3946.35</v>
      </c>
      <c r="E95" s="51">
        <v>2855.56</v>
      </c>
      <c r="F95" s="50">
        <f t="shared" si="8"/>
        <v>1090.79</v>
      </c>
      <c r="G95" s="50">
        <f t="shared" si="11"/>
        <v>18218.12</v>
      </c>
      <c r="H95" s="52">
        <f t="shared" si="9"/>
        <v>156.78</v>
      </c>
      <c r="I95" s="52">
        <f t="shared" si="10"/>
        <v>130.49</v>
      </c>
      <c r="J95" s="52">
        <v>26.34</v>
      </c>
      <c r="K95" s="52">
        <v>4</v>
      </c>
      <c r="L95" s="51">
        <v>8290.91</v>
      </c>
      <c r="M95" s="51">
        <v>6701.28</v>
      </c>
      <c r="N95" s="51">
        <v>1589.63</v>
      </c>
      <c r="O95" s="51">
        <v>5288.22</v>
      </c>
      <c r="P95" s="50" t="s">
        <v>2180</v>
      </c>
      <c r="Q95" s="51">
        <v>14244.69</v>
      </c>
      <c r="R95" s="51">
        <v>18588.27</v>
      </c>
      <c r="S95" s="50" t="s">
        <v>590</v>
      </c>
      <c r="T95" s="53" t="s">
        <v>266</v>
      </c>
    </row>
    <row r="96" spans="1:20" ht="15" customHeight="1" x14ac:dyDescent="0.25">
      <c r="A96" s="46" t="s">
        <v>2301</v>
      </c>
      <c r="B96" s="46" t="s">
        <v>2302</v>
      </c>
      <c r="C96" s="46" t="s">
        <v>2188</v>
      </c>
      <c r="D96" s="47">
        <v>707.08</v>
      </c>
      <c r="E96" s="47">
        <v>4779.6000000000004</v>
      </c>
      <c r="F96" s="46">
        <f t="shared" si="8"/>
        <v>-4072.52</v>
      </c>
      <c r="G96" s="46">
        <f t="shared" si="11"/>
        <v>14145.6</v>
      </c>
      <c r="H96" s="48">
        <f t="shared" si="9"/>
        <v>112.35</v>
      </c>
      <c r="I96" s="48">
        <f t="shared" si="10"/>
        <v>124.88</v>
      </c>
      <c r="J96" s="48">
        <v>24.64</v>
      </c>
      <c r="K96" s="48">
        <v>4.37</v>
      </c>
      <c r="L96" s="47">
        <v>6147</v>
      </c>
      <c r="M96" s="47">
        <v>5195.54</v>
      </c>
      <c r="N96" s="47">
        <v>951.46</v>
      </c>
      <c r="O96" s="47">
        <v>5471.3</v>
      </c>
      <c r="P96" s="46" t="s">
        <v>2171</v>
      </c>
      <c r="Q96" s="47">
        <v>11084.85</v>
      </c>
      <c r="R96" s="47">
        <v>13843.11</v>
      </c>
      <c r="S96" s="46" t="s">
        <v>579</v>
      </c>
      <c r="T96" s="49" t="s">
        <v>321</v>
      </c>
    </row>
    <row r="97" spans="1:20" ht="15" customHeight="1" x14ac:dyDescent="0.25">
      <c r="A97" s="50" t="s">
        <v>2303</v>
      </c>
      <c r="B97" s="50" t="s">
        <v>2304</v>
      </c>
      <c r="C97" s="50" t="s">
        <v>2170</v>
      </c>
      <c r="D97" s="51">
        <v>3775.17</v>
      </c>
      <c r="E97" s="51">
        <v>3683.04</v>
      </c>
      <c r="F97" s="50">
        <f t="shared" si="8"/>
        <v>92.13</v>
      </c>
      <c r="G97" s="50">
        <f t="shared" si="11"/>
        <v>14237.73</v>
      </c>
      <c r="H97" s="52">
        <f t="shared" si="9"/>
        <v>122.44</v>
      </c>
      <c r="I97" s="52">
        <f t="shared" si="10"/>
        <v>133.32</v>
      </c>
      <c r="J97" s="52">
        <v>23.88</v>
      </c>
      <c r="K97" s="52">
        <v>3.63</v>
      </c>
      <c r="L97" s="51">
        <v>5204.4799999999996</v>
      </c>
      <c r="M97" s="51">
        <v>4119.33</v>
      </c>
      <c r="N97" s="51">
        <v>1085.1500000000001</v>
      </c>
      <c r="O97" s="51">
        <v>4250.72</v>
      </c>
      <c r="P97" s="50" t="s">
        <v>2180</v>
      </c>
      <c r="Q97" s="51">
        <v>16673.400000000001</v>
      </c>
      <c r="R97" s="51">
        <v>22229.63</v>
      </c>
      <c r="S97" s="50" t="s">
        <v>590</v>
      </c>
      <c r="T97" s="53" t="s">
        <v>266</v>
      </c>
    </row>
    <row r="98" spans="1:20" ht="15" customHeight="1" x14ac:dyDescent="0.25">
      <c r="A98" s="46" t="s">
        <v>2305</v>
      </c>
      <c r="B98" s="46" t="s">
        <v>1704</v>
      </c>
      <c r="C98" s="46" t="s">
        <v>2249</v>
      </c>
      <c r="D98" s="47">
        <v>2517.87</v>
      </c>
      <c r="E98" s="47">
        <v>3662.9</v>
      </c>
      <c r="F98" s="46">
        <f t="shared" si="8"/>
        <v>-1145.03</v>
      </c>
      <c r="G98" s="46">
        <f t="shared" si="11"/>
        <v>13092.7</v>
      </c>
      <c r="H98" s="48">
        <f t="shared" si="9"/>
        <v>131.83000000000001</v>
      </c>
      <c r="I98" s="48">
        <f t="shared" si="10"/>
        <v>102.44</v>
      </c>
      <c r="J98" s="48">
        <v>21.89</v>
      </c>
      <c r="K98" s="48">
        <v>3.73</v>
      </c>
      <c r="L98" s="47">
        <v>9602.06</v>
      </c>
      <c r="M98" s="47">
        <v>7165.31</v>
      </c>
      <c r="N98" s="47">
        <v>2436.75</v>
      </c>
      <c r="O98" s="47">
        <v>7283.67</v>
      </c>
      <c r="P98" s="46" t="s">
        <v>2167</v>
      </c>
      <c r="Q98" s="47">
        <v>11152.64</v>
      </c>
      <c r="R98" s="47">
        <v>11424.38</v>
      </c>
      <c r="S98" s="46" t="s">
        <v>579</v>
      </c>
      <c r="T98" s="49" t="s">
        <v>321</v>
      </c>
    </row>
    <row r="99" spans="1:20" ht="15" customHeight="1" x14ac:dyDescent="0.25">
      <c r="A99" s="46" t="s">
        <v>2306</v>
      </c>
      <c r="B99" s="46" t="s">
        <v>703</v>
      </c>
      <c r="C99" s="46" t="s">
        <v>2217</v>
      </c>
      <c r="D99" s="47">
        <v>1369.59</v>
      </c>
      <c r="E99" s="47">
        <v>2292.8000000000002</v>
      </c>
      <c r="F99" s="46">
        <f t="shared" ref="F99:F130" si="12">ROUND(D99-E99,2)</f>
        <v>-923.21</v>
      </c>
      <c r="G99" s="46">
        <f t="shared" si="11"/>
        <v>12169.49</v>
      </c>
      <c r="H99" s="48">
        <f t="shared" ref="H99:H130" si="13">ROUND(L99/O99*100,2)</f>
        <v>100.58</v>
      </c>
      <c r="I99" s="48">
        <f t="shared" ref="I99:I130" si="14">ROUND(R99/Q99*100,2)</f>
        <v>126.81</v>
      </c>
      <c r="J99" s="48">
        <v>24.35</v>
      </c>
      <c r="K99" s="48">
        <v>4.93</v>
      </c>
      <c r="L99" s="47">
        <v>2651.71</v>
      </c>
      <c r="M99" s="47">
        <v>2186.27</v>
      </c>
      <c r="N99" s="47">
        <v>465.44</v>
      </c>
      <c r="O99" s="47">
        <v>2636.47</v>
      </c>
      <c r="P99" s="46" t="s">
        <v>2180</v>
      </c>
      <c r="Q99" s="47">
        <v>11584.52</v>
      </c>
      <c r="R99" s="47">
        <v>14690.28</v>
      </c>
      <c r="S99" s="46" t="s">
        <v>579</v>
      </c>
      <c r="T99" s="49" t="s">
        <v>321</v>
      </c>
    </row>
    <row r="100" spans="1:20" ht="15" customHeight="1" x14ac:dyDescent="0.25">
      <c r="A100" s="46" t="s">
        <v>2307</v>
      </c>
      <c r="B100" s="46" t="s">
        <v>1705</v>
      </c>
      <c r="C100" s="46" t="s">
        <v>2206</v>
      </c>
      <c r="D100" s="47">
        <v>3413.68</v>
      </c>
      <c r="E100" s="47">
        <v>2374.9899999999998</v>
      </c>
      <c r="F100" s="46">
        <f t="shared" si="12"/>
        <v>1038.69</v>
      </c>
      <c r="G100" s="46">
        <f t="shared" ref="G100:G131" si="15">ROUND(G99+F100,2)</f>
        <v>13208.18</v>
      </c>
      <c r="H100" s="48">
        <f t="shared" si="13"/>
        <v>106.18</v>
      </c>
      <c r="I100" s="48">
        <f t="shared" si="14"/>
        <v>120.85</v>
      </c>
      <c r="J100" s="48">
        <v>20.86</v>
      </c>
      <c r="K100" s="48">
        <v>4.72</v>
      </c>
      <c r="L100" s="47">
        <v>6644.17</v>
      </c>
      <c r="M100" s="47">
        <v>5292.25</v>
      </c>
      <c r="N100" s="47">
        <v>1351.92</v>
      </c>
      <c r="O100" s="47">
        <v>6257.74</v>
      </c>
      <c r="P100" s="46" t="s">
        <v>2189</v>
      </c>
      <c r="Q100" s="47">
        <v>12887.38</v>
      </c>
      <c r="R100" s="47">
        <v>15574.5</v>
      </c>
      <c r="S100" s="46" t="s">
        <v>579</v>
      </c>
      <c r="T100" s="49" t="s">
        <v>321</v>
      </c>
    </row>
    <row r="101" spans="1:20" ht="15" customHeight="1" x14ac:dyDescent="0.25">
      <c r="A101" s="50" t="s">
        <v>2308</v>
      </c>
      <c r="B101" s="50" t="s">
        <v>2214</v>
      </c>
      <c r="C101" s="50" t="s">
        <v>2188</v>
      </c>
      <c r="D101" s="51">
        <v>1974.92</v>
      </c>
      <c r="E101" s="51">
        <v>1988.72</v>
      </c>
      <c r="F101" s="50">
        <f t="shared" si="12"/>
        <v>-13.8</v>
      </c>
      <c r="G101" s="50">
        <f t="shared" si="15"/>
        <v>13194.38</v>
      </c>
      <c r="H101" s="52">
        <f t="shared" si="13"/>
        <v>129.91999999999999</v>
      </c>
      <c r="I101" s="52">
        <f t="shared" si="14"/>
        <v>119.06</v>
      </c>
      <c r="J101" s="52">
        <v>26.92</v>
      </c>
      <c r="K101" s="52">
        <v>4.34</v>
      </c>
      <c r="L101" s="51">
        <v>3329.36</v>
      </c>
      <c r="M101" s="51">
        <v>2540.44</v>
      </c>
      <c r="N101" s="51">
        <v>788.92</v>
      </c>
      <c r="O101" s="51">
        <v>2562.64</v>
      </c>
      <c r="P101" s="50" t="s">
        <v>2189</v>
      </c>
      <c r="Q101" s="51">
        <v>11433.42</v>
      </c>
      <c r="R101" s="51">
        <v>13612.31</v>
      </c>
      <c r="S101" s="50" t="s">
        <v>590</v>
      </c>
      <c r="T101" s="53" t="s">
        <v>266</v>
      </c>
    </row>
    <row r="102" spans="1:20" ht="15" customHeight="1" x14ac:dyDescent="0.25">
      <c r="A102" s="50" t="s">
        <v>2309</v>
      </c>
      <c r="B102" s="50" t="s">
        <v>1369</v>
      </c>
      <c r="C102" s="50" t="s">
        <v>2188</v>
      </c>
      <c r="D102" s="51">
        <v>1494.89</v>
      </c>
      <c r="E102" s="51">
        <v>225.49</v>
      </c>
      <c r="F102" s="50">
        <f t="shared" si="12"/>
        <v>1269.4000000000001</v>
      </c>
      <c r="G102" s="50">
        <f t="shared" si="15"/>
        <v>14463.78</v>
      </c>
      <c r="H102" s="52">
        <f t="shared" si="13"/>
        <v>134.55000000000001</v>
      </c>
      <c r="I102" s="52">
        <f t="shared" si="14"/>
        <v>111.11</v>
      </c>
      <c r="J102" s="52">
        <v>18.54</v>
      </c>
      <c r="K102" s="52">
        <v>4.42</v>
      </c>
      <c r="L102" s="51">
        <v>1726.48</v>
      </c>
      <c r="M102" s="51">
        <v>1321.29</v>
      </c>
      <c r="N102" s="51">
        <v>405.19</v>
      </c>
      <c r="O102" s="51">
        <v>1283.19</v>
      </c>
      <c r="P102" s="50" t="s">
        <v>2180</v>
      </c>
      <c r="Q102" s="51">
        <v>16099.71</v>
      </c>
      <c r="R102" s="51">
        <v>17888.78</v>
      </c>
      <c r="S102" s="50" t="s">
        <v>590</v>
      </c>
      <c r="T102" s="53" t="s">
        <v>266</v>
      </c>
    </row>
    <row r="103" spans="1:20" ht="15" customHeight="1" x14ac:dyDescent="0.25">
      <c r="A103" s="46" t="s">
        <v>2310</v>
      </c>
      <c r="B103" s="46" t="s">
        <v>2103</v>
      </c>
      <c r="C103" s="46" t="s">
        <v>2178</v>
      </c>
      <c r="D103" s="47">
        <v>5516.4</v>
      </c>
      <c r="E103" s="47">
        <v>330.81</v>
      </c>
      <c r="F103" s="46">
        <f t="shared" si="12"/>
        <v>5185.59</v>
      </c>
      <c r="G103" s="46">
        <f t="shared" si="15"/>
        <v>19649.37</v>
      </c>
      <c r="H103" s="48">
        <f t="shared" si="13"/>
        <v>105.71</v>
      </c>
      <c r="I103" s="48">
        <f t="shared" si="14"/>
        <v>108.83</v>
      </c>
      <c r="J103" s="48">
        <v>25.32</v>
      </c>
      <c r="K103" s="48">
        <v>4.95</v>
      </c>
      <c r="L103" s="47">
        <v>6499.71</v>
      </c>
      <c r="M103" s="47">
        <v>5584.47</v>
      </c>
      <c r="N103" s="47">
        <v>915.24</v>
      </c>
      <c r="O103" s="47">
        <v>6148.79</v>
      </c>
      <c r="P103" s="46" t="s">
        <v>2167</v>
      </c>
      <c r="Q103" s="47">
        <v>9806.2800000000007</v>
      </c>
      <c r="R103" s="47">
        <v>10672.47</v>
      </c>
      <c r="S103" s="46" t="s">
        <v>579</v>
      </c>
      <c r="T103" s="49" t="s">
        <v>321</v>
      </c>
    </row>
    <row r="104" spans="1:20" ht="15" customHeight="1" x14ac:dyDescent="0.25">
      <c r="A104" s="50" t="s">
        <v>2311</v>
      </c>
      <c r="B104" s="50" t="s">
        <v>2312</v>
      </c>
      <c r="C104" s="50" t="s">
        <v>2178</v>
      </c>
      <c r="D104" s="51">
        <v>4670.22</v>
      </c>
      <c r="E104" s="51">
        <v>3013.53</v>
      </c>
      <c r="F104" s="50">
        <f t="shared" si="12"/>
        <v>1656.69</v>
      </c>
      <c r="G104" s="50">
        <f t="shared" si="15"/>
        <v>21306.06</v>
      </c>
      <c r="H104" s="52">
        <f t="shared" si="13"/>
        <v>159.04</v>
      </c>
      <c r="I104" s="52">
        <f t="shared" si="14"/>
        <v>132.51</v>
      </c>
      <c r="J104" s="52">
        <v>22.69</v>
      </c>
      <c r="K104" s="52">
        <v>4.78</v>
      </c>
      <c r="L104" s="51">
        <v>1838.84</v>
      </c>
      <c r="M104" s="51">
        <v>1520.09</v>
      </c>
      <c r="N104" s="51">
        <v>318.75</v>
      </c>
      <c r="O104" s="51">
        <v>1156.23</v>
      </c>
      <c r="P104" s="50" t="s">
        <v>2189</v>
      </c>
      <c r="Q104" s="51">
        <v>16116.91</v>
      </c>
      <c r="R104" s="51">
        <v>21356.22</v>
      </c>
      <c r="S104" s="50" t="s">
        <v>590</v>
      </c>
      <c r="T104" s="53" t="s">
        <v>266</v>
      </c>
    </row>
    <row r="105" spans="1:20" ht="15" customHeight="1" x14ac:dyDescent="0.25">
      <c r="A105" s="50" t="s">
        <v>2313</v>
      </c>
      <c r="B105" s="50" t="s">
        <v>881</v>
      </c>
      <c r="C105" s="50" t="s">
        <v>2176</v>
      </c>
      <c r="D105" s="51">
        <v>1421.68</v>
      </c>
      <c r="E105" s="51">
        <v>4970.1899999999996</v>
      </c>
      <c r="F105" s="50">
        <f t="shared" si="12"/>
        <v>-3548.51</v>
      </c>
      <c r="G105" s="50">
        <f t="shared" si="15"/>
        <v>17757.55</v>
      </c>
      <c r="H105" s="52">
        <f t="shared" si="13"/>
        <v>151.68</v>
      </c>
      <c r="I105" s="52">
        <f t="shared" si="14"/>
        <v>131.09</v>
      </c>
      <c r="J105" s="52">
        <v>24.66</v>
      </c>
      <c r="K105" s="52">
        <v>3.95</v>
      </c>
      <c r="L105" s="51">
        <v>2890.81</v>
      </c>
      <c r="M105" s="51">
        <v>2143.39</v>
      </c>
      <c r="N105" s="51">
        <v>747.42</v>
      </c>
      <c r="O105" s="51">
        <v>1905.82</v>
      </c>
      <c r="P105" s="50" t="s">
        <v>2189</v>
      </c>
      <c r="Q105" s="51">
        <v>8293.92</v>
      </c>
      <c r="R105" s="51">
        <v>10872.59</v>
      </c>
      <c r="S105" s="50" t="s">
        <v>590</v>
      </c>
      <c r="T105" s="53" t="s">
        <v>266</v>
      </c>
    </row>
    <row r="106" spans="1:20" ht="15" customHeight="1" x14ac:dyDescent="0.25">
      <c r="A106" s="50" t="s">
        <v>2314</v>
      </c>
      <c r="B106" s="50" t="s">
        <v>2315</v>
      </c>
      <c r="C106" s="50" t="s">
        <v>2178</v>
      </c>
      <c r="D106" s="51">
        <v>5938.43</v>
      </c>
      <c r="E106" s="51">
        <v>5611.25</v>
      </c>
      <c r="F106" s="50">
        <f t="shared" si="12"/>
        <v>327.18</v>
      </c>
      <c r="G106" s="50">
        <f t="shared" si="15"/>
        <v>18084.73</v>
      </c>
      <c r="H106" s="52">
        <f t="shared" si="13"/>
        <v>147.1</v>
      </c>
      <c r="I106" s="52">
        <f t="shared" si="14"/>
        <v>122.52</v>
      </c>
      <c r="J106" s="52">
        <v>19.440000000000001</v>
      </c>
      <c r="K106" s="52">
        <v>5.39</v>
      </c>
      <c r="L106" s="51">
        <v>8536.76</v>
      </c>
      <c r="M106" s="51">
        <v>7102.5</v>
      </c>
      <c r="N106" s="51">
        <v>1434.26</v>
      </c>
      <c r="O106" s="51">
        <v>5803.5</v>
      </c>
      <c r="P106" s="50" t="s">
        <v>2189</v>
      </c>
      <c r="Q106" s="51">
        <v>9164.73</v>
      </c>
      <c r="R106" s="51">
        <v>11228.34</v>
      </c>
      <c r="S106" s="50" t="s">
        <v>590</v>
      </c>
      <c r="T106" s="53" t="s">
        <v>266</v>
      </c>
    </row>
    <row r="107" spans="1:20" ht="15" customHeight="1" x14ac:dyDescent="0.25">
      <c r="A107" s="46" t="s">
        <v>2316</v>
      </c>
      <c r="B107" s="46" t="s">
        <v>1299</v>
      </c>
      <c r="C107" s="46" t="s">
        <v>2188</v>
      </c>
      <c r="D107" s="47">
        <v>1692.48</v>
      </c>
      <c r="E107" s="47">
        <v>1105</v>
      </c>
      <c r="F107" s="46">
        <f t="shared" si="12"/>
        <v>587.48</v>
      </c>
      <c r="G107" s="46">
        <f t="shared" si="15"/>
        <v>18672.21</v>
      </c>
      <c r="H107" s="48">
        <f t="shared" si="13"/>
        <v>107.58</v>
      </c>
      <c r="I107" s="48">
        <f t="shared" si="14"/>
        <v>121.73</v>
      </c>
      <c r="J107" s="48">
        <v>25.83</v>
      </c>
      <c r="K107" s="48">
        <v>5.01</v>
      </c>
      <c r="L107" s="47">
        <v>2654.19</v>
      </c>
      <c r="M107" s="47">
        <v>2136.79</v>
      </c>
      <c r="N107" s="47">
        <v>517.4</v>
      </c>
      <c r="O107" s="47">
        <v>2467.2399999999998</v>
      </c>
      <c r="P107" s="46" t="s">
        <v>2171</v>
      </c>
      <c r="Q107" s="47">
        <v>13642.84</v>
      </c>
      <c r="R107" s="47">
        <v>16607.349999999999</v>
      </c>
      <c r="S107" s="46" t="s">
        <v>579</v>
      </c>
      <c r="T107" s="49" t="s">
        <v>321</v>
      </c>
    </row>
    <row r="108" spans="1:20" ht="15" customHeight="1" x14ac:dyDescent="0.25">
      <c r="A108" s="46" t="s">
        <v>2317</v>
      </c>
      <c r="B108" s="46" t="s">
        <v>1923</v>
      </c>
      <c r="C108" s="46" t="s">
        <v>2178</v>
      </c>
      <c r="D108" s="47">
        <v>1519.09</v>
      </c>
      <c r="E108" s="47">
        <v>2919.77</v>
      </c>
      <c r="F108" s="46">
        <f t="shared" si="12"/>
        <v>-1400.68</v>
      </c>
      <c r="G108" s="46">
        <f t="shared" si="15"/>
        <v>17271.53</v>
      </c>
      <c r="H108" s="48">
        <f t="shared" si="13"/>
        <v>146.36000000000001</v>
      </c>
      <c r="I108" s="48">
        <f t="shared" si="14"/>
        <v>109.12</v>
      </c>
      <c r="J108" s="48">
        <v>22.6</v>
      </c>
      <c r="K108" s="48">
        <v>3.68</v>
      </c>
      <c r="L108" s="47">
        <v>5466.94</v>
      </c>
      <c r="M108" s="47">
        <v>4532.71</v>
      </c>
      <c r="N108" s="47">
        <v>934.23</v>
      </c>
      <c r="O108" s="47">
        <v>3735.3</v>
      </c>
      <c r="P108" s="46" t="s">
        <v>2167</v>
      </c>
      <c r="Q108" s="47">
        <v>14536.58</v>
      </c>
      <c r="R108" s="47">
        <v>15862.37</v>
      </c>
      <c r="S108" s="46" t="s">
        <v>579</v>
      </c>
      <c r="T108" s="49" t="s">
        <v>321</v>
      </c>
    </row>
    <row r="109" spans="1:20" ht="15" customHeight="1" x14ac:dyDescent="0.25">
      <c r="A109" s="50" t="s">
        <v>2318</v>
      </c>
      <c r="B109" s="50" t="s">
        <v>1818</v>
      </c>
      <c r="C109" s="50" t="s">
        <v>2206</v>
      </c>
      <c r="D109" s="51">
        <v>3990.94</v>
      </c>
      <c r="E109" s="51">
        <v>4438.08</v>
      </c>
      <c r="F109" s="50">
        <f t="shared" si="12"/>
        <v>-447.14</v>
      </c>
      <c r="G109" s="50">
        <f t="shared" si="15"/>
        <v>16824.39</v>
      </c>
      <c r="H109" s="52">
        <f t="shared" si="13"/>
        <v>158.31</v>
      </c>
      <c r="I109" s="52">
        <f t="shared" si="14"/>
        <v>110.4</v>
      </c>
      <c r="J109" s="52">
        <v>19.010000000000002</v>
      </c>
      <c r="K109" s="52">
        <v>3.53</v>
      </c>
      <c r="L109" s="51">
        <v>3030.64</v>
      </c>
      <c r="M109" s="51">
        <v>2600.06</v>
      </c>
      <c r="N109" s="51">
        <v>430.58</v>
      </c>
      <c r="O109" s="51">
        <v>1914.42</v>
      </c>
      <c r="P109" s="50" t="s">
        <v>2180</v>
      </c>
      <c r="Q109" s="51">
        <v>11617.8</v>
      </c>
      <c r="R109" s="51">
        <v>12826.33</v>
      </c>
      <c r="S109" s="50" t="s">
        <v>590</v>
      </c>
      <c r="T109" s="53" t="s">
        <v>266</v>
      </c>
    </row>
    <row r="110" spans="1:20" ht="15" customHeight="1" x14ac:dyDescent="0.25">
      <c r="A110" s="54" t="s">
        <v>2319</v>
      </c>
      <c r="B110" s="54" t="s">
        <v>1825</v>
      </c>
      <c r="C110" s="54" t="s">
        <v>2217</v>
      </c>
      <c r="D110" s="55">
        <v>2108.66</v>
      </c>
      <c r="E110" s="55">
        <v>4902.57</v>
      </c>
      <c r="F110" s="54">
        <f t="shared" si="12"/>
        <v>-2793.91</v>
      </c>
      <c r="G110" s="54">
        <f t="shared" si="15"/>
        <v>14030.48</v>
      </c>
      <c r="H110" s="56">
        <f t="shared" si="13"/>
        <v>118.8</v>
      </c>
      <c r="I110" s="56">
        <f t="shared" si="14"/>
        <v>99.23</v>
      </c>
      <c r="J110" s="56">
        <v>26.53</v>
      </c>
      <c r="K110" s="56">
        <v>4.92</v>
      </c>
      <c r="L110" s="55">
        <v>7991.39</v>
      </c>
      <c r="M110" s="55">
        <v>6378.9</v>
      </c>
      <c r="N110" s="55">
        <v>1612.49</v>
      </c>
      <c r="O110" s="55">
        <v>6726.67</v>
      </c>
      <c r="P110" s="54" t="s">
        <v>2180</v>
      </c>
      <c r="Q110" s="55">
        <v>16173.68</v>
      </c>
      <c r="R110" s="55">
        <v>16048.56</v>
      </c>
      <c r="S110" s="54" t="s">
        <v>622</v>
      </c>
      <c r="T110" s="57" t="s">
        <v>495</v>
      </c>
    </row>
    <row r="111" spans="1:20" ht="15" customHeight="1" x14ac:dyDescent="0.25">
      <c r="A111" s="46" t="s">
        <v>2320</v>
      </c>
      <c r="B111" s="46" t="s">
        <v>1062</v>
      </c>
      <c r="C111" s="46" t="s">
        <v>2206</v>
      </c>
      <c r="D111" s="47">
        <v>5508.51</v>
      </c>
      <c r="E111" s="47">
        <v>2374.9</v>
      </c>
      <c r="F111" s="46">
        <f t="shared" si="12"/>
        <v>3133.61</v>
      </c>
      <c r="G111" s="46">
        <f t="shared" si="15"/>
        <v>17164.09</v>
      </c>
      <c r="H111" s="48">
        <f t="shared" si="13"/>
        <v>112.18</v>
      </c>
      <c r="I111" s="48">
        <f t="shared" si="14"/>
        <v>107.29</v>
      </c>
      <c r="J111" s="48">
        <v>21.9</v>
      </c>
      <c r="K111" s="48">
        <v>3.64</v>
      </c>
      <c r="L111" s="47">
        <v>5448.72</v>
      </c>
      <c r="M111" s="47">
        <v>4276.54</v>
      </c>
      <c r="N111" s="47">
        <v>1172.18</v>
      </c>
      <c r="O111" s="47">
        <v>4857.07</v>
      </c>
      <c r="P111" s="46" t="s">
        <v>2171</v>
      </c>
      <c r="Q111" s="47">
        <v>7970.36</v>
      </c>
      <c r="R111" s="47">
        <v>8551.07</v>
      </c>
      <c r="S111" s="46" t="s">
        <v>579</v>
      </c>
      <c r="T111" s="49" t="s">
        <v>321</v>
      </c>
    </row>
    <row r="112" spans="1:20" ht="15" customHeight="1" x14ac:dyDescent="0.25">
      <c r="A112" s="46" t="s">
        <v>2321</v>
      </c>
      <c r="B112" s="46" t="s">
        <v>1449</v>
      </c>
      <c r="C112" s="46" t="s">
        <v>2249</v>
      </c>
      <c r="D112" s="47">
        <v>3925.46</v>
      </c>
      <c r="E112" s="47">
        <v>969.01</v>
      </c>
      <c r="F112" s="46">
        <f t="shared" si="12"/>
        <v>2956.45</v>
      </c>
      <c r="G112" s="46">
        <f t="shared" si="15"/>
        <v>20120.54</v>
      </c>
      <c r="H112" s="48">
        <f t="shared" si="13"/>
        <v>114.43</v>
      </c>
      <c r="I112" s="48">
        <f t="shared" si="14"/>
        <v>116.24</v>
      </c>
      <c r="J112" s="48">
        <v>26.1</v>
      </c>
      <c r="K112" s="48">
        <v>3.87</v>
      </c>
      <c r="L112" s="47">
        <v>9298.4500000000007</v>
      </c>
      <c r="M112" s="47">
        <v>7158.13</v>
      </c>
      <c r="N112" s="47">
        <v>2140.3200000000002</v>
      </c>
      <c r="O112" s="47">
        <v>8125.62</v>
      </c>
      <c r="P112" s="46" t="s">
        <v>2189</v>
      </c>
      <c r="Q112" s="47">
        <v>11714.89</v>
      </c>
      <c r="R112" s="47">
        <v>13616.85</v>
      </c>
      <c r="S112" s="46" t="s">
        <v>579</v>
      </c>
      <c r="T112" s="49" t="s">
        <v>321</v>
      </c>
    </row>
    <row r="113" spans="1:20" ht="15" customHeight="1" x14ac:dyDescent="0.25">
      <c r="A113" s="54" t="s">
        <v>2322</v>
      </c>
      <c r="B113" s="54" t="s">
        <v>2323</v>
      </c>
      <c r="C113" s="54" t="s">
        <v>2173</v>
      </c>
      <c r="D113" s="55">
        <v>798.12</v>
      </c>
      <c r="E113" s="55">
        <v>3346.8</v>
      </c>
      <c r="F113" s="54">
        <f t="shared" si="12"/>
        <v>-2548.6799999999998</v>
      </c>
      <c r="G113" s="54">
        <f t="shared" si="15"/>
        <v>17571.86</v>
      </c>
      <c r="H113" s="56">
        <f t="shared" si="13"/>
        <v>123.82</v>
      </c>
      <c r="I113" s="56">
        <f t="shared" si="14"/>
        <v>98.91</v>
      </c>
      <c r="J113" s="56">
        <v>22.16</v>
      </c>
      <c r="K113" s="56">
        <v>4.17</v>
      </c>
      <c r="L113" s="55">
        <v>4304.7299999999996</v>
      </c>
      <c r="M113" s="55">
        <v>3610.1</v>
      </c>
      <c r="N113" s="55">
        <v>694.63</v>
      </c>
      <c r="O113" s="55">
        <v>3476.72</v>
      </c>
      <c r="P113" s="54" t="s">
        <v>2171</v>
      </c>
      <c r="Q113" s="55">
        <v>9271.07</v>
      </c>
      <c r="R113" s="55">
        <v>9170.25</v>
      </c>
      <c r="S113" s="54" t="s">
        <v>622</v>
      </c>
      <c r="T113" s="57" t="s">
        <v>495</v>
      </c>
    </row>
    <row r="114" spans="1:20" ht="15" customHeight="1" x14ac:dyDescent="0.25">
      <c r="A114" s="54" t="s">
        <v>2324</v>
      </c>
      <c r="B114" s="54" t="s">
        <v>1478</v>
      </c>
      <c r="C114" s="54" t="s">
        <v>2188</v>
      </c>
      <c r="D114" s="55">
        <v>4418.8100000000004</v>
      </c>
      <c r="E114" s="55">
        <v>2593.27</v>
      </c>
      <c r="F114" s="54">
        <f t="shared" si="12"/>
        <v>1825.54</v>
      </c>
      <c r="G114" s="54">
        <f t="shared" si="15"/>
        <v>19397.400000000001</v>
      </c>
      <c r="H114" s="56">
        <f t="shared" si="13"/>
        <v>135.63999999999999</v>
      </c>
      <c r="I114" s="56">
        <f t="shared" si="14"/>
        <v>96.99</v>
      </c>
      <c r="J114" s="56">
        <v>23</v>
      </c>
      <c r="K114" s="56">
        <v>4.49</v>
      </c>
      <c r="L114" s="55">
        <v>3936.79</v>
      </c>
      <c r="M114" s="55">
        <v>3199.24</v>
      </c>
      <c r="N114" s="55">
        <v>737.55</v>
      </c>
      <c r="O114" s="55">
        <v>2902.32</v>
      </c>
      <c r="P114" s="54" t="s">
        <v>2171</v>
      </c>
      <c r="Q114" s="55">
        <v>7310.21</v>
      </c>
      <c r="R114" s="55">
        <v>7090.53</v>
      </c>
      <c r="S114" s="54" t="s">
        <v>622</v>
      </c>
      <c r="T114" s="57" t="s">
        <v>495</v>
      </c>
    </row>
    <row r="115" spans="1:20" ht="15" customHeight="1" x14ac:dyDescent="0.25">
      <c r="A115" s="54" t="s">
        <v>2325</v>
      </c>
      <c r="B115" s="54" t="s">
        <v>2326</v>
      </c>
      <c r="C115" s="54" t="s">
        <v>2217</v>
      </c>
      <c r="D115" s="55">
        <v>1395.52</v>
      </c>
      <c r="E115" s="55">
        <v>413.51</v>
      </c>
      <c r="F115" s="54">
        <f t="shared" si="12"/>
        <v>982.01</v>
      </c>
      <c r="G115" s="54">
        <f t="shared" si="15"/>
        <v>20379.41</v>
      </c>
      <c r="H115" s="56">
        <f t="shared" si="13"/>
        <v>103.95</v>
      </c>
      <c r="I115" s="56">
        <f t="shared" si="14"/>
        <v>99.05</v>
      </c>
      <c r="J115" s="56">
        <v>19.36</v>
      </c>
      <c r="K115" s="56">
        <v>3.95</v>
      </c>
      <c r="L115" s="55">
        <v>1735.88</v>
      </c>
      <c r="M115" s="55">
        <v>1442.68</v>
      </c>
      <c r="N115" s="55">
        <v>293.2</v>
      </c>
      <c r="O115" s="55">
        <v>1669.9</v>
      </c>
      <c r="P115" s="54" t="s">
        <v>2171</v>
      </c>
      <c r="Q115" s="55">
        <v>10702.9</v>
      </c>
      <c r="R115" s="55">
        <v>10601.45</v>
      </c>
      <c r="S115" s="54" t="s">
        <v>622</v>
      </c>
      <c r="T115" s="57" t="s">
        <v>495</v>
      </c>
    </row>
    <row r="116" spans="1:20" ht="15" customHeight="1" x14ac:dyDescent="0.25">
      <c r="A116" s="50" t="s">
        <v>2327</v>
      </c>
      <c r="B116" s="50" t="s">
        <v>1562</v>
      </c>
      <c r="C116" s="50" t="s">
        <v>2173</v>
      </c>
      <c r="D116" s="51">
        <v>3021.51</v>
      </c>
      <c r="E116" s="51">
        <v>1109.07</v>
      </c>
      <c r="F116" s="50">
        <f t="shared" si="12"/>
        <v>1912.44</v>
      </c>
      <c r="G116" s="50">
        <f t="shared" si="15"/>
        <v>22291.85</v>
      </c>
      <c r="H116" s="52">
        <f t="shared" si="13"/>
        <v>142.35</v>
      </c>
      <c r="I116" s="52">
        <f t="shared" si="14"/>
        <v>123.02</v>
      </c>
      <c r="J116" s="52">
        <v>20.95</v>
      </c>
      <c r="K116" s="52">
        <v>3.51</v>
      </c>
      <c r="L116" s="51">
        <v>3301.15</v>
      </c>
      <c r="M116" s="51">
        <v>2584.31</v>
      </c>
      <c r="N116" s="51">
        <v>716.84</v>
      </c>
      <c r="O116" s="51">
        <v>2319.02</v>
      </c>
      <c r="P116" s="50" t="s">
        <v>2180</v>
      </c>
      <c r="Q116" s="51">
        <v>12038.88</v>
      </c>
      <c r="R116" s="51">
        <v>14810.09</v>
      </c>
      <c r="S116" s="50" t="s">
        <v>590</v>
      </c>
      <c r="T116" s="53" t="s">
        <v>266</v>
      </c>
    </row>
    <row r="117" spans="1:20" ht="15" customHeight="1" x14ac:dyDescent="0.25">
      <c r="A117" s="46" t="s">
        <v>2328</v>
      </c>
      <c r="B117" s="46" t="s">
        <v>2259</v>
      </c>
      <c r="C117" s="46" t="s">
        <v>2173</v>
      </c>
      <c r="D117" s="47">
        <v>5130.13</v>
      </c>
      <c r="E117" s="47">
        <v>4158.82</v>
      </c>
      <c r="F117" s="46">
        <f t="shared" si="12"/>
        <v>971.31</v>
      </c>
      <c r="G117" s="46">
        <f t="shared" si="15"/>
        <v>23263.16</v>
      </c>
      <c r="H117" s="48">
        <f t="shared" si="13"/>
        <v>110</v>
      </c>
      <c r="I117" s="48">
        <f t="shared" si="14"/>
        <v>112.12</v>
      </c>
      <c r="J117" s="48">
        <v>21.32</v>
      </c>
      <c r="K117" s="48">
        <v>4.41</v>
      </c>
      <c r="L117" s="47">
        <v>3032.53</v>
      </c>
      <c r="M117" s="47">
        <v>2357.58</v>
      </c>
      <c r="N117" s="47">
        <v>674.95</v>
      </c>
      <c r="O117" s="47">
        <v>2756.88</v>
      </c>
      <c r="P117" s="46" t="s">
        <v>2189</v>
      </c>
      <c r="Q117" s="47">
        <v>13992.38</v>
      </c>
      <c r="R117" s="47">
        <v>15687.82</v>
      </c>
      <c r="S117" s="46" t="s">
        <v>579</v>
      </c>
      <c r="T117" s="49" t="s">
        <v>321</v>
      </c>
    </row>
    <row r="118" spans="1:20" ht="15" customHeight="1" x14ac:dyDescent="0.25">
      <c r="A118" s="46" t="s">
        <v>2329</v>
      </c>
      <c r="B118" s="46" t="s">
        <v>2330</v>
      </c>
      <c r="C118" s="46" t="s">
        <v>2166</v>
      </c>
      <c r="D118" s="47">
        <v>5848.79</v>
      </c>
      <c r="E118" s="47">
        <v>5299.42</v>
      </c>
      <c r="F118" s="46">
        <f t="shared" si="12"/>
        <v>549.37</v>
      </c>
      <c r="G118" s="46">
        <f t="shared" si="15"/>
        <v>23812.53</v>
      </c>
      <c r="H118" s="48">
        <f t="shared" si="13"/>
        <v>100.58</v>
      </c>
      <c r="I118" s="48">
        <f t="shared" si="14"/>
        <v>104.9</v>
      </c>
      <c r="J118" s="48">
        <v>21.49</v>
      </c>
      <c r="K118" s="48">
        <v>4.45</v>
      </c>
      <c r="L118" s="47">
        <v>3074.05</v>
      </c>
      <c r="M118" s="47">
        <v>2360.9299999999998</v>
      </c>
      <c r="N118" s="47">
        <v>713.12</v>
      </c>
      <c r="O118" s="47">
        <v>3056.2</v>
      </c>
      <c r="P118" s="46" t="s">
        <v>2189</v>
      </c>
      <c r="Q118" s="47">
        <v>11859.69</v>
      </c>
      <c r="R118" s="47">
        <v>12440.86</v>
      </c>
      <c r="S118" s="46" t="s">
        <v>579</v>
      </c>
      <c r="T118" s="49" t="s">
        <v>321</v>
      </c>
    </row>
    <row r="119" spans="1:20" ht="15" customHeight="1" x14ac:dyDescent="0.25">
      <c r="A119" s="50" t="s">
        <v>2331</v>
      </c>
      <c r="B119" s="50" t="s">
        <v>1098</v>
      </c>
      <c r="C119" s="50" t="s">
        <v>2176</v>
      </c>
      <c r="D119" s="51">
        <v>4931.67</v>
      </c>
      <c r="E119" s="51">
        <v>3446.87</v>
      </c>
      <c r="F119" s="50">
        <f t="shared" si="12"/>
        <v>1484.8</v>
      </c>
      <c r="G119" s="50">
        <f t="shared" si="15"/>
        <v>25297.33</v>
      </c>
      <c r="H119" s="52">
        <f t="shared" si="13"/>
        <v>131.52000000000001</v>
      </c>
      <c r="I119" s="52">
        <f t="shared" si="14"/>
        <v>127.16</v>
      </c>
      <c r="J119" s="52">
        <v>19.920000000000002</v>
      </c>
      <c r="K119" s="52">
        <v>3.79</v>
      </c>
      <c r="L119" s="51">
        <v>10450.709999999999</v>
      </c>
      <c r="M119" s="51">
        <v>7934.81</v>
      </c>
      <c r="N119" s="51">
        <v>2515.9</v>
      </c>
      <c r="O119" s="51">
        <v>7946.33</v>
      </c>
      <c r="P119" s="50" t="s">
        <v>2189</v>
      </c>
      <c r="Q119" s="51">
        <v>7199.91</v>
      </c>
      <c r="R119" s="51">
        <v>9155.1</v>
      </c>
      <c r="S119" s="50" t="s">
        <v>590</v>
      </c>
      <c r="T119" s="53" t="s">
        <v>266</v>
      </c>
    </row>
    <row r="120" spans="1:20" ht="15" customHeight="1" x14ac:dyDescent="0.25">
      <c r="A120" s="46" t="s">
        <v>2332</v>
      </c>
      <c r="B120" s="46" t="s">
        <v>2333</v>
      </c>
      <c r="C120" s="46" t="s">
        <v>2200</v>
      </c>
      <c r="D120" s="47">
        <v>2994.9</v>
      </c>
      <c r="E120" s="47">
        <v>2169.61</v>
      </c>
      <c r="F120" s="46">
        <f t="shared" si="12"/>
        <v>825.29</v>
      </c>
      <c r="G120" s="46">
        <f t="shared" si="15"/>
        <v>26122.62</v>
      </c>
      <c r="H120" s="48">
        <f t="shared" si="13"/>
        <v>115.21</v>
      </c>
      <c r="I120" s="48">
        <f t="shared" si="14"/>
        <v>130.65</v>
      </c>
      <c r="J120" s="48">
        <v>22.4</v>
      </c>
      <c r="K120" s="48">
        <v>5.16</v>
      </c>
      <c r="L120" s="47">
        <v>6299.07</v>
      </c>
      <c r="M120" s="47">
        <v>4910.8599999999997</v>
      </c>
      <c r="N120" s="47">
        <v>1388.21</v>
      </c>
      <c r="O120" s="47">
        <v>5467.36</v>
      </c>
      <c r="P120" s="46" t="s">
        <v>2167</v>
      </c>
      <c r="Q120" s="47">
        <v>14521.89</v>
      </c>
      <c r="R120" s="47">
        <v>18973.560000000001</v>
      </c>
      <c r="S120" s="46" t="s">
        <v>579</v>
      </c>
      <c r="T120" s="49" t="s">
        <v>321</v>
      </c>
    </row>
    <row r="121" spans="1:20" ht="15" customHeight="1" x14ac:dyDescent="0.25">
      <c r="A121" s="50" t="s">
        <v>2334</v>
      </c>
      <c r="B121" s="50" t="s">
        <v>1511</v>
      </c>
      <c r="C121" s="50" t="s">
        <v>2185</v>
      </c>
      <c r="D121" s="51">
        <v>5156.04</v>
      </c>
      <c r="E121" s="51">
        <v>5422.78</v>
      </c>
      <c r="F121" s="50">
        <f t="shared" si="12"/>
        <v>-266.74</v>
      </c>
      <c r="G121" s="50">
        <f t="shared" si="15"/>
        <v>25855.88</v>
      </c>
      <c r="H121" s="52">
        <f t="shared" si="13"/>
        <v>141.15</v>
      </c>
      <c r="I121" s="52">
        <f t="shared" si="14"/>
        <v>121.37</v>
      </c>
      <c r="J121" s="52">
        <v>24.69</v>
      </c>
      <c r="K121" s="52">
        <v>3.54</v>
      </c>
      <c r="L121" s="51">
        <v>6157.14</v>
      </c>
      <c r="M121" s="51">
        <v>5251.06</v>
      </c>
      <c r="N121" s="51">
        <v>906.08</v>
      </c>
      <c r="O121" s="51">
        <v>4362.22</v>
      </c>
      <c r="P121" s="50" t="s">
        <v>2171</v>
      </c>
      <c r="Q121" s="51">
        <v>16275.19</v>
      </c>
      <c r="R121" s="51">
        <v>19753.96</v>
      </c>
      <c r="S121" s="50" t="s">
        <v>590</v>
      </c>
      <c r="T121" s="53" t="s">
        <v>266</v>
      </c>
    </row>
    <row r="122" spans="1:20" ht="15" customHeight="1" x14ac:dyDescent="0.25">
      <c r="A122" s="50" t="s">
        <v>2335</v>
      </c>
      <c r="B122" s="50" t="s">
        <v>1474</v>
      </c>
      <c r="C122" s="50" t="s">
        <v>2170</v>
      </c>
      <c r="D122" s="51">
        <v>3037.21</v>
      </c>
      <c r="E122" s="51">
        <v>1541.77</v>
      </c>
      <c r="F122" s="50">
        <f t="shared" si="12"/>
        <v>1495.44</v>
      </c>
      <c r="G122" s="50">
        <f t="shared" si="15"/>
        <v>27351.32</v>
      </c>
      <c r="H122" s="52">
        <f t="shared" si="13"/>
        <v>121.57</v>
      </c>
      <c r="I122" s="52">
        <f t="shared" si="14"/>
        <v>133.62</v>
      </c>
      <c r="J122" s="52">
        <v>24.83</v>
      </c>
      <c r="K122" s="52">
        <v>3.89</v>
      </c>
      <c r="L122" s="51">
        <v>8389.16</v>
      </c>
      <c r="M122" s="51">
        <v>6238.88</v>
      </c>
      <c r="N122" s="51">
        <v>2150.2800000000002</v>
      </c>
      <c r="O122" s="51">
        <v>6900.96</v>
      </c>
      <c r="P122" s="50" t="s">
        <v>2171</v>
      </c>
      <c r="Q122" s="51">
        <v>13664.81</v>
      </c>
      <c r="R122" s="51">
        <v>18258.66</v>
      </c>
      <c r="S122" s="50" t="s">
        <v>590</v>
      </c>
      <c r="T122" s="53" t="s">
        <v>266</v>
      </c>
    </row>
    <row r="123" spans="1:20" ht="15" customHeight="1" x14ac:dyDescent="0.25">
      <c r="A123" s="50" t="s">
        <v>2336</v>
      </c>
      <c r="B123" s="50" t="s">
        <v>2337</v>
      </c>
      <c r="C123" s="50" t="s">
        <v>2185</v>
      </c>
      <c r="D123" s="51">
        <v>4104.93</v>
      </c>
      <c r="E123" s="51">
        <v>5405.41</v>
      </c>
      <c r="F123" s="50">
        <f t="shared" si="12"/>
        <v>-1300.48</v>
      </c>
      <c r="G123" s="50">
        <f t="shared" si="15"/>
        <v>26050.84</v>
      </c>
      <c r="H123" s="52">
        <f t="shared" si="13"/>
        <v>131.61000000000001</v>
      </c>
      <c r="I123" s="52">
        <f t="shared" si="14"/>
        <v>111.69</v>
      </c>
      <c r="J123" s="52">
        <v>20.76</v>
      </c>
      <c r="K123" s="52">
        <v>4.8600000000000003</v>
      </c>
      <c r="L123" s="51">
        <v>5708.81</v>
      </c>
      <c r="M123" s="51">
        <v>4255.03</v>
      </c>
      <c r="N123" s="51">
        <v>1453.78</v>
      </c>
      <c r="O123" s="51">
        <v>4337.53</v>
      </c>
      <c r="P123" s="50" t="s">
        <v>2167</v>
      </c>
      <c r="Q123" s="51">
        <v>10692.31</v>
      </c>
      <c r="R123" s="51">
        <v>11942.43</v>
      </c>
      <c r="S123" s="50" t="s">
        <v>590</v>
      </c>
      <c r="T123" s="53" t="s">
        <v>266</v>
      </c>
    </row>
    <row r="124" spans="1:20" ht="15" customHeight="1" x14ac:dyDescent="0.25">
      <c r="A124" s="46" t="s">
        <v>2338</v>
      </c>
      <c r="B124" s="46" t="s">
        <v>1342</v>
      </c>
      <c r="C124" s="46" t="s">
        <v>2173</v>
      </c>
      <c r="D124" s="47">
        <v>1224.3800000000001</v>
      </c>
      <c r="E124" s="47">
        <v>3519.15</v>
      </c>
      <c r="F124" s="46">
        <f t="shared" si="12"/>
        <v>-2294.77</v>
      </c>
      <c r="G124" s="46">
        <f t="shared" si="15"/>
        <v>23756.07</v>
      </c>
      <c r="H124" s="48">
        <f t="shared" si="13"/>
        <v>107.38</v>
      </c>
      <c r="I124" s="48">
        <f t="shared" si="14"/>
        <v>133.78</v>
      </c>
      <c r="J124" s="48">
        <v>25.26</v>
      </c>
      <c r="K124" s="48">
        <v>4.63</v>
      </c>
      <c r="L124" s="47">
        <v>7864.77</v>
      </c>
      <c r="M124" s="47">
        <v>5972.48</v>
      </c>
      <c r="N124" s="47">
        <v>1892.29</v>
      </c>
      <c r="O124" s="47">
        <v>7324.4</v>
      </c>
      <c r="P124" s="46" t="s">
        <v>2167</v>
      </c>
      <c r="Q124" s="47">
        <v>9460.9</v>
      </c>
      <c r="R124" s="47">
        <v>12656.68</v>
      </c>
      <c r="S124" s="46" t="s">
        <v>579</v>
      </c>
      <c r="T124" s="49" t="s">
        <v>321</v>
      </c>
    </row>
    <row r="125" spans="1:20" ht="15" customHeight="1" x14ac:dyDescent="0.25">
      <c r="A125" s="54" t="s">
        <v>2339</v>
      </c>
      <c r="B125" s="54" t="s">
        <v>818</v>
      </c>
      <c r="C125" s="54" t="s">
        <v>2185</v>
      </c>
      <c r="D125" s="55">
        <v>968.07</v>
      </c>
      <c r="E125" s="55">
        <v>4117.45</v>
      </c>
      <c r="F125" s="54">
        <f t="shared" si="12"/>
        <v>-3149.38</v>
      </c>
      <c r="G125" s="54">
        <f t="shared" si="15"/>
        <v>20606.689999999999</v>
      </c>
      <c r="H125" s="56">
        <f t="shared" si="13"/>
        <v>133.49</v>
      </c>
      <c r="I125" s="56">
        <f t="shared" si="14"/>
        <v>95.62</v>
      </c>
      <c r="J125" s="56">
        <v>19.88</v>
      </c>
      <c r="K125" s="56">
        <v>4.47</v>
      </c>
      <c r="L125" s="55">
        <v>5747.06</v>
      </c>
      <c r="M125" s="55">
        <v>4757.67</v>
      </c>
      <c r="N125" s="55">
        <v>989.39</v>
      </c>
      <c r="O125" s="55">
        <v>4305.29</v>
      </c>
      <c r="P125" s="54" t="s">
        <v>2189</v>
      </c>
      <c r="Q125" s="55">
        <v>15597.42</v>
      </c>
      <c r="R125" s="55">
        <v>14914.83</v>
      </c>
      <c r="S125" s="54" t="s">
        <v>622</v>
      </c>
      <c r="T125" s="57" t="s">
        <v>495</v>
      </c>
    </row>
    <row r="126" spans="1:20" ht="15" customHeight="1" x14ac:dyDescent="0.25">
      <c r="A126" s="50" t="s">
        <v>2340</v>
      </c>
      <c r="B126" s="50" t="s">
        <v>603</v>
      </c>
      <c r="C126" s="50" t="s">
        <v>2206</v>
      </c>
      <c r="D126" s="51">
        <v>1769.8</v>
      </c>
      <c r="E126" s="51">
        <v>3599.12</v>
      </c>
      <c r="F126" s="50">
        <f t="shared" si="12"/>
        <v>-1829.32</v>
      </c>
      <c r="G126" s="50">
        <f t="shared" si="15"/>
        <v>18777.37</v>
      </c>
      <c r="H126" s="52">
        <f t="shared" si="13"/>
        <v>125.82</v>
      </c>
      <c r="I126" s="52">
        <f t="shared" si="14"/>
        <v>130.15</v>
      </c>
      <c r="J126" s="52">
        <v>24.11</v>
      </c>
      <c r="K126" s="52">
        <v>3.5</v>
      </c>
      <c r="L126" s="51">
        <v>1891.49</v>
      </c>
      <c r="M126" s="51">
        <v>1561.71</v>
      </c>
      <c r="N126" s="51">
        <v>329.78</v>
      </c>
      <c r="O126" s="51">
        <v>1503.34</v>
      </c>
      <c r="P126" s="50" t="s">
        <v>2167</v>
      </c>
      <c r="Q126" s="51">
        <v>7652.63</v>
      </c>
      <c r="R126" s="51">
        <v>9959.81</v>
      </c>
      <c r="S126" s="50" t="s">
        <v>590</v>
      </c>
      <c r="T126" s="53" t="s">
        <v>266</v>
      </c>
    </row>
    <row r="127" spans="1:20" ht="15" customHeight="1" x14ac:dyDescent="0.25">
      <c r="A127" s="54" t="s">
        <v>2341</v>
      </c>
      <c r="B127" s="54" t="s">
        <v>1581</v>
      </c>
      <c r="C127" s="54" t="s">
        <v>2178</v>
      </c>
      <c r="D127" s="55">
        <v>4025.42</v>
      </c>
      <c r="E127" s="55">
        <v>4636.42</v>
      </c>
      <c r="F127" s="54">
        <f t="shared" si="12"/>
        <v>-611</v>
      </c>
      <c r="G127" s="54">
        <f t="shared" si="15"/>
        <v>18166.37</v>
      </c>
      <c r="H127" s="56">
        <f t="shared" si="13"/>
        <v>116.24</v>
      </c>
      <c r="I127" s="56">
        <f t="shared" si="14"/>
        <v>96.29</v>
      </c>
      <c r="J127" s="56">
        <v>26.97</v>
      </c>
      <c r="K127" s="56">
        <v>3.89</v>
      </c>
      <c r="L127" s="55">
        <v>2631.16</v>
      </c>
      <c r="M127" s="55">
        <v>2254.25</v>
      </c>
      <c r="N127" s="55">
        <v>376.91</v>
      </c>
      <c r="O127" s="55">
        <v>2263.56</v>
      </c>
      <c r="P127" s="54" t="s">
        <v>2189</v>
      </c>
      <c r="Q127" s="55">
        <v>9489.6200000000008</v>
      </c>
      <c r="R127" s="55">
        <v>9137.1200000000008</v>
      </c>
      <c r="S127" s="54" t="s">
        <v>622</v>
      </c>
      <c r="T127" s="57" t="s">
        <v>495</v>
      </c>
    </row>
    <row r="128" spans="1:20" ht="15" customHeight="1" x14ac:dyDescent="0.25">
      <c r="A128" s="50" t="s">
        <v>2342</v>
      </c>
      <c r="B128" s="50" t="s">
        <v>1203</v>
      </c>
      <c r="C128" s="50" t="s">
        <v>2170</v>
      </c>
      <c r="D128" s="51">
        <v>1567.5</v>
      </c>
      <c r="E128" s="51">
        <v>4103.1499999999996</v>
      </c>
      <c r="F128" s="50">
        <f t="shared" si="12"/>
        <v>-2535.65</v>
      </c>
      <c r="G128" s="50">
        <f t="shared" si="15"/>
        <v>15630.72</v>
      </c>
      <c r="H128" s="52">
        <f t="shared" si="13"/>
        <v>154.25</v>
      </c>
      <c r="I128" s="52">
        <f t="shared" si="14"/>
        <v>112.43</v>
      </c>
      <c r="J128" s="52">
        <v>26.09</v>
      </c>
      <c r="K128" s="52">
        <v>5.34</v>
      </c>
      <c r="L128" s="51">
        <v>4705.84</v>
      </c>
      <c r="M128" s="51">
        <v>3826.44</v>
      </c>
      <c r="N128" s="51">
        <v>879.4</v>
      </c>
      <c r="O128" s="51">
        <v>3050.79</v>
      </c>
      <c r="P128" s="50" t="s">
        <v>2167</v>
      </c>
      <c r="Q128" s="51">
        <v>8079.62</v>
      </c>
      <c r="R128" s="51">
        <v>9084.1299999999992</v>
      </c>
      <c r="S128" s="50" t="s">
        <v>590</v>
      </c>
      <c r="T128" s="53" t="s">
        <v>266</v>
      </c>
    </row>
    <row r="129" spans="1:20" ht="15" customHeight="1" x14ac:dyDescent="0.25">
      <c r="A129" s="50" t="s">
        <v>2343</v>
      </c>
      <c r="B129" s="50" t="s">
        <v>1262</v>
      </c>
      <c r="C129" s="50" t="s">
        <v>2170</v>
      </c>
      <c r="D129" s="51">
        <v>4845.84</v>
      </c>
      <c r="E129" s="51">
        <v>921.14</v>
      </c>
      <c r="F129" s="50">
        <f t="shared" si="12"/>
        <v>3924.7</v>
      </c>
      <c r="G129" s="50">
        <f t="shared" si="15"/>
        <v>19555.419999999998</v>
      </c>
      <c r="H129" s="52">
        <f t="shared" si="13"/>
        <v>124.98</v>
      </c>
      <c r="I129" s="52">
        <f t="shared" si="14"/>
        <v>120.13</v>
      </c>
      <c r="J129" s="52">
        <v>20.2</v>
      </c>
      <c r="K129" s="52">
        <v>4.1100000000000003</v>
      </c>
      <c r="L129" s="51">
        <v>7704.13</v>
      </c>
      <c r="M129" s="51">
        <v>6420.09</v>
      </c>
      <c r="N129" s="51">
        <v>1284.04</v>
      </c>
      <c r="O129" s="51">
        <v>6164.35</v>
      </c>
      <c r="P129" s="50" t="s">
        <v>2167</v>
      </c>
      <c r="Q129" s="51">
        <v>12799.98</v>
      </c>
      <c r="R129" s="51">
        <v>15376.97</v>
      </c>
      <c r="S129" s="50" t="s">
        <v>590</v>
      </c>
      <c r="T129" s="53" t="s">
        <v>266</v>
      </c>
    </row>
    <row r="130" spans="1:20" ht="15" customHeight="1" x14ac:dyDescent="0.25">
      <c r="A130" s="50" t="s">
        <v>2344</v>
      </c>
      <c r="B130" s="50" t="s">
        <v>2345</v>
      </c>
      <c r="C130" s="50" t="s">
        <v>2166</v>
      </c>
      <c r="D130" s="51">
        <v>2318.1999999999998</v>
      </c>
      <c r="E130" s="51">
        <v>5267.94</v>
      </c>
      <c r="F130" s="50">
        <f t="shared" si="12"/>
        <v>-2949.74</v>
      </c>
      <c r="G130" s="50">
        <f t="shared" si="15"/>
        <v>16605.68</v>
      </c>
      <c r="H130" s="52">
        <f t="shared" si="13"/>
        <v>126.51</v>
      </c>
      <c r="I130" s="52">
        <f t="shared" si="14"/>
        <v>112.11</v>
      </c>
      <c r="J130" s="52">
        <v>21.16</v>
      </c>
      <c r="K130" s="52">
        <v>5.37</v>
      </c>
      <c r="L130" s="51">
        <v>4912.13</v>
      </c>
      <c r="M130" s="51">
        <v>4170.87</v>
      </c>
      <c r="N130" s="51">
        <v>741.26</v>
      </c>
      <c r="O130" s="51">
        <v>3882.67</v>
      </c>
      <c r="P130" s="50" t="s">
        <v>2167</v>
      </c>
      <c r="Q130" s="51">
        <v>11620.55</v>
      </c>
      <c r="R130" s="51">
        <v>13027.42</v>
      </c>
      <c r="S130" s="50" t="s">
        <v>590</v>
      </c>
      <c r="T130" s="53" t="s">
        <v>266</v>
      </c>
    </row>
    <row r="131" spans="1:20" ht="15" customHeight="1" x14ac:dyDescent="0.25">
      <c r="A131" s="46" t="s">
        <v>2346</v>
      </c>
      <c r="B131" s="46" t="s">
        <v>2347</v>
      </c>
      <c r="C131" s="46" t="s">
        <v>2188</v>
      </c>
      <c r="D131" s="47">
        <v>2821.58</v>
      </c>
      <c r="E131" s="47">
        <v>5484.09</v>
      </c>
      <c r="F131" s="46">
        <f t="shared" ref="F131:F162" si="16">ROUND(D131-E131,2)</f>
        <v>-2662.51</v>
      </c>
      <c r="G131" s="46">
        <f t="shared" si="15"/>
        <v>13943.17</v>
      </c>
      <c r="H131" s="48">
        <f t="shared" ref="H131:H162" si="17">ROUND(L131/O131*100,2)</f>
        <v>105.31</v>
      </c>
      <c r="I131" s="48">
        <f t="shared" ref="I131:I162" si="18">ROUND(R131/Q131*100,2)</f>
        <v>109.92</v>
      </c>
      <c r="J131" s="48">
        <v>19.690000000000001</v>
      </c>
      <c r="K131" s="48">
        <v>5.31</v>
      </c>
      <c r="L131" s="47">
        <v>1798.2</v>
      </c>
      <c r="M131" s="47">
        <v>1379.67</v>
      </c>
      <c r="N131" s="47">
        <v>418.53</v>
      </c>
      <c r="O131" s="47">
        <v>1707.6</v>
      </c>
      <c r="P131" s="46" t="s">
        <v>2180</v>
      </c>
      <c r="Q131" s="47">
        <v>12963.87</v>
      </c>
      <c r="R131" s="47">
        <v>14250.46</v>
      </c>
      <c r="S131" s="46" t="s">
        <v>579</v>
      </c>
      <c r="T131" s="49" t="s">
        <v>321</v>
      </c>
    </row>
    <row r="132" spans="1:20" ht="15" customHeight="1" x14ac:dyDescent="0.25">
      <c r="A132" s="54" t="s">
        <v>2348</v>
      </c>
      <c r="B132" s="54" t="s">
        <v>746</v>
      </c>
      <c r="C132" s="54" t="s">
        <v>2178</v>
      </c>
      <c r="D132" s="55">
        <v>5409.48</v>
      </c>
      <c r="E132" s="55">
        <v>5279.05</v>
      </c>
      <c r="F132" s="54">
        <f t="shared" si="16"/>
        <v>130.43</v>
      </c>
      <c r="G132" s="54">
        <f t="shared" ref="G132:G163" si="19">ROUND(G131+F132,2)</f>
        <v>14073.6</v>
      </c>
      <c r="H132" s="56">
        <f t="shared" si="17"/>
        <v>107.56</v>
      </c>
      <c r="I132" s="56">
        <f t="shared" si="18"/>
        <v>98.39</v>
      </c>
      <c r="J132" s="56">
        <v>24.2</v>
      </c>
      <c r="K132" s="56">
        <v>4.43</v>
      </c>
      <c r="L132" s="55">
        <v>2063</v>
      </c>
      <c r="M132" s="55">
        <v>1564.04</v>
      </c>
      <c r="N132" s="55">
        <v>498.96</v>
      </c>
      <c r="O132" s="55">
        <v>1918.07</v>
      </c>
      <c r="P132" s="54" t="s">
        <v>2171</v>
      </c>
      <c r="Q132" s="55">
        <v>16070.38</v>
      </c>
      <c r="R132" s="55">
        <v>15811.06</v>
      </c>
      <c r="S132" s="54" t="s">
        <v>622</v>
      </c>
      <c r="T132" s="57" t="s">
        <v>495</v>
      </c>
    </row>
    <row r="133" spans="1:20" ht="15" customHeight="1" x14ac:dyDescent="0.25">
      <c r="A133" s="50" t="s">
        <v>2349</v>
      </c>
      <c r="B133" s="50" t="s">
        <v>758</v>
      </c>
      <c r="C133" s="50" t="s">
        <v>2185</v>
      </c>
      <c r="D133" s="51">
        <v>731.59</v>
      </c>
      <c r="E133" s="51">
        <v>3606.6</v>
      </c>
      <c r="F133" s="50">
        <f t="shared" si="16"/>
        <v>-2875.01</v>
      </c>
      <c r="G133" s="50">
        <f t="shared" si="19"/>
        <v>11198.59</v>
      </c>
      <c r="H133" s="52">
        <f t="shared" si="17"/>
        <v>141.44</v>
      </c>
      <c r="I133" s="52">
        <f t="shared" si="18"/>
        <v>115.65</v>
      </c>
      <c r="J133" s="52">
        <v>25.85</v>
      </c>
      <c r="K133" s="52">
        <v>3.74</v>
      </c>
      <c r="L133" s="51">
        <v>8575.35</v>
      </c>
      <c r="M133" s="51">
        <v>6789.19</v>
      </c>
      <c r="N133" s="51">
        <v>1786.16</v>
      </c>
      <c r="O133" s="51">
        <v>6063.08</v>
      </c>
      <c r="P133" s="50" t="s">
        <v>2189</v>
      </c>
      <c r="Q133" s="51">
        <v>14418.87</v>
      </c>
      <c r="R133" s="51">
        <v>16675.5</v>
      </c>
      <c r="S133" s="50" t="s">
        <v>590</v>
      </c>
      <c r="T133" s="53" t="s">
        <v>266</v>
      </c>
    </row>
    <row r="134" spans="1:20" ht="15" customHeight="1" x14ac:dyDescent="0.25">
      <c r="A134" s="46" t="s">
        <v>2350</v>
      </c>
      <c r="B134" s="46" t="s">
        <v>1404</v>
      </c>
      <c r="C134" s="46" t="s">
        <v>2200</v>
      </c>
      <c r="D134" s="47">
        <v>904.78</v>
      </c>
      <c r="E134" s="47">
        <v>5380.81</v>
      </c>
      <c r="F134" s="46">
        <f t="shared" si="16"/>
        <v>-4476.03</v>
      </c>
      <c r="G134" s="46">
        <f t="shared" si="19"/>
        <v>6722.56</v>
      </c>
      <c r="H134" s="48">
        <f t="shared" si="17"/>
        <v>137.69</v>
      </c>
      <c r="I134" s="48">
        <f t="shared" si="18"/>
        <v>103.03</v>
      </c>
      <c r="J134" s="48">
        <v>24.61</v>
      </c>
      <c r="K134" s="48">
        <v>5.37</v>
      </c>
      <c r="L134" s="47">
        <v>6553.99</v>
      </c>
      <c r="M134" s="47">
        <v>5549.74</v>
      </c>
      <c r="N134" s="47">
        <v>1004.25</v>
      </c>
      <c r="O134" s="47">
        <v>4759.8100000000004</v>
      </c>
      <c r="P134" s="46" t="s">
        <v>2171</v>
      </c>
      <c r="Q134" s="47">
        <v>13483.97</v>
      </c>
      <c r="R134" s="47">
        <v>13892.26</v>
      </c>
      <c r="S134" s="46" t="s">
        <v>579</v>
      </c>
      <c r="T134" s="49" t="s">
        <v>321</v>
      </c>
    </row>
    <row r="135" spans="1:20" ht="15" customHeight="1" x14ac:dyDescent="0.25">
      <c r="A135" s="54" t="s">
        <v>2351</v>
      </c>
      <c r="B135" s="54" t="s">
        <v>2352</v>
      </c>
      <c r="C135" s="54" t="s">
        <v>2176</v>
      </c>
      <c r="D135" s="55">
        <v>1002.83</v>
      </c>
      <c r="E135" s="55">
        <v>5291.4</v>
      </c>
      <c r="F135" s="54">
        <f t="shared" si="16"/>
        <v>-4288.57</v>
      </c>
      <c r="G135" s="54">
        <f t="shared" si="19"/>
        <v>2433.9899999999998</v>
      </c>
      <c r="H135" s="56">
        <f t="shared" si="17"/>
        <v>106.22</v>
      </c>
      <c r="I135" s="56">
        <f t="shared" si="18"/>
        <v>99.87</v>
      </c>
      <c r="J135" s="56">
        <v>18.71</v>
      </c>
      <c r="K135" s="56">
        <v>4.51</v>
      </c>
      <c r="L135" s="55">
        <v>5679.1</v>
      </c>
      <c r="M135" s="55">
        <v>4734.79</v>
      </c>
      <c r="N135" s="55">
        <v>944.31</v>
      </c>
      <c r="O135" s="55">
        <v>5346.73</v>
      </c>
      <c r="P135" s="54" t="s">
        <v>2171</v>
      </c>
      <c r="Q135" s="55">
        <v>6667.84</v>
      </c>
      <c r="R135" s="55">
        <v>6659.34</v>
      </c>
      <c r="S135" s="54" t="s">
        <v>622</v>
      </c>
      <c r="T135" s="57" t="s">
        <v>495</v>
      </c>
    </row>
    <row r="136" spans="1:20" ht="15" customHeight="1" x14ac:dyDescent="0.25">
      <c r="A136" s="50" t="s">
        <v>2353</v>
      </c>
      <c r="B136" s="50" t="s">
        <v>1212</v>
      </c>
      <c r="C136" s="50" t="s">
        <v>2200</v>
      </c>
      <c r="D136" s="51">
        <v>5897.91</v>
      </c>
      <c r="E136" s="51">
        <v>4939.6000000000004</v>
      </c>
      <c r="F136" s="50">
        <f t="shared" si="16"/>
        <v>958.31</v>
      </c>
      <c r="G136" s="50">
        <f t="shared" si="19"/>
        <v>3392.3</v>
      </c>
      <c r="H136" s="52">
        <f t="shared" si="17"/>
        <v>149.30000000000001</v>
      </c>
      <c r="I136" s="52">
        <f t="shared" si="18"/>
        <v>120.45</v>
      </c>
      <c r="J136" s="52">
        <v>24.29</v>
      </c>
      <c r="K136" s="52">
        <v>5.22</v>
      </c>
      <c r="L136" s="51">
        <v>8719.32</v>
      </c>
      <c r="M136" s="51">
        <v>6923.7</v>
      </c>
      <c r="N136" s="51">
        <v>1795.62</v>
      </c>
      <c r="O136" s="51">
        <v>5840.09</v>
      </c>
      <c r="P136" s="50" t="s">
        <v>2189</v>
      </c>
      <c r="Q136" s="51">
        <v>11188.24</v>
      </c>
      <c r="R136" s="51">
        <v>13476</v>
      </c>
      <c r="S136" s="50" t="s">
        <v>590</v>
      </c>
      <c r="T136" s="53" t="s">
        <v>266</v>
      </c>
    </row>
    <row r="137" spans="1:20" ht="15" customHeight="1" x14ac:dyDescent="0.25">
      <c r="A137" s="50" t="s">
        <v>2354</v>
      </c>
      <c r="B137" s="50" t="s">
        <v>822</v>
      </c>
      <c r="C137" s="50" t="s">
        <v>2166</v>
      </c>
      <c r="D137" s="51">
        <v>4929.45</v>
      </c>
      <c r="E137" s="51">
        <v>3979.05</v>
      </c>
      <c r="F137" s="50">
        <f t="shared" si="16"/>
        <v>950.4</v>
      </c>
      <c r="G137" s="50">
        <f t="shared" si="19"/>
        <v>4342.7</v>
      </c>
      <c r="H137" s="52">
        <f t="shared" si="17"/>
        <v>132.80000000000001</v>
      </c>
      <c r="I137" s="52">
        <f t="shared" si="18"/>
        <v>114.72</v>
      </c>
      <c r="J137" s="52">
        <v>22.55</v>
      </c>
      <c r="K137" s="52">
        <v>4.08</v>
      </c>
      <c r="L137" s="51">
        <v>3065.71</v>
      </c>
      <c r="M137" s="51">
        <v>2361.27</v>
      </c>
      <c r="N137" s="51">
        <v>704.44</v>
      </c>
      <c r="O137" s="51">
        <v>2308.5</v>
      </c>
      <c r="P137" s="50" t="s">
        <v>2189</v>
      </c>
      <c r="Q137" s="51">
        <v>17509.099999999999</v>
      </c>
      <c r="R137" s="51">
        <v>20086.189999999999</v>
      </c>
      <c r="S137" s="50" t="s">
        <v>590</v>
      </c>
      <c r="T137" s="53" t="s">
        <v>266</v>
      </c>
    </row>
    <row r="138" spans="1:20" ht="15" customHeight="1" x14ac:dyDescent="0.25">
      <c r="A138" s="46" t="s">
        <v>2355</v>
      </c>
      <c r="B138" s="46" t="s">
        <v>2356</v>
      </c>
      <c r="C138" s="46" t="s">
        <v>2173</v>
      </c>
      <c r="D138" s="47">
        <v>2408.02</v>
      </c>
      <c r="E138" s="47">
        <v>4216.1499999999996</v>
      </c>
      <c r="F138" s="46">
        <f t="shared" si="16"/>
        <v>-1808.13</v>
      </c>
      <c r="G138" s="46">
        <f t="shared" si="19"/>
        <v>2534.5700000000002</v>
      </c>
      <c r="H138" s="48">
        <f t="shared" si="17"/>
        <v>125.49</v>
      </c>
      <c r="I138" s="48">
        <f t="shared" si="18"/>
        <v>107.11</v>
      </c>
      <c r="J138" s="48">
        <v>18.739999999999998</v>
      </c>
      <c r="K138" s="48">
        <v>4.41</v>
      </c>
      <c r="L138" s="47">
        <v>2380.27</v>
      </c>
      <c r="M138" s="47">
        <v>1929.88</v>
      </c>
      <c r="N138" s="47">
        <v>450.39</v>
      </c>
      <c r="O138" s="47">
        <v>1896.78</v>
      </c>
      <c r="P138" s="46" t="s">
        <v>2171</v>
      </c>
      <c r="Q138" s="47">
        <v>6132.24</v>
      </c>
      <c r="R138" s="47">
        <v>6568.27</v>
      </c>
      <c r="S138" s="46" t="s">
        <v>579</v>
      </c>
      <c r="T138" s="49" t="s">
        <v>321</v>
      </c>
    </row>
    <row r="139" spans="1:20" ht="15" customHeight="1" x14ac:dyDescent="0.25">
      <c r="A139" s="46" t="s">
        <v>2357</v>
      </c>
      <c r="B139" s="46" t="s">
        <v>960</v>
      </c>
      <c r="C139" s="46" t="s">
        <v>2185</v>
      </c>
      <c r="D139" s="47">
        <v>5370</v>
      </c>
      <c r="E139" s="47">
        <v>3757.27</v>
      </c>
      <c r="F139" s="46">
        <f t="shared" si="16"/>
        <v>1612.73</v>
      </c>
      <c r="G139" s="46">
        <f t="shared" si="19"/>
        <v>4147.3</v>
      </c>
      <c r="H139" s="48">
        <f t="shared" si="17"/>
        <v>157.77000000000001</v>
      </c>
      <c r="I139" s="48">
        <f t="shared" si="18"/>
        <v>101.33</v>
      </c>
      <c r="J139" s="48">
        <v>22.48</v>
      </c>
      <c r="K139" s="48">
        <v>4.95</v>
      </c>
      <c r="L139" s="47">
        <v>1983.67</v>
      </c>
      <c r="M139" s="47">
        <v>1489.9</v>
      </c>
      <c r="N139" s="47">
        <v>493.77</v>
      </c>
      <c r="O139" s="47">
        <v>1257.3399999999999</v>
      </c>
      <c r="P139" s="46" t="s">
        <v>2167</v>
      </c>
      <c r="Q139" s="47">
        <v>6109.44</v>
      </c>
      <c r="R139" s="47">
        <v>6190.85</v>
      </c>
      <c r="S139" s="46" t="s">
        <v>579</v>
      </c>
      <c r="T139" s="49" t="s">
        <v>321</v>
      </c>
    </row>
    <row r="140" spans="1:20" ht="15" customHeight="1" x14ac:dyDescent="0.25">
      <c r="A140" s="46" t="s">
        <v>2358</v>
      </c>
      <c r="B140" s="46" t="s">
        <v>2018</v>
      </c>
      <c r="C140" s="46" t="s">
        <v>2178</v>
      </c>
      <c r="D140" s="47">
        <v>1343.6</v>
      </c>
      <c r="E140" s="47">
        <v>5425.05</v>
      </c>
      <c r="F140" s="46">
        <f t="shared" si="16"/>
        <v>-4081.45</v>
      </c>
      <c r="G140" s="46">
        <f t="shared" si="19"/>
        <v>65.849999999999994</v>
      </c>
      <c r="H140" s="48">
        <f t="shared" si="17"/>
        <v>110.47</v>
      </c>
      <c r="I140" s="48">
        <f t="shared" si="18"/>
        <v>129.35</v>
      </c>
      <c r="J140" s="48">
        <v>19.79</v>
      </c>
      <c r="K140" s="48">
        <v>4.8099999999999996</v>
      </c>
      <c r="L140" s="47">
        <v>5975.42</v>
      </c>
      <c r="M140" s="47">
        <v>4770.38</v>
      </c>
      <c r="N140" s="47">
        <v>1205.04</v>
      </c>
      <c r="O140" s="47">
        <v>5409.1</v>
      </c>
      <c r="P140" s="46" t="s">
        <v>2167</v>
      </c>
      <c r="Q140" s="47">
        <v>11513.78</v>
      </c>
      <c r="R140" s="47">
        <v>14892.68</v>
      </c>
      <c r="S140" s="46" t="s">
        <v>579</v>
      </c>
      <c r="T140" s="49" t="s">
        <v>321</v>
      </c>
    </row>
    <row r="141" spans="1:20" ht="15" customHeight="1" x14ac:dyDescent="0.25">
      <c r="A141" s="50" t="s">
        <v>2359</v>
      </c>
      <c r="B141" s="50" t="s">
        <v>1552</v>
      </c>
      <c r="C141" s="50" t="s">
        <v>2173</v>
      </c>
      <c r="D141" s="51">
        <v>4731.2700000000004</v>
      </c>
      <c r="E141" s="51">
        <v>3984.82</v>
      </c>
      <c r="F141" s="50">
        <f t="shared" si="16"/>
        <v>746.45</v>
      </c>
      <c r="G141" s="50">
        <f t="shared" si="19"/>
        <v>812.3</v>
      </c>
      <c r="H141" s="52">
        <f t="shared" si="17"/>
        <v>150.36000000000001</v>
      </c>
      <c r="I141" s="52">
        <f t="shared" si="18"/>
        <v>132.1</v>
      </c>
      <c r="J141" s="52">
        <v>22.61</v>
      </c>
      <c r="K141" s="52">
        <v>5.43</v>
      </c>
      <c r="L141" s="51">
        <v>8703.6200000000008</v>
      </c>
      <c r="M141" s="51">
        <v>7479.64</v>
      </c>
      <c r="N141" s="51">
        <v>1223.98</v>
      </c>
      <c r="O141" s="51">
        <v>5788.54</v>
      </c>
      <c r="P141" s="50" t="s">
        <v>2180</v>
      </c>
      <c r="Q141" s="51">
        <v>12912.47</v>
      </c>
      <c r="R141" s="51">
        <v>17056.919999999998</v>
      </c>
      <c r="S141" s="50" t="s">
        <v>590</v>
      </c>
      <c r="T141" s="53" t="s">
        <v>266</v>
      </c>
    </row>
    <row r="142" spans="1:20" ht="15" customHeight="1" x14ac:dyDescent="0.25">
      <c r="A142" s="50" t="s">
        <v>2360</v>
      </c>
      <c r="B142" s="50" t="s">
        <v>1294</v>
      </c>
      <c r="C142" s="50" t="s">
        <v>2185</v>
      </c>
      <c r="D142" s="51">
        <v>3200.06</v>
      </c>
      <c r="E142" s="51">
        <v>863.59</v>
      </c>
      <c r="F142" s="50">
        <f t="shared" si="16"/>
        <v>2336.4699999999998</v>
      </c>
      <c r="G142" s="50">
        <f t="shared" si="19"/>
        <v>3148.77</v>
      </c>
      <c r="H142" s="52">
        <f t="shared" si="17"/>
        <v>120.89</v>
      </c>
      <c r="I142" s="52">
        <f t="shared" si="18"/>
        <v>124.32</v>
      </c>
      <c r="J142" s="52">
        <v>23.75</v>
      </c>
      <c r="K142" s="52">
        <v>4.3099999999999996</v>
      </c>
      <c r="L142" s="51">
        <v>4564.5200000000004</v>
      </c>
      <c r="M142" s="51">
        <v>3403.72</v>
      </c>
      <c r="N142" s="51">
        <v>1160.8</v>
      </c>
      <c r="O142" s="51">
        <v>3775.9</v>
      </c>
      <c r="P142" s="50" t="s">
        <v>2189</v>
      </c>
      <c r="Q142" s="51">
        <v>6354.26</v>
      </c>
      <c r="R142" s="51">
        <v>7899.3</v>
      </c>
      <c r="S142" s="50" t="s">
        <v>590</v>
      </c>
      <c r="T142" s="53" t="s">
        <v>266</v>
      </c>
    </row>
    <row r="143" spans="1:20" ht="15" customHeight="1" x14ac:dyDescent="0.25">
      <c r="A143" s="46" t="s">
        <v>2361</v>
      </c>
      <c r="B143" s="46" t="s">
        <v>1335</v>
      </c>
      <c r="C143" s="46" t="s">
        <v>2217</v>
      </c>
      <c r="D143" s="47">
        <v>4025.04</v>
      </c>
      <c r="E143" s="47">
        <v>3046.66</v>
      </c>
      <c r="F143" s="46">
        <f t="shared" si="16"/>
        <v>978.38</v>
      </c>
      <c r="G143" s="46">
        <f t="shared" si="19"/>
        <v>4127.1499999999996</v>
      </c>
      <c r="H143" s="48">
        <f t="shared" si="17"/>
        <v>113.89</v>
      </c>
      <c r="I143" s="48">
        <f t="shared" si="18"/>
        <v>130.22999999999999</v>
      </c>
      <c r="J143" s="48">
        <v>25.06</v>
      </c>
      <c r="K143" s="48">
        <v>5.33</v>
      </c>
      <c r="L143" s="47">
        <v>7069</v>
      </c>
      <c r="M143" s="47">
        <v>5819.39</v>
      </c>
      <c r="N143" s="47">
        <v>1249.6099999999999</v>
      </c>
      <c r="O143" s="47">
        <v>6206.75</v>
      </c>
      <c r="P143" s="46" t="s">
        <v>2180</v>
      </c>
      <c r="Q143" s="47">
        <v>7265.18</v>
      </c>
      <c r="R143" s="47">
        <v>9461.4599999999991</v>
      </c>
      <c r="S143" s="46" t="s">
        <v>579</v>
      </c>
      <c r="T143" s="49" t="s">
        <v>321</v>
      </c>
    </row>
    <row r="144" spans="1:20" ht="15" customHeight="1" x14ac:dyDescent="0.25">
      <c r="A144" s="46" t="s">
        <v>2362</v>
      </c>
      <c r="B144" s="46" t="s">
        <v>966</v>
      </c>
      <c r="C144" s="46" t="s">
        <v>2188</v>
      </c>
      <c r="D144" s="47">
        <v>4559.3</v>
      </c>
      <c r="E144" s="47">
        <v>2578.33</v>
      </c>
      <c r="F144" s="46">
        <f t="shared" si="16"/>
        <v>1980.97</v>
      </c>
      <c r="G144" s="46">
        <f t="shared" si="19"/>
        <v>6108.12</v>
      </c>
      <c r="H144" s="48">
        <f t="shared" si="17"/>
        <v>106.87</v>
      </c>
      <c r="I144" s="48">
        <f t="shared" si="18"/>
        <v>128.63</v>
      </c>
      <c r="J144" s="48">
        <v>25.7</v>
      </c>
      <c r="K144" s="48">
        <v>3.65</v>
      </c>
      <c r="L144" s="47">
        <v>2083.8000000000002</v>
      </c>
      <c r="M144" s="47">
        <v>1637.72</v>
      </c>
      <c r="N144" s="47">
        <v>446.08</v>
      </c>
      <c r="O144" s="47">
        <v>1949.87</v>
      </c>
      <c r="P144" s="46" t="s">
        <v>2167</v>
      </c>
      <c r="Q144" s="47">
        <v>13278.4</v>
      </c>
      <c r="R144" s="47">
        <v>17079.63</v>
      </c>
      <c r="S144" s="46" t="s">
        <v>579</v>
      </c>
      <c r="T144" s="49" t="s">
        <v>321</v>
      </c>
    </row>
    <row r="145" spans="1:20" ht="15" customHeight="1" x14ac:dyDescent="0.25">
      <c r="A145" s="46" t="s">
        <v>2363</v>
      </c>
      <c r="B145" s="46" t="s">
        <v>2364</v>
      </c>
      <c r="C145" s="46" t="s">
        <v>2166</v>
      </c>
      <c r="D145" s="47">
        <v>1994.84</v>
      </c>
      <c r="E145" s="47">
        <v>4222.4799999999996</v>
      </c>
      <c r="F145" s="46">
        <f t="shared" si="16"/>
        <v>-2227.64</v>
      </c>
      <c r="G145" s="46">
        <f t="shared" si="19"/>
        <v>3880.48</v>
      </c>
      <c r="H145" s="48">
        <f t="shared" si="17"/>
        <v>134.43</v>
      </c>
      <c r="I145" s="48">
        <f t="shared" si="18"/>
        <v>104.02</v>
      </c>
      <c r="J145" s="48">
        <v>20.2</v>
      </c>
      <c r="K145" s="48">
        <v>4</v>
      </c>
      <c r="L145" s="47">
        <v>5078.25</v>
      </c>
      <c r="M145" s="47">
        <v>3767.88</v>
      </c>
      <c r="N145" s="47">
        <v>1310.3699999999999</v>
      </c>
      <c r="O145" s="47">
        <v>3777.71</v>
      </c>
      <c r="P145" s="46" t="s">
        <v>2171</v>
      </c>
      <c r="Q145" s="47">
        <v>14146.19</v>
      </c>
      <c r="R145" s="47">
        <v>14714.85</v>
      </c>
      <c r="S145" s="46" t="s">
        <v>579</v>
      </c>
      <c r="T145" s="49" t="s">
        <v>321</v>
      </c>
    </row>
    <row r="146" spans="1:20" ht="15" customHeight="1" x14ac:dyDescent="0.25">
      <c r="A146" s="46" t="s">
        <v>2365</v>
      </c>
      <c r="B146" s="46" t="s">
        <v>1683</v>
      </c>
      <c r="C146" s="46" t="s">
        <v>2166</v>
      </c>
      <c r="D146" s="47">
        <v>2660.97</v>
      </c>
      <c r="E146" s="47">
        <v>3218.32</v>
      </c>
      <c r="F146" s="46">
        <f t="shared" si="16"/>
        <v>-557.35</v>
      </c>
      <c r="G146" s="46">
        <f t="shared" si="19"/>
        <v>3323.13</v>
      </c>
      <c r="H146" s="48">
        <f t="shared" si="17"/>
        <v>101.45</v>
      </c>
      <c r="I146" s="48">
        <f t="shared" si="18"/>
        <v>130.72999999999999</v>
      </c>
      <c r="J146" s="48">
        <v>26.66</v>
      </c>
      <c r="K146" s="48">
        <v>3.69</v>
      </c>
      <c r="L146" s="47">
        <v>7670.9</v>
      </c>
      <c r="M146" s="47">
        <v>6572.03</v>
      </c>
      <c r="N146" s="47">
        <v>1098.8699999999999</v>
      </c>
      <c r="O146" s="47">
        <v>7560.92</v>
      </c>
      <c r="P146" s="46" t="s">
        <v>2189</v>
      </c>
      <c r="Q146" s="47">
        <v>15720.11</v>
      </c>
      <c r="R146" s="47">
        <v>20551.16</v>
      </c>
      <c r="S146" s="46" t="s">
        <v>579</v>
      </c>
      <c r="T146" s="49" t="s">
        <v>321</v>
      </c>
    </row>
    <row r="147" spans="1:20" ht="15" customHeight="1" x14ac:dyDescent="0.25">
      <c r="A147" s="50" t="s">
        <v>2366</v>
      </c>
      <c r="B147" s="50" t="s">
        <v>2239</v>
      </c>
      <c r="C147" s="50" t="s">
        <v>2188</v>
      </c>
      <c r="D147" s="51">
        <v>3452.94</v>
      </c>
      <c r="E147" s="51">
        <v>5200.5</v>
      </c>
      <c r="F147" s="50">
        <f t="shared" si="16"/>
        <v>-1747.56</v>
      </c>
      <c r="G147" s="50">
        <f t="shared" si="19"/>
        <v>1575.57</v>
      </c>
      <c r="H147" s="52">
        <f t="shared" si="17"/>
        <v>157.46</v>
      </c>
      <c r="I147" s="52">
        <f t="shared" si="18"/>
        <v>117.81</v>
      </c>
      <c r="J147" s="52">
        <v>24.69</v>
      </c>
      <c r="K147" s="52">
        <v>4.5599999999999996</v>
      </c>
      <c r="L147" s="51">
        <v>4524.32</v>
      </c>
      <c r="M147" s="51">
        <v>3516.84</v>
      </c>
      <c r="N147" s="51">
        <v>1007.48</v>
      </c>
      <c r="O147" s="51">
        <v>2873.23</v>
      </c>
      <c r="P147" s="50" t="s">
        <v>2180</v>
      </c>
      <c r="Q147" s="51">
        <v>15988.83</v>
      </c>
      <c r="R147" s="51">
        <v>18837.21</v>
      </c>
      <c r="S147" s="50" t="s">
        <v>590</v>
      </c>
      <c r="T147" s="53" t="s">
        <v>266</v>
      </c>
    </row>
    <row r="148" spans="1:20" ht="15" customHeight="1" x14ac:dyDescent="0.25">
      <c r="A148" s="46" t="s">
        <v>2367</v>
      </c>
      <c r="B148" s="46" t="s">
        <v>1127</v>
      </c>
      <c r="C148" s="46" t="s">
        <v>2178</v>
      </c>
      <c r="D148" s="47">
        <v>2177.4299999999998</v>
      </c>
      <c r="E148" s="47">
        <v>3749.03</v>
      </c>
      <c r="F148" s="46">
        <f t="shared" si="16"/>
        <v>-1571.6</v>
      </c>
      <c r="G148" s="46">
        <f t="shared" si="19"/>
        <v>3.97</v>
      </c>
      <c r="H148" s="48">
        <f t="shared" si="17"/>
        <v>104.03</v>
      </c>
      <c r="I148" s="48">
        <f t="shared" si="18"/>
        <v>100.09</v>
      </c>
      <c r="J148" s="48">
        <v>22.13</v>
      </c>
      <c r="K148" s="48">
        <v>4.25</v>
      </c>
      <c r="L148" s="47">
        <v>5886.86</v>
      </c>
      <c r="M148" s="47">
        <v>4999.1400000000003</v>
      </c>
      <c r="N148" s="47">
        <v>887.72</v>
      </c>
      <c r="O148" s="47">
        <v>5658.85</v>
      </c>
      <c r="P148" s="46" t="s">
        <v>2189</v>
      </c>
      <c r="Q148" s="47">
        <v>12829.83</v>
      </c>
      <c r="R148" s="47">
        <v>12841.08</v>
      </c>
      <c r="S148" s="46" t="s">
        <v>579</v>
      </c>
      <c r="T148" s="49" t="s">
        <v>321</v>
      </c>
    </row>
    <row r="149" spans="1:20" ht="15" customHeight="1" x14ac:dyDescent="0.25">
      <c r="A149" s="46" t="s">
        <v>2368</v>
      </c>
      <c r="B149" s="46" t="s">
        <v>1118</v>
      </c>
      <c r="C149" s="46" t="s">
        <v>2173</v>
      </c>
      <c r="D149" s="47">
        <v>695.39</v>
      </c>
      <c r="E149" s="47">
        <v>3042.4</v>
      </c>
      <c r="F149" s="46">
        <f t="shared" si="16"/>
        <v>-2347.0100000000002</v>
      </c>
      <c r="G149" s="46">
        <f t="shared" si="19"/>
        <v>-2343.04</v>
      </c>
      <c r="H149" s="48">
        <f t="shared" si="17"/>
        <v>101.35</v>
      </c>
      <c r="I149" s="48">
        <f t="shared" si="18"/>
        <v>109.32</v>
      </c>
      <c r="J149" s="48">
        <v>25.48</v>
      </c>
      <c r="K149" s="48">
        <v>4.08</v>
      </c>
      <c r="L149" s="47">
        <v>1950.14</v>
      </c>
      <c r="M149" s="47">
        <v>1550.06</v>
      </c>
      <c r="N149" s="47">
        <v>400.08</v>
      </c>
      <c r="O149" s="47">
        <v>1924.12</v>
      </c>
      <c r="P149" s="46" t="s">
        <v>2167</v>
      </c>
      <c r="Q149" s="47">
        <v>10685.12</v>
      </c>
      <c r="R149" s="47">
        <v>11680.57</v>
      </c>
      <c r="S149" s="46" t="s">
        <v>579</v>
      </c>
      <c r="T149" s="49" t="s">
        <v>321</v>
      </c>
    </row>
    <row r="150" spans="1:20" ht="15" customHeight="1" x14ac:dyDescent="0.25">
      <c r="A150" s="50" t="s">
        <v>2369</v>
      </c>
      <c r="B150" s="50" t="s">
        <v>1707</v>
      </c>
      <c r="C150" s="50" t="s">
        <v>2166</v>
      </c>
      <c r="D150" s="51">
        <v>5811.88</v>
      </c>
      <c r="E150" s="51">
        <v>541.19000000000005</v>
      </c>
      <c r="F150" s="50">
        <f t="shared" si="16"/>
        <v>5270.69</v>
      </c>
      <c r="G150" s="50">
        <f t="shared" si="19"/>
        <v>2927.65</v>
      </c>
      <c r="H150" s="52">
        <f t="shared" si="17"/>
        <v>155.91</v>
      </c>
      <c r="I150" s="52">
        <f t="shared" si="18"/>
        <v>130.66999999999999</v>
      </c>
      <c r="J150" s="52">
        <v>22.75</v>
      </c>
      <c r="K150" s="52">
        <v>4.3</v>
      </c>
      <c r="L150" s="51">
        <v>6751.66</v>
      </c>
      <c r="M150" s="51">
        <v>5112.42</v>
      </c>
      <c r="N150" s="51">
        <v>1639.24</v>
      </c>
      <c r="O150" s="51">
        <v>4330.53</v>
      </c>
      <c r="P150" s="50" t="s">
        <v>2189</v>
      </c>
      <c r="Q150" s="51">
        <v>12551.3</v>
      </c>
      <c r="R150" s="51">
        <v>16401.080000000002</v>
      </c>
      <c r="S150" s="50" t="s">
        <v>590</v>
      </c>
      <c r="T150" s="53" t="s">
        <v>266</v>
      </c>
    </row>
    <row r="151" spans="1:20" ht="15" customHeight="1" x14ac:dyDescent="0.25">
      <c r="A151" s="50" t="s">
        <v>2370</v>
      </c>
      <c r="B151" s="50" t="s">
        <v>779</v>
      </c>
      <c r="C151" s="50" t="s">
        <v>2200</v>
      </c>
      <c r="D151" s="51">
        <v>5627.87</v>
      </c>
      <c r="E151" s="51">
        <v>5911.11</v>
      </c>
      <c r="F151" s="50">
        <f t="shared" si="16"/>
        <v>-283.24</v>
      </c>
      <c r="G151" s="50">
        <f t="shared" si="19"/>
        <v>2644.41</v>
      </c>
      <c r="H151" s="52">
        <f t="shared" si="17"/>
        <v>125.28</v>
      </c>
      <c r="I151" s="52">
        <f t="shared" si="18"/>
        <v>116.88</v>
      </c>
      <c r="J151" s="52">
        <v>20.2</v>
      </c>
      <c r="K151" s="52">
        <v>5.28</v>
      </c>
      <c r="L151" s="51">
        <v>6524.7</v>
      </c>
      <c r="M151" s="51">
        <v>5641.98</v>
      </c>
      <c r="N151" s="51">
        <v>882.72</v>
      </c>
      <c r="O151" s="51">
        <v>5207.91</v>
      </c>
      <c r="P151" s="50" t="s">
        <v>2189</v>
      </c>
      <c r="Q151" s="51">
        <v>7671.46</v>
      </c>
      <c r="R151" s="51">
        <v>8966.67</v>
      </c>
      <c r="S151" s="50" t="s">
        <v>590</v>
      </c>
      <c r="T151" s="53" t="s">
        <v>266</v>
      </c>
    </row>
    <row r="152" spans="1:20" ht="15" customHeight="1" x14ac:dyDescent="0.25">
      <c r="A152" s="54" t="s">
        <v>2371</v>
      </c>
      <c r="B152" s="54" t="s">
        <v>1562</v>
      </c>
      <c r="C152" s="54" t="s">
        <v>2170</v>
      </c>
      <c r="D152" s="55">
        <v>5552.63</v>
      </c>
      <c r="E152" s="55">
        <v>4013.68</v>
      </c>
      <c r="F152" s="54">
        <f t="shared" si="16"/>
        <v>1538.95</v>
      </c>
      <c r="G152" s="54">
        <f t="shared" si="19"/>
        <v>4183.3599999999997</v>
      </c>
      <c r="H152" s="56">
        <f t="shared" si="17"/>
        <v>104.37</v>
      </c>
      <c r="I152" s="56">
        <f t="shared" si="18"/>
        <v>97.83</v>
      </c>
      <c r="J152" s="56">
        <v>26.56</v>
      </c>
      <c r="K152" s="56">
        <v>5.31</v>
      </c>
      <c r="L152" s="55">
        <v>8586.06</v>
      </c>
      <c r="M152" s="55">
        <v>7172.24</v>
      </c>
      <c r="N152" s="55">
        <v>1413.82</v>
      </c>
      <c r="O152" s="55">
        <v>8226.19</v>
      </c>
      <c r="P152" s="54" t="s">
        <v>2189</v>
      </c>
      <c r="Q152" s="55">
        <v>10150.15</v>
      </c>
      <c r="R152" s="55">
        <v>9929.94</v>
      </c>
      <c r="S152" s="54" t="s">
        <v>622</v>
      </c>
      <c r="T152" s="57" t="s">
        <v>495</v>
      </c>
    </row>
    <row r="153" spans="1:20" ht="15" customHeight="1" x14ac:dyDescent="0.25">
      <c r="A153" s="46" t="s">
        <v>2372</v>
      </c>
      <c r="B153" s="46" t="s">
        <v>1472</v>
      </c>
      <c r="C153" s="46" t="s">
        <v>2249</v>
      </c>
      <c r="D153" s="47">
        <v>4461.8100000000004</v>
      </c>
      <c r="E153" s="47">
        <v>5583.25</v>
      </c>
      <c r="F153" s="46">
        <f t="shared" si="16"/>
        <v>-1121.44</v>
      </c>
      <c r="G153" s="46">
        <f t="shared" si="19"/>
        <v>3061.92</v>
      </c>
      <c r="H153" s="48">
        <f t="shared" si="17"/>
        <v>107.77</v>
      </c>
      <c r="I153" s="48">
        <f t="shared" si="18"/>
        <v>121.01</v>
      </c>
      <c r="J153" s="48">
        <v>24.65</v>
      </c>
      <c r="K153" s="48">
        <v>3.71</v>
      </c>
      <c r="L153" s="47">
        <v>9013.19</v>
      </c>
      <c r="M153" s="47">
        <v>7235.13</v>
      </c>
      <c r="N153" s="47">
        <v>1778.06</v>
      </c>
      <c r="O153" s="47">
        <v>8363.52</v>
      </c>
      <c r="P153" s="46" t="s">
        <v>2171</v>
      </c>
      <c r="Q153" s="47">
        <v>12091.25</v>
      </c>
      <c r="R153" s="47">
        <v>14632.04</v>
      </c>
      <c r="S153" s="46" t="s">
        <v>579</v>
      </c>
      <c r="T153" s="49" t="s">
        <v>321</v>
      </c>
    </row>
    <row r="154" spans="1:20" ht="15" customHeight="1" x14ac:dyDescent="0.25">
      <c r="A154" s="46" t="s">
        <v>2373</v>
      </c>
      <c r="B154" s="46" t="s">
        <v>731</v>
      </c>
      <c r="C154" s="46" t="s">
        <v>2200</v>
      </c>
      <c r="D154" s="47">
        <v>1890.17</v>
      </c>
      <c r="E154" s="47">
        <v>5114.0200000000004</v>
      </c>
      <c r="F154" s="46">
        <f t="shared" si="16"/>
        <v>-3223.85</v>
      </c>
      <c r="G154" s="46">
        <f t="shared" si="19"/>
        <v>-161.93</v>
      </c>
      <c r="H154" s="48">
        <f t="shared" si="17"/>
        <v>103.32</v>
      </c>
      <c r="I154" s="48">
        <f t="shared" si="18"/>
        <v>124.52</v>
      </c>
      <c r="J154" s="48">
        <v>25.08</v>
      </c>
      <c r="K154" s="48">
        <v>5.12</v>
      </c>
      <c r="L154" s="47">
        <v>9010.34</v>
      </c>
      <c r="M154" s="47">
        <v>7805.97</v>
      </c>
      <c r="N154" s="47">
        <v>1204.3699999999999</v>
      </c>
      <c r="O154" s="47">
        <v>8720.69</v>
      </c>
      <c r="P154" s="46" t="s">
        <v>2171</v>
      </c>
      <c r="Q154" s="47">
        <v>14183.29</v>
      </c>
      <c r="R154" s="47">
        <v>17660.599999999999</v>
      </c>
      <c r="S154" s="46" t="s">
        <v>579</v>
      </c>
      <c r="T154" s="49" t="s">
        <v>321</v>
      </c>
    </row>
    <row r="155" spans="1:20" ht="15" customHeight="1" x14ac:dyDescent="0.25">
      <c r="A155" s="46" t="s">
        <v>2374</v>
      </c>
      <c r="B155" s="46" t="s">
        <v>2375</v>
      </c>
      <c r="C155" s="46" t="s">
        <v>2200</v>
      </c>
      <c r="D155" s="47">
        <v>407.63</v>
      </c>
      <c r="E155" s="47">
        <v>4617.5200000000004</v>
      </c>
      <c r="F155" s="46">
        <f t="shared" si="16"/>
        <v>-4209.8900000000003</v>
      </c>
      <c r="G155" s="46">
        <f t="shared" si="19"/>
        <v>-4371.82</v>
      </c>
      <c r="H155" s="48">
        <f t="shared" si="17"/>
        <v>125.61</v>
      </c>
      <c r="I155" s="48">
        <f t="shared" si="18"/>
        <v>108.73</v>
      </c>
      <c r="J155" s="48">
        <v>19.670000000000002</v>
      </c>
      <c r="K155" s="48">
        <v>4.38</v>
      </c>
      <c r="L155" s="47">
        <v>7327.91</v>
      </c>
      <c r="M155" s="47">
        <v>5929</v>
      </c>
      <c r="N155" s="47">
        <v>1398.91</v>
      </c>
      <c r="O155" s="47">
        <v>5833.86</v>
      </c>
      <c r="P155" s="46" t="s">
        <v>2167</v>
      </c>
      <c r="Q155" s="47">
        <v>10221.469999999999</v>
      </c>
      <c r="R155" s="47">
        <v>11113.3</v>
      </c>
      <c r="S155" s="46" t="s">
        <v>579</v>
      </c>
      <c r="T155" s="49" t="s">
        <v>321</v>
      </c>
    </row>
    <row r="156" spans="1:20" ht="15" customHeight="1" x14ac:dyDescent="0.25">
      <c r="A156" s="54" t="s">
        <v>2376</v>
      </c>
      <c r="B156" s="54" t="s">
        <v>1314</v>
      </c>
      <c r="C156" s="54" t="s">
        <v>2176</v>
      </c>
      <c r="D156" s="55">
        <v>1505.2</v>
      </c>
      <c r="E156" s="55">
        <v>642.75</v>
      </c>
      <c r="F156" s="54">
        <f t="shared" si="16"/>
        <v>862.45</v>
      </c>
      <c r="G156" s="54">
        <f t="shared" si="19"/>
        <v>-3509.37</v>
      </c>
      <c r="H156" s="56">
        <f t="shared" si="17"/>
        <v>145.15</v>
      </c>
      <c r="I156" s="56">
        <f t="shared" si="18"/>
        <v>95.6</v>
      </c>
      <c r="J156" s="56">
        <v>25.37</v>
      </c>
      <c r="K156" s="56">
        <v>4.57</v>
      </c>
      <c r="L156" s="55">
        <v>1563.37</v>
      </c>
      <c r="M156" s="55">
        <v>1268.3399999999999</v>
      </c>
      <c r="N156" s="55">
        <v>295.02999999999997</v>
      </c>
      <c r="O156" s="55">
        <v>1077.04</v>
      </c>
      <c r="P156" s="54" t="s">
        <v>2189</v>
      </c>
      <c r="Q156" s="55">
        <v>17891.259999999998</v>
      </c>
      <c r="R156" s="55">
        <v>17103.32</v>
      </c>
      <c r="S156" s="54" t="s">
        <v>622</v>
      </c>
      <c r="T156" s="57" t="s">
        <v>495</v>
      </c>
    </row>
    <row r="157" spans="1:20" ht="15" customHeight="1" x14ac:dyDescent="0.25">
      <c r="A157" s="46" t="s">
        <v>2377</v>
      </c>
      <c r="B157" s="46" t="s">
        <v>2378</v>
      </c>
      <c r="C157" s="46" t="s">
        <v>2206</v>
      </c>
      <c r="D157" s="47">
        <v>4894.47</v>
      </c>
      <c r="E157" s="47">
        <v>552.01</v>
      </c>
      <c r="F157" s="46">
        <f t="shared" si="16"/>
        <v>4342.46</v>
      </c>
      <c r="G157" s="46">
        <f t="shared" si="19"/>
        <v>833.09</v>
      </c>
      <c r="H157" s="48">
        <f t="shared" si="17"/>
        <v>102.62</v>
      </c>
      <c r="I157" s="48">
        <f t="shared" si="18"/>
        <v>100.19</v>
      </c>
      <c r="J157" s="48">
        <v>21.47</v>
      </c>
      <c r="K157" s="48">
        <v>4.8099999999999996</v>
      </c>
      <c r="L157" s="47">
        <v>2445.39</v>
      </c>
      <c r="M157" s="47">
        <v>2061.67</v>
      </c>
      <c r="N157" s="47">
        <v>383.72</v>
      </c>
      <c r="O157" s="47">
        <v>2382.88</v>
      </c>
      <c r="P157" s="46" t="s">
        <v>2180</v>
      </c>
      <c r="Q157" s="47">
        <v>17977.07</v>
      </c>
      <c r="R157" s="47">
        <v>18010.98</v>
      </c>
      <c r="S157" s="46" t="s">
        <v>579</v>
      </c>
      <c r="T157" s="49" t="s">
        <v>321</v>
      </c>
    </row>
    <row r="158" spans="1:20" ht="15" customHeight="1" x14ac:dyDescent="0.25">
      <c r="A158" s="46" t="s">
        <v>2379</v>
      </c>
      <c r="B158" s="46" t="s">
        <v>1308</v>
      </c>
      <c r="C158" s="46" t="s">
        <v>2200</v>
      </c>
      <c r="D158" s="47">
        <v>3979.74</v>
      </c>
      <c r="E158" s="47">
        <v>3973.88</v>
      </c>
      <c r="F158" s="46">
        <f t="shared" si="16"/>
        <v>5.86</v>
      </c>
      <c r="G158" s="46">
        <f t="shared" si="19"/>
        <v>838.95</v>
      </c>
      <c r="H158" s="48">
        <f t="shared" si="17"/>
        <v>112.35</v>
      </c>
      <c r="I158" s="48">
        <f t="shared" si="18"/>
        <v>107.11</v>
      </c>
      <c r="J158" s="48">
        <v>24.49</v>
      </c>
      <c r="K158" s="48">
        <v>5.13</v>
      </c>
      <c r="L158" s="47">
        <v>2299.96</v>
      </c>
      <c r="M158" s="47">
        <v>1719.37</v>
      </c>
      <c r="N158" s="47">
        <v>580.59</v>
      </c>
      <c r="O158" s="47">
        <v>2047.11</v>
      </c>
      <c r="P158" s="46" t="s">
        <v>2180</v>
      </c>
      <c r="Q158" s="47">
        <v>11322.5</v>
      </c>
      <c r="R158" s="47">
        <v>12127.39</v>
      </c>
      <c r="S158" s="46" t="s">
        <v>579</v>
      </c>
      <c r="T158" s="49" t="s">
        <v>321</v>
      </c>
    </row>
    <row r="159" spans="1:20" ht="15" customHeight="1" x14ac:dyDescent="0.25">
      <c r="A159" s="50" t="s">
        <v>2380</v>
      </c>
      <c r="B159" s="50" t="s">
        <v>2381</v>
      </c>
      <c r="C159" s="50" t="s">
        <v>2178</v>
      </c>
      <c r="D159" s="51">
        <v>1826.83</v>
      </c>
      <c r="E159" s="51">
        <v>3956.5</v>
      </c>
      <c r="F159" s="50">
        <f t="shared" si="16"/>
        <v>-2129.67</v>
      </c>
      <c r="G159" s="50">
        <f t="shared" si="19"/>
        <v>-1290.72</v>
      </c>
      <c r="H159" s="52">
        <f t="shared" si="17"/>
        <v>141.87</v>
      </c>
      <c r="I159" s="52">
        <f t="shared" si="18"/>
        <v>119.87</v>
      </c>
      <c r="J159" s="52">
        <v>22.78</v>
      </c>
      <c r="K159" s="52">
        <v>3.61</v>
      </c>
      <c r="L159" s="51">
        <v>5755.82</v>
      </c>
      <c r="M159" s="51">
        <v>4782.54</v>
      </c>
      <c r="N159" s="51">
        <v>973.28</v>
      </c>
      <c r="O159" s="51">
        <v>4057.21</v>
      </c>
      <c r="P159" s="50" t="s">
        <v>2171</v>
      </c>
      <c r="Q159" s="51">
        <v>14466.02</v>
      </c>
      <c r="R159" s="51">
        <v>17341.12</v>
      </c>
      <c r="S159" s="50" t="s">
        <v>590</v>
      </c>
      <c r="T159" s="53" t="s">
        <v>266</v>
      </c>
    </row>
    <row r="160" spans="1:20" ht="15" customHeight="1" x14ac:dyDescent="0.25">
      <c r="A160" s="46" t="s">
        <v>2382</v>
      </c>
      <c r="B160" s="46" t="s">
        <v>2302</v>
      </c>
      <c r="C160" s="46" t="s">
        <v>2217</v>
      </c>
      <c r="D160" s="47">
        <v>1300.97</v>
      </c>
      <c r="E160" s="47">
        <v>909.08</v>
      </c>
      <c r="F160" s="46">
        <f t="shared" si="16"/>
        <v>391.89</v>
      </c>
      <c r="G160" s="46">
        <f t="shared" si="19"/>
        <v>-898.83</v>
      </c>
      <c r="H160" s="48">
        <f t="shared" si="17"/>
        <v>144.51</v>
      </c>
      <c r="I160" s="48">
        <f t="shared" si="18"/>
        <v>104.4</v>
      </c>
      <c r="J160" s="48">
        <v>20.29</v>
      </c>
      <c r="K160" s="48">
        <v>4.24</v>
      </c>
      <c r="L160" s="47">
        <v>9373.15</v>
      </c>
      <c r="M160" s="47">
        <v>7836.38</v>
      </c>
      <c r="N160" s="47">
        <v>1536.77</v>
      </c>
      <c r="O160" s="47">
        <v>6485.96</v>
      </c>
      <c r="P160" s="46" t="s">
        <v>2180</v>
      </c>
      <c r="Q160" s="47">
        <v>6430.41</v>
      </c>
      <c r="R160" s="47">
        <v>6713.62</v>
      </c>
      <c r="S160" s="46" t="s">
        <v>579</v>
      </c>
      <c r="T160" s="49" t="s">
        <v>321</v>
      </c>
    </row>
    <row r="161" spans="1:20" ht="15" customHeight="1" x14ac:dyDescent="0.25">
      <c r="A161" s="46" t="s">
        <v>2383</v>
      </c>
      <c r="B161" s="46" t="s">
        <v>1376</v>
      </c>
      <c r="C161" s="46" t="s">
        <v>2185</v>
      </c>
      <c r="D161" s="47">
        <v>4608.7299999999996</v>
      </c>
      <c r="E161" s="47">
        <v>5722.97</v>
      </c>
      <c r="F161" s="46">
        <f t="shared" si="16"/>
        <v>-1114.24</v>
      </c>
      <c r="G161" s="46">
        <f t="shared" si="19"/>
        <v>-2013.07</v>
      </c>
      <c r="H161" s="48">
        <f t="shared" si="17"/>
        <v>116.22</v>
      </c>
      <c r="I161" s="48">
        <f t="shared" si="18"/>
        <v>129.18</v>
      </c>
      <c r="J161" s="48">
        <v>23.5</v>
      </c>
      <c r="K161" s="48">
        <v>4.0999999999999996</v>
      </c>
      <c r="L161" s="47">
        <v>1771.42</v>
      </c>
      <c r="M161" s="47">
        <v>1344.77</v>
      </c>
      <c r="N161" s="47">
        <v>426.65</v>
      </c>
      <c r="O161" s="47">
        <v>1524.22</v>
      </c>
      <c r="P161" s="46" t="s">
        <v>2189</v>
      </c>
      <c r="Q161" s="47">
        <v>6716.64</v>
      </c>
      <c r="R161" s="47">
        <v>8676.76</v>
      </c>
      <c r="S161" s="46" t="s">
        <v>579</v>
      </c>
      <c r="T161" s="49" t="s">
        <v>321</v>
      </c>
    </row>
    <row r="162" spans="1:20" ht="15" customHeight="1" x14ac:dyDescent="0.25">
      <c r="A162" s="50" t="s">
        <v>2384</v>
      </c>
      <c r="B162" s="50" t="s">
        <v>2216</v>
      </c>
      <c r="C162" s="50" t="s">
        <v>2200</v>
      </c>
      <c r="D162" s="51">
        <v>211.21</v>
      </c>
      <c r="E162" s="51">
        <v>2357.27</v>
      </c>
      <c r="F162" s="50">
        <f t="shared" si="16"/>
        <v>-2146.06</v>
      </c>
      <c r="G162" s="50">
        <f t="shared" si="19"/>
        <v>-4159.13</v>
      </c>
      <c r="H162" s="52">
        <f t="shared" si="17"/>
        <v>122.76</v>
      </c>
      <c r="I162" s="52">
        <f t="shared" si="18"/>
        <v>125.52</v>
      </c>
      <c r="J162" s="52">
        <v>24.11</v>
      </c>
      <c r="K162" s="52">
        <v>4.5599999999999996</v>
      </c>
      <c r="L162" s="51">
        <v>5041.63</v>
      </c>
      <c r="M162" s="51">
        <v>4219.33</v>
      </c>
      <c r="N162" s="51">
        <v>822.3</v>
      </c>
      <c r="O162" s="51">
        <v>4106.91</v>
      </c>
      <c r="P162" s="50" t="s">
        <v>2167</v>
      </c>
      <c r="Q162" s="51">
        <v>6375.67</v>
      </c>
      <c r="R162" s="51">
        <v>8002.73</v>
      </c>
      <c r="S162" s="50" t="s">
        <v>590</v>
      </c>
      <c r="T162" s="53" t="s">
        <v>266</v>
      </c>
    </row>
    <row r="163" spans="1:20" ht="15" customHeight="1" x14ac:dyDescent="0.25">
      <c r="A163" s="46" t="s">
        <v>2385</v>
      </c>
      <c r="B163" s="46" t="s">
        <v>1942</v>
      </c>
      <c r="C163" s="46" t="s">
        <v>2176</v>
      </c>
      <c r="D163" s="47">
        <v>5469.32</v>
      </c>
      <c r="E163" s="47">
        <v>4551.42</v>
      </c>
      <c r="F163" s="46">
        <f t="shared" ref="F163:F194" si="20">ROUND(D163-E163,2)</f>
        <v>917.9</v>
      </c>
      <c r="G163" s="46">
        <f t="shared" si="19"/>
        <v>-3241.23</v>
      </c>
      <c r="H163" s="48">
        <f t="shared" ref="H163:H194" si="21">ROUND(L163/O163*100,2)</f>
        <v>115.75</v>
      </c>
      <c r="I163" s="48">
        <f t="shared" ref="I163:I194" si="22">ROUND(R163/Q163*100,2)</f>
        <v>128.16999999999999</v>
      </c>
      <c r="J163" s="48">
        <v>24.9</v>
      </c>
      <c r="K163" s="48">
        <v>3.93</v>
      </c>
      <c r="L163" s="47">
        <v>4586.66</v>
      </c>
      <c r="M163" s="47">
        <v>3486.28</v>
      </c>
      <c r="N163" s="47">
        <v>1100.3800000000001</v>
      </c>
      <c r="O163" s="47">
        <v>3962.49</v>
      </c>
      <c r="P163" s="46" t="s">
        <v>2189</v>
      </c>
      <c r="Q163" s="47">
        <v>10091.33</v>
      </c>
      <c r="R163" s="47">
        <v>12934.02</v>
      </c>
      <c r="S163" s="46" t="s">
        <v>579</v>
      </c>
      <c r="T163" s="49" t="s">
        <v>321</v>
      </c>
    </row>
    <row r="164" spans="1:20" ht="15" customHeight="1" x14ac:dyDescent="0.25">
      <c r="A164" s="50" t="s">
        <v>2386</v>
      </c>
      <c r="B164" s="50" t="s">
        <v>1009</v>
      </c>
      <c r="C164" s="50" t="s">
        <v>2188</v>
      </c>
      <c r="D164" s="51">
        <v>4717.41</v>
      </c>
      <c r="E164" s="51">
        <v>5578.54</v>
      </c>
      <c r="F164" s="50">
        <f t="shared" si="20"/>
        <v>-861.13</v>
      </c>
      <c r="G164" s="50">
        <f t="shared" ref="G164:G195" si="23">ROUND(G163+F164,2)</f>
        <v>-4102.3599999999997</v>
      </c>
      <c r="H164" s="52">
        <f t="shared" si="21"/>
        <v>133.19999999999999</v>
      </c>
      <c r="I164" s="52">
        <f t="shared" si="22"/>
        <v>132.52000000000001</v>
      </c>
      <c r="J164" s="52">
        <v>26.6</v>
      </c>
      <c r="K164" s="52">
        <v>5.36</v>
      </c>
      <c r="L164" s="51">
        <v>8283.7199999999993</v>
      </c>
      <c r="M164" s="51">
        <v>6316.32</v>
      </c>
      <c r="N164" s="51">
        <v>1967.4</v>
      </c>
      <c r="O164" s="51">
        <v>6219.12</v>
      </c>
      <c r="P164" s="50" t="s">
        <v>2167</v>
      </c>
      <c r="Q164" s="51">
        <v>16302.17</v>
      </c>
      <c r="R164" s="51">
        <v>21603.48</v>
      </c>
      <c r="S164" s="50" t="s">
        <v>590</v>
      </c>
      <c r="T164" s="53" t="s">
        <v>266</v>
      </c>
    </row>
    <row r="165" spans="1:20" ht="15" customHeight="1" x14ac:dyDescent="0.25">
      <c r="A165" s="46" t="s">
        <v>2387</v>
      </c>
      <c r="B165" s="46" t="s">
        <v>2388</v>
      </c>
      <c r="C165" s="46" t="s">
        <v>2188</v>
      </c>
      <c r="D165" s="47">
        <v>3478.36</v>
      </c>
      <c r="E165" s="47">
        <v>3452.99</v>
      </c>
      <c r="F165" s="46">
        <f t="shared" si="20"/>
        <v>25.37</v>
      </c>
      <c r="G165" s="46">
        <f t="shared" si="23"/>
        <v>-4076.99</v>
      </c>
      <c r="H165" s="48">
        <f t="shared" si="21"/>
        <v>122.88</v>
      </c>
      <c r="I165" s="48">
        <f t="shared" si="22"/>
        <v>106.23</v>
      </c>
      <c r="J165" s="48">
        <v>24.84</v>
      </c>
      <c r="K165" s="48">
        <v>5.35</v>
      </c>
      <c r="L165" s="47">
        <v>5591.63</v>
      </c>
      <c r="M165" s="47">
        <v>4728.6099999999997</v>
      </c>
      <c r="N165" s="47">
        <v>863.02</v>
      </c>
      <c r="O165" s="47">
        <v>4550.57</v>
      </c>
      <c r="P165" s="46" t="s">
        <v>2180</v>
      </c>
      <c r="Q165" s="47">
        <v>16892.55</v>
      </c>
      <c r="R165" s="47">
        <v>17944.62</v>
      </c>
      <c r="S165" s="46" t="s">
        <v>579</v>
      </c>
      <c r="T165" s="49" t="s">
        <v>321</v>
      </c>
    </row>
    <row r="166" spans="1:20" ht="15" customHeight="1" x14ac:dyDescent="0.25">
      <c r="A166" s="50" t="s">
        <v>2389</v>
      </c>
      <c r="B166" s="50" t="s">
        <v>2214</v>
      </c>
      <c r="C166" s="50" t="s">
        <v>2173</v>
      </c>
      <c r="D166" s="51">
        <v>604.66999999999996</v>
      </c>
      <c r="E166" s="51">
        <v>1574.6</v>
      </c>
      <c r="F166" s="50">
        <f t="shared" si="20"/>
        <v>-969.93</v>
      </c>
      <c r="G166" s="50">
        <f t="shared" si="23"/>
        <v>-5046.92</v>
      </c>
      <c r="H166" s="52">
        <f t="shared" si="21"/>
        <v>123.68</v>
      </c>
      <c r="I166" s="52">
        <f t="shared" si="22"/>
        <v>127.41</v>
      </c>
      <c r="J166" s="52">
        <v>23.73</v>
      </c>
      <c r="K166" s="52">
        <v>4.22</v>
      </c>
      <c r="L166" s="51">
        <v>5954.91</v>
      </c>
      <c r="M166" s="51">
        <v>4891.07</v>
      </c>
      <c r="N166" s="51">
        <v>1063.8399999999999</v>
      </c>
      <c r="O166" s="51">
        <v>4814.92</v>
      </c>
      <c r="P166" s="50" t="s">
        <v>2167</v>
      </c>
      <c r="Q166" s="51">
        <v>15389.12</v>
      </c>
      <c r="R166" s="51">
        <v>19607.34</v>
      </c>
      <c r="S166" s="50" t="s">
        <v>590</v>
      </c>
      <c r="T166" s="53" t="s">
        <v>266</v>
      </c>
    </row>
    <row r="167" spans="1:20" ht="15" customHeight="1" x14ac:dyDescent="0.25">
      <c r="A167" s="46" t="s">
        <v>2390</v>
      </c>
      <c r="B167" s="46" t="s">
        <v>1354</v>
      </c>
      <c r="C167" s="46" t="s">
        <v>2176</v>
      </c>
      <c r="D167" s="47">
        <v>833.41</v>
      </c>
      <c r="E167" s="47">
        <v>3453.8</v>
      </c>
      <c r="F167" s="46">
        <f t="shared" si="20"/>
        <v>-2620.39</v>
      </c>
      <c r="G167" s="46">
        <f t="shared" si="23"/>
        <v>-7667.31</v>
      </c>
      <c r="H167" s="48">
        <f t="shared" si="21"/>
        <v>110.73</v>
      </c>
      <c r="I167" s="48">
        <f t="shared" si="22"/>
        <v>109.35</v>
      </c>
      <c r="J167" s="48">
        <v>22.43</v>
      </c>
      <c r="K167" s="48">
        <v>4.38</v>
      </c>
      <c r="L167" s="47">
        <v>4069.1</v>
      </c>
      <c r="M167" s="47">
        <v>3382.73</v>
      </c>
      <c r="N167" s="47">
        <v>686.37</v>
      </c>
      <c r="O167" s="47">
        <v>3674.89</v>
      </c>
      <c r="P167" s="46" t="s">
        <v>2171</v>
      </c>
      <c r="Q167" s="47">
        <v>6444.05</v>
      </c>
      <c r="R167" s="47">
        <v>7046.5</v>
      </c>
      <c r="S167" s="46" t="s">
        <v>579</v>
      </c>
      <c r="T167" s="49" t="s">
        <v>321</v>
      </c>
    </row>
    <row r="168" spans="1:20" ht="15" customHeight="1" x14ac:dyDescent="0.25">
      <c r="A168" s="50" t="s">
        <v>2391</v>
      </c>
      <c r="B168" s="50" t="s">
        <v>983</v>
      </c>
      <c r="C168" s="50" t="s">
        <v>2178</v>
      </c>
      <c r="D168" s="51">
        <v>1385.27</v>
      </c>
      <c r="E168" s="51">
        <v>445.65</v>
      </c>
      <c r="F168" s="50">
        <f t="shared" si="20"/>
        <v>939.62</v>
      </c>
      <c r="G168" s="50">
        <f t="shared" si="23"/>
        <v>-6727.69</v>
      </c>
      <c r="H168" s="52">
        <f t="shared" si="21"/>
        <v>136.62</v>
      </c>
      <c r="I168" s="52">
        <f t="shared" si="22"/>
        <v>126.47</v>
      </c>
      <c r="J168" s="52">
        <v>21.17</v>
      </c>
      <c r="K168" s="52">
        <v>3.63</v>
      </c>
      <c r="L168" s="51">
        <v>9141</v>
      </c>
      <c r="M168" s="51">
        <v>7584.07</v>
      </c>
      <c r="N168" s="51">
        <v>1556.93</v>
      </c>
      <c r="O168" s="51">
        <v>6690.84</v>
      </c>
      <c r="P168" s="50" t="s">
        <v>2180</v>
      </c>
      <c r="Q168" s="51">
        <v>9096.08</v>
      </c>
      <c r="R168" s="51">
        <v>11503.76</v>
      </c>
      <c r="S168" s="50" t="s">
        <v>590</v>
      </c>
      <c r="T168" s="53" t="s">
        <v>266</v>
      </c>
    </row>
    <row r="169" spans="1:20" ht="15" customHeight="1" x14ac:dyDescent="0.25">
      <c r="A169" s="54" t="s">
        <v>2392</v>
      </c>
      <c r="B169" s="54" t="s">
        <v>957</v>
      </c>
      <c r="C169" s="54" t="s">
        <v>2200</v>
      </c>
      <c r="D169" s="55">
        <v>850.61</v>
      </c>
      <c r="E169" s="55">
        <v>3819</v>
      </c>
      <c r="F169" s="54">
        <f t="shared" si="20"/>
        <v>-2968.39</v>
      </c>
      <c r="G169" s="54">
        <f t="shared" si="23"/>
        <v>-9696.08</v>
      </c>
      <c r="H169" s="56">
        <f t="shared" si="21"/>
        <v>102.97</v>
      </c>
      <c r="I169" s="56">
        <f t="shared" si="22"/>
        <v>96.68</v>
      </c>
      <c r="J169" s="56">
        <v>19.47</v>
      </c>
      <c r="K169" s="56">
        <v>3.58</v>
      </c>
      <c r="L169" s="55">
        <v>2800.53</v>
      </c>
      <c r="M169" s="55">
        <v>2198.9299999999998</v>
      </c>
      <c r="N169" s="55">
        <v>601.6</v>
      </c>
      <c r="O169" s="55">
        <v>2719.63</v>
      </c>
      <c r="P169" s="54" t="s">
        <v>2171</v>
      </c>
      <c r="Q169" s="55">
        <v>12958.69</v>
      </c>
      <c r="R169" s="55">
        <v>12528.23</v>
      </c>
      <c r="S169" s="54" t="s">
        <v>622</v>
      </c>
      <c r="T169" s="57" t="s">
        <v>495</v>
      </c>
    </row>
    <row r="170" spans="1:20" ht="15" customHeight="1" x14ac:dyDescent="0.25">
      <c r="A170" s="46" t="s">
        <v>2393</v>
      </c>
      <c r="B170" s="46" t="s">
        <v>1953</v>
      </c>
      <c r="C170" s="46" t="s">
        <v>2206</v>
      </c>
      <c r="D170" s="47">
        <v>458.8</v>
      </c>
      <c r="E170" s="47">
        <v>4315.84</v>
      </c>
      <c r="F170" s="46">
        <f t="shared" si="20"/>
        <v>-3857.04</v>
      </c>
      <c r="G170" s="46">
        <f t="shared" si="23"/>
        <v>-13553.12</v>
      </c>
      <c r="H170" s="48">
        <f t="shared" si="21"/>
        <v>140.69999999999999</v>
      </c>
      <c r="I170" s="48">
        <f t="shared" si="22"/>
        <v>108.99</v>
      </c>
      <c r="J170" s="48">
        <v>25.79</v>
      </c>
      <c r="K170" s="48">
        <v>4.21</v>
      </c>
      <c r="L170" s="47">
        <v>3558.29</v>
      </c>
      <c r="M170" s="47">
        <v>2961.57</v>
      </c>
      <c r="N170" s="47">
        <v>596.72</v>
      </c>
      <c r="O170" s="47">
        <v>2528.9299999999998</v>
      </c>
      <c r="P170" s="46" t="s">
        <v>2189</v>
      </c>
      <c r="Q170" s="47">
        <v>13206.95</v>
      </c>
      <c r="R170" s="47">
        <v>14394.15</v>
      </c>
      <c r="S170" s="46" t="s">
        <v>579</v>
      </c>
      <c r="T170" s="49" t="s">
        <v>321</v>
      </c>
    </row>
    <row r="171" spans="1:20" ht="15" customHeight="1" x14ac:dyDescent="0.25">
      <c r="A171" s="46" t="s">
        <v>2394</v>
      </c>
      <c r="B171" s="46" t="s">
        <v>2095</v>
      </c>
      <c r="C171" s="46" t="s">
        <v>2178</v>
      </c>
      <c r="D171" s="47">
        <v>2718.49</v>
      </c>
      <c r="E171" s="47">
        <v>3115.11</v>
      </c>
      <c r="F171" s="46">
        <f t="shared" si="20"/>
        <v>-396.62</v>
      </c>
      <c r="G171" s="46">
        <f t="shared" si="23"/>
        <v>-13949.74</v>
      </c>
      <c r="H171" s="48">
        <f t="shared" si="21"/>
        <v>122.28</v>
      </c>
      <c r="I171" s="48">
        <f t="shared" si="22"/>
        <v>100.72</v>
      </c>
      <c r="J171" s="48">
        <v>25.49</v>
      </c>
      <c r="K171" s="48">
        <v>4.33</v>
      </c>
      <c r="L171" s="47">
        <v>3416.37</v>
      </c>
      <c r="M171" s="47">
        <v>2811.46</v>
      </c>
      <c r="N171" s="47">
        <v>604.91</v>
      </c>
      <c r="O171" s="47">
        <v>2793.86</v>
      </c>
      <c r="P171" s="46" t="s">
        <v>2171</v>
      </c>
      <c r="Q171" s="47">
        <v>16510.240000000002</v>
      </c>
      <c r="R171" s="47">
        <v>16629.64</v>
      </c>
      <c r="S171" s="46" t="s">
        <v>579</v>
      </c>
      <c r="T171" s="49" t="s">
        <v>321</v>
      </c>
    </row>
    <row r="172" spans="1:20" ht="15" customHeight="1" x14ac:dyDescent="0.25">
      <c r="A172" s="46" t="s">
        <v>2395</v>
      </c>
      <c r="B172" s="46" t="s">
        <v>1310</v>
      </c>
      <c r="C172" s="46" t="s">
        <v>2249</v>
      </c>
      <c r="D172" s="47">
        <v>4750.17</v>
      </c>
      <c r="E172" s="47">
        <v>2076.42</v>
      </c>
      <c r="F172" s="46">
        <f t="shared" si="20"/>
        <v>2673.75</v>
      </c>
      <c r="G172" s="46">
        <f t="shared" si="23"/>
        <v>-11275.99</v>
      </c>
      <c r="H172" s="48">
        <f t="shared" si="21"/>
        <v>128.24</v>
      </c>
      <c r="I172" s="48">
        <f t="shared" si="22"/>
        <v>106.63</v>
      </c>
      <c r="J172" s="48">
        <v>26.77</v>
      </c>
      <c r="K172" s="48">
        <v>4.74</v>
      </c>
      <c r="L172" s="47">
        <v>5090.01</v>
      </c>
      <c r="M172" s="47">
        <v>3975.34</v>
      </c>
      <c r="N172" s="47">
        <v>1114.67</v>
      </c>
      <c r="O172" s="47">
        <v>3969.09</v>
      </c>
      <c r="P172" s="46" t="s">
        <v>2180</v>
      </c>
      <c r="Q172" s="47">
        <v>10419.620000000001</v>
      </c>
      <c r="R172" s="47">
        <v>11110.95</v>
      </c>
      <c r="S172" s="46" t="s">
        <v>579</v>
      </c>
      <c r="T172" s="49" t="s">
        <v>321</v>
      </c>
    </row>
    <row r="173" spans="1:20" ht="15" customHeight="1" x14ac:dyDescent="0.25">
      <c r="A173" s="50" t="s">
        <v>2396</v>
      </c>
      <c r="B173" s="50" t="s">
        <v>2397</v>
      </c>
      <c r="C173" s="50" t="s">
        <v>2249</v>
      </c>
      <c r="D173" s="51">
        <v>250.66</v>
      </c>
      <c r="E173" s="51">
        <v>3693.33</v>
      </c>
      <c r="F173" s="50">
        <f t="shared" si="20"/>
        <v>-3442.67</v>
      </c>
      <c r="G173" s="50">
        <f t="shared" si="23"/>
        <v>-14718.66</v>
      </c>
      <c r="H173" s="52">
        <f t="shared" si="21"/>
        <v>146.85</v>
      </c>
      <c r="I173" s="52">
        <f t="shared" si="22"/>
        <v>110.15</v>
      </c>
      <c r="J173" s="52">
        <v>22.82</v>
      </c>
      <c r="K173" s="52">
        <v>4.66</v>
      </c>
      <c r="L173" s="51">
        <v>8382.74</v>
      </c>
      <c r="M173" s="51">
        <v>6694.63</v>
      </c>
      <c r="N173" s="51">
        <v>1688.11</v>
      </c>
      <c r="O173" s="51">
        <v>5708.27</v>
      </c>
      <c r="P173" s="50" t="s">
        <v>2167</v>
      </c>
      <c r="Q173" s="51">
        <v>17279.28</v>
      </c>
      <c r="R173" s="51">
        <v>19033.75</v>
      </c>
      <c r="S173" s="50" t="s">
        <v>590</v>
      </c>
      <c r="T173" s="53" t="s">
        <v>266</v>
      </c>
    </row>
    <row r="174" spans="1:20" ht="15" customHeight="1" x14ac:dyDescent="0.25">
      <c r="A174" s="54" t="s">
        <v>2398</v>
      </c>
      <c r="B174" s="54" t="s">
        <v>779</v>
      </c>
      <c r="C174" s="54" t="s">
        <v>2176</v>
      </c>
      <c r="D174" s="55">
        <v>3976.65</v>
      </c>
      <c r="E174" s="55">
        <v>985.44</v>
      </c>
      <c r="F174" s="54">
        <f t="shared" si="20"/>
        <v>2991.21</v>
      </c>
      <c r="G174" s="54">
        <f t="shared" si="23"/>
        <v>-11727.45</v>
      </c>
      <c r="H174" s="56">
        <f t="shared" si="21"/>
        <v>157.31</v>
      </c>
      <c r="I174" s="56">
        <f t="shared" si="22"/>
        <v>99.85</v>
      </c>
      <c r="J174" s="56">
        <v>26.65</v>
      </c>
      <c r="K174" s="56">
        <v>5.48</v>
      </c>
      <c r="L174" s="55">
        <v>8172.77</v>
      </c>
      <c r="M174" s="55">
        <v>6385.76</v>
      </c>
      <c r="N174" s="55">
        <v>1787.01</v>
      </c>
      <c r="O174" s="55">
        <v>5195.3</v>
      </c>
      <c r="P174" s="54" t="s">
        <v>2171</v>
      </c>
      <c r="Q174" s="55">
        <v>12467.61</v>
      </c>
      <c r="R174" s="55">
        <v>12448.87</v>
      </c>
      <c r="S174" s="54" t="s">
        <v>622</v>
      </c>
      <c r="T174" s="57" t="s">
        <v>495</v>
      </c>
    </row>
    <row r="175" spans="1:20" ht="15" customHeight="1" x14ac:dyDescent="0.25">
      <c r="A175" s="46" t="s">
        <v>2399</v>
      </c>
      <c r="B175" s="46" t="s">
        <v>2337</v>
      </c>
      <c r="C175" s="46" t="s">
        <v>2178</v>
      </c>
      <c r="D175" s="47">
        <v>4809.41</v>
      </c>
      <c r="E175" s="47">
        <v>3681.9</v>
      </c>
      <c r="F175" s="46">
        <f t="shared" si="20"/>
        <v>1127.51</v>
      </c>
      <c r="G175" s="46">
        <f t="shared" si="23"/>
        <v>-10599.94</v>
      </c>
      <c r="H175" s="48">
        <f t="shared" si="21"/>
        <v>119.02</v>
      </c>
      <c r="I175" s="48">
        <f t="shared" si="22"/>
        <v>126.96</v>
      </c>
      <c r="J175" s="48">
        <v>20.16</v>
      </c>
      <c r="K175" s="48">
        <v>4.6500000000000004</v>
      </c>
      <c r="L175" s="47">
        <v>7126.29</v>
      </c>
      <c r="M175" s="47">
        <v>5682.54</v>
      </c>
      <c r="N175" s="47">
        <v>1443.75</v>
      </c>
      <c r="O175" s="47">
        <v>5987.66</v>
      </c>
      <c r="P175" s="46" t="s">
        <v>2180</v>
      </c>
      <c r="Q175" s="47">
        <v>9944.2099999999991</v>
      </c>
      <c r="R175" s="47">
        <v>12625.19</v>
      </c>
      <c r="S175" s="46" t="s">
        <v>579</v>
      </c>
      <c r="T175" s="49" t="s">
        <v>321</v>
      </c>
    </row>
    <row r="176" spans="1:20" ht="15" customHeight="1" x14ac:dyDescent="0.25">
      <c r="A176" s="50" t="s">
        <v>2400</v>
      </c>
      <c r="B176" s="50" t="s">
        <v>945</v>
      </c>
      <c r="C176" s="50" t="s">
        <v>2170</v>
      </c>
      <c r="D176" s="51">
        <v>1462.26</v>
      </c>
      <c r="E176" s="51">
        <v>1957.42</v>
      </c>
      <c r="F176" s="50">
        <f t="shared" si="20"/>
        <v>-495.16</v>
      </c>
      <c r="G176" s="50">
        <f t="shared" si="23"/>
        <v>-11095.1</v>
      </c>
      <c r="H176" s="52">
        <f t="shared" si="21"/>
        <v>126.7</v>
      </c>
      <c r="I176" s="52">
        <f t="shared" si="22"/>
        <v>115.23</v>
      </c>
      <c r="J176" s="52">
        <v>26.64</v>
      </c>
      <c r="K176" s="52">
        <v>4.32</v>
      </c>
      <c r="L176" s="51">
        <v>10067.040000000001</v>
      </c>
      <c r="M176" s="51">
        <v>7812.3</v>
      </c>
      <c r="N176" s="51">
        <v>2254.7399999999998</v>
      </c>
      <c r="O176" s="51">
        <v>7945.54</v>
      </c>
      <c r="P176" s="50" t="s">
        <v>2189</v>
      </c>
      <c r="Q176" s="51">
        <v>10223.82</v>
      </c>
      <c r="R176" s="51">
        <v>11780.47</v>
      </c>
      <c r="S176" s="50" t="s">
        <v>590</v>
      </c>
      <c r="T176" s="53" t="s">
        <v>266</v>
      </c>
    </row>
    <row r="177" spans="1:20" ht="15" customHeight="1" x14ac:dyDescent="0.25">
      <c r="A177" s="50" t="s">
        <v>2401</v>
      </c>
      <c r="B177" s="50" t="s">
        <v>1360</v>
      </c>
      <c r="C177" s="50" t="s">
        <v>2170</v>
      </c>
      <c r="D177" s="51">
        <v>3954.65</v>
      </c>
      <c r="E177" s="51">
        <v>3670.79</v>
      </c>
      <c r="F177" s="50">
        <f t="shared" si="20"/>
        <v>283.86</v>
      </c>
      <c r="G177" s="50">
        <f t="shared" si="23"/>
        <v>-10811.24</v>
      </c>
      <c r="H177" s="52">
        <f t="shared" si="21"/>
        <v>134.16</v>
      </c>
      <c r="I177" s="52">
        <f t="shared" si="22"/>
        <v>111.3</v>
      </c>
      <c r="J177" s="52">
        <v>25.53</v>
      </c>
      <c r="K177" s="52">
        <v>3.75</v>
      </c>
      <c r="L177" s="51">
        <v>5247.2</v>
      </c>
      <c r="M177" s="51">
        <v>4252.9799999999996</v>
      </c>
      <c r="N177" s="51">
        <v>994.22</v>
      </c>
      <c r="O177" s="51">
        <v>3911.14</v>
      </c>
      <c r="P177" s="50" t="s">
        <v>2180</v>
      </c>
      <c r="Q177" s="51">
        <v>15317.38</v>
      </c>
      <c r="R177" s="51">
        <v>17048.96</v>
      </c>
      <c r="S177" s="50" t="s">
        <v>590</v>
      </c>
      <c r="T177" s="53" t="s">
        <v>266</v>
      </c>
    </row>
    <row r="178" spans="1:20" ht="15" customHeight="1" x14ac:dyDescent="0.25">
      <c r="A178" s="46" t="s">
        <v>2402</v>
      </c>
      <c r="B178" s="46" t="s">
        <v>2403</v>
      </c>
      <c r="C178" s="46" t="s">
        <v>2185</v>
      </c>
      <c r="D178" s="47">
        <v>915.03</v>
      </c>
      <c r="E178" s="47">
        <v>1635.65</v>
      </c>
      <c r="F178" s="46">
        <f t="shared" si="20"/>
        <v>-720.62</v>
      </c>
      <c r="G178" s="46">
        <f t="shared" si="23"/>
        <v>-11531.86</v>
      </c>
      <c r="H178" s="48">
        <f t="shared" si="21"/>
        <v>104.89</v>
      </c>
      <c r="I178" s="48">
        <f t="shared" si="22"/>
        <v>125.91</v>
      </c>
      <c r="J178" s="48">
        <v>22.08</v>
      </c>
      <c r="K178" s="48">
        <v>5.47</v>
      </c>
      <c r="L178" s="47">
        <v>3821.22</v>
      </c>
      <c r="M178" s="47">
        <v>3150.82</v>
      </c>
      <c r="N178" s="47">
        <v>670.4</v>
      </c>
      <c r="O178" s="47">
        <v>3643.06</v>
      </c>
      <c r="P178" s="46" t="s">
        <v>2171</v>
      </c>
      <c r="Q178" s="47">
        <v>13591.56</v>
      </c>
      <c r="R178" s="47">
        <v>17112.560000000001</v>
      </c>
      <c r="S178" s="46" t="s">
        <v>579</v>
      </c>
      <c r="T178" s="49" t="s">
        <v>321</v>
      </c>
    </row>
    <row r="179" spans="1:20" ht="15" customHeight="1" x14ac:dyDescent="0.25">
      <c r="A179" s="50" t="s">
        <v>2404</v>
      </c>
      <c r="B179" s="50" t="s">
        <v>1705</v>
      </c>
      <c r="C179" s="50" t="s">
        <v>2166</v>
      </c>
      <c r="D179" s="51">
        <v>5270.79</v>
      </c>
      <c r="E179" s="51">
        <v>191.52</v>
      </c>
      <c r="F179" s="50">
        <f t="shared" si="20"/>
        <v>5079.2700000000004</v>
      </c>
      <c r="G179" s="50">
        <f t="shared" si="23"/>
        <v>-6452.59</v>
      </c>
      <c r="H179" s="52">
        <f t="shared" si="21"/>
        <v>133.27000000000001</v>
      </c>
      <c r="I179" s="52">
        <f t="shared" si="22"/>
        <v>128.35</v>
      </c>
      <c r="J179" s="52">
        <v>26.41</v>
      </c>
      <c r="K179" s="52">
        <v>4.99</v>
      </c>
      <c r="L179" s="51">
        <v>2431.04</v>
      </c>
      <c r="M179" s="51">
        <v>2021.36</v>
      </c>
      <c r="N179" s="51">
        <v>409.68</v>
      </c>
      <c r="O179" s="51">
        <v>1824.08</v>
      </c>
      <c r="P179" s="50" t="s">
        <v>2180</v>
      </c>
      <c r="Q179" s="51">
        <v>16433.509999999998</v>
      </c>
      <c r="R179" s="51">
        <v>21093.119999999999</v>
      </c>
      <c r="S179" s="50" t="s">
        <v>590</v>
      </c>
      <c r="T179" s="53" t="s">
        <v>266</v>
      </c>
    </row>
    <row r="180" spans="1:20" ht="15" customHeight="1" x14ac:dyDescent="0.25">
      <c r="A180" s="54" t="s">
        <v>2405</v>
      </c>
      <c r="B180" s="54" t="s">
        <v>1611</v>
      </c>
      <c r="C180" s="54" t="s">
        <v>2166</v>
      </c>
      <c r="D180" s="55">
        <v>5940.61</v>
      </c>
      <c r="E180" s="55">
        <v>881.03</v>
      </c>
      <c r="F180" s="54">
        <f t="shared" si="20"/>
        <v>5059.58</v>
      </c>
      <c r="G180" s="54">
        <f t="shared" si="23"/>
        <v>-1393.01</v>
      </c>
      <c r="H180" s="56">
        <f t="shared" si="21"/>
        <v>154.26</v>
      </c>
      <c r="I180" s="56">
        <f t="shared" si="22"/>
        <v>99.76</v>
      </c>
      <c r="J180" s="56">
        <v>21.51</v>
      </c>
      <c r="K180" s="56">
        <v>4.3</v>
      </c>
      <c r="L180" s="55">
        <v>9462.48</v>
      </c>
      <c r="M180" s="55">
        <v>7094.78</v>
      </c>
      <c r="N180" s="55">
        <v>2367.6999999999998</v>
      </c>
      <c r="O180" s="55">
        <v>6134.29</v>
      </c>
      <c r="P180" s="54" t="s">
        <v>2180</v>
      </c>
      <c r="Q180" s="55">
        <v>14543.8</v>
      </c>
      <c r="R180" s="55">
        <v>14509.07</v>
      </c>
      <c r="S180" s="54" t="s">
        <v>622</v>
      </c>
      <c r="T180" s="57" t="s">
        <v>495</v>
      </c>
    </row>
    <row r="181" spans="1:20" ht="15" customHeight="1" x14ac:dyDescent="0.25">
      <c r="A181" s="50" t="s">
        <v>2406</v>
      </c>
      <c r="B181" s="50" t="s">
        <v>1572</v>
      </c>
      <c r="C181" s="50" t="s">
        <v>2170</v>
      </c>
      <c r="D181" s="51">
        <v>3589.72</v>
      </c>
      <c r="E181" s="51">
        <v>3738.11</v>
      </c>
      <c r="F181" s="50">
        <f t="shared" si="20"/>
        <v>-148.38999999999999</v>
      </c>
      <c r="G181" s="50">
        <f t="shared" si="23"/>
        <v>-1541.4</v>
      </c>
      <c r="H181" s="52">
        <f t="shared" si="21"/>
        <v>144.32</v>
      </c>
      <c r="I181" s="52">
        <f t="shared" si="22"/>
        <v>124.63</v>
      </c>
      <c r="J181" s="52">
        <v>21.52</v>
      </c>
      <c r="K181" s="52">
        <v>4.4000000000000004</v>
      </c>
      <c r="L181" s="51">
        <v>9226.15</v>
      </c>
      <c r="M181" s="51">
        <v>7960.11</v>
      </c>
      <c r="N181" s="51">
        <v>1266.04</v>
      </c>
      <c r="O181" s="51">
        <v>6392.63</v>
      </c>
      <c r="P181" s="50" t="s">
        <v>2171</v>
      </c>
      <c r="Q181" s="51">
        <v>13569.98</v>
      </c>
      <c r="R181" s="51">
        <v>16911.98</v>
      </c>
      <c r="S181" s="50" t="s">
        <v>590</v>
      </c>
      <c r="T181" s="53" t="s">
        <v>266</v>
      </c>
    </row>
    <row r="182" spans="1:20" ht="15" customHeight="1" x14ac:dyDescent="0.25">
      <c r="A182" s="50" t="s">
        <v>2407</v>
      </c>
      <c r="B182" s="50" t="s">
        <v>2291</v>
      </c>
      <c r="C182" s="50" t="s">
        <v>2173</v>
      </c>
      <c r="D182" s="51">
        <v>4570.1899999999996</v>
      </c>
      <c r="E182" s="51">
        <v>4230.67</v>
      </c>
      <c r="F182" s="50">
        <f t="shared" si="20"/>
        <v>339.52</v>
      </c>
      <c r="G182" s="50">
        <f t="shared" si="23"/>
        <v>-1201.8800000000001</v>
      </c>
      <c r="H182" s="52">
        <f t="shared" si="21"/>
        <v>135.37</v>
      </c>
      <c r="I182" s="52">
        <f t="shared" si="22"/>
        <v>118.74</v>
      </c>
      <c r="J182" s="52">
        <v>25.47</v>
      </c>
      <c r="K182" s="52">
        <v>4.5199999999999996</v>
      </c>
      <c r="L182" s="51">
        <v>8011.1</v>
      </c>
      <c r="M182" s="51">
        <v>6187.41</v>
      </c>
      <c r="N182" s="51">
        <v>1823.69</v>
      </c>
      <c r="O182" s="51">
        <v>5917.78</v>
      </c>
      <c r="P182" s="50" t="s">
        <v>2180</v>
      </c>
      <c r="Q182" s="51">
        <v>16747.189999999999</v>
      </c>
      <c r="R182" s="51">
        <v>19885.97</v>
      </c>
      <c r="S182" s="50" t="s">
        <v>590</v>
      </c>
      <c r="T182" s="53" t="s">
        <v>266</v>
      </c>
    </row>
    <row r="183" spans="1:20" ht="15" customHeight="1" x14ac:dyDescent="0.25">
      <c r="A183" s="54" t="s">
        <v>2408</v>
      </c>
      <c r="B183" s="54" t="s">
        <v>2409</v>
      </c>
      <c r="C183" s="54" t="s">
        <v>2185</v>
      </c>
      <c r="D183" s="55">
        <v>3931.49</v>
      </c>
      <c r="E183" s="55">
        <v>2338.31</v>
      </c>
      <c r="F183" s="54">
        <f t="shared" si="20"/>
        <v>1593.18</v>
      </c>
      <c r="G183" s="54">
        <f t="shared" si="23"/>
        <v>391.3</v>
      </c>
      <c r="H183" s="56">
        <f t="shared" si="21"/>
        <v>135.28</v>
      </c>
      <c r="I183" s="56">
        <f t="shared" si="22"/>
        <v>96.93</v>
      </c>
      <c r="J183" s="56">
        <v>26.53</v>
      </c>
      <c r="K183" s="56">
        <v>3.69</v>
      </c>
      <c r="L183" s="55">
        <v>5235.24</v>
      </c>
      <c r="M183" s="55">
        <v>4182.3900000000003</v>
      </c>
      <c r="N183" s="55">
        <v>1052.8499999999999</v>
      </c>
      <c r="O183" s="55">
        <v>3869.79</v>
      </c>
      <c r="P183" s="54" t="s">
        <v>2167</v>
      </c>
      <c r="Q183" s="55">
        <v>11919.52</v>
      </c>
      <c r="R183" s="55">
        <v>11553.77</v>
      </c>
      <c r="S183" s="54" t="s">
        <v>622</v>
      </c>
      <c r="T183" s="57" t="s">
        <v>495</v>
      </c>
    </row>
    <row r="184" spans="1:20" ht="15" customHeight="1" x14ac:dyDescent="0.25">
      <c r="A184" s="46" t="s">
        <v>2410</v>
      </c>
      <c r="B184" s="46" t="s">
        <v>2411</v>
      </c>
      <c r="C184" s="46" t="s">
        <v>2178</v>
      </c>
      <c r="D184" s="47">
        <v>3520.99</v>
      </c>
      <c r="E184" s="47">
        <v>5079.99</v>
      </c>
      <c r="F184" s="46">
        <f t="shared" si="20"/>
        <v>-1559</v>
      </c>
      <c r="G184" s="46">
        <f t="shared" si="23"/>
        <v>-1167.7</v>
      </c>
      <c r="H184" s="48">
        <f t="shared" si="21"/>
        <v>119.11</v>
      </c>
      <c r="I184" s="48">
        <f t="shared" si="22"/>
        <v>106.13</v>
      </c>
      <c r="J184" s="48">
        <v>20.02</v>
      </c>
      <c r="K184" s="48">
        <v>3.79</v>
      </c>
      <c r="L184" s="47">
        <v>4981.51</v>
      </c>
      <c r="M184" s="47">
        <v>4101.49</v>
      </c>
      <c r="N184" s="47">
        <v>880.02</v>
      </c>
      <c r="O184" s="47">
        <v>4182.1099999999997</v>
      </c>
      <c r="P184" s="46" t="s">
        <v>2180</v>
      </c>
      <c r="Q184" s="47">
        <v>11166.45</v>
      </c>
      <c r="R184" s="47">
        <v>11850.98</v>
      </c>
      <c r="S184" s="46" t="s">
        <v>579</v>
      </c>
      <c r="T184" s="49" t="s">
        <v>321</v>
      </c>
    </row>
    <row r="185" spans="1:20" ht="15" customHeight="1" x14ac:dyDescent="0.25">
      <c r="A185" s="50" t="s">
        <v>2412</v>
      </c>
      <c r="B185" s="50" t="s">
        <v>2413</v>
      </c>
      <c r="C185" s="50" t="s">
        <v>2249</v>
      </c>
      <c r="D185" s="51">
        <v>1954.77</v>
      </c>
      <c r="E185" s="51">
        <v>2149.34</v>
      </c>
      <c r="F185" s="50">
        <f t="shared" si="20"/>
        <v>-194.57</v>
      </c>
      <c r="G185" s="50">
        <f t="shared" si="23"/>
        <v>-1362.27</v>
      </c>
      <c r="H185" s="52">
        <f t="shared" si="21"/>
        <v>129.19999999999999</v>
      </c>
      <c r="I185" s="52">
        <f t="shared" si="22"/>
        <v>125.14</v>
      </c>
      <c r="J185" s="52">
        <v>20.399999999999999</v>
      </c>
      <c r="K185" s="52">
        <v>3.84</v>
      </c>
      <c r="L185" s="51">
        <v>2808.84</v>
      </c>
      <c r="M185" s="51">
        <v>2326.0300000000002</v>
      </c>
      <c r="N185" s="51">
        <v>482.81</v>
      </c>
      <c r="O185" s="51">
        <v>2174.06</v>
      </c>
      <c r="P185" s="50" t="s">
        <v>2167</v>
      </c>
      <c r="Q185" s="51">
        <v>17865.669999999998</v>
      </c>
      <c r="R185" s="51">
        <v>22356.880000000001</v>
      </c>
      <c r="S185" s="50" t="s">
        <v>590</v>
      </c>
      <c r="T185" s="53" t="s">
        <v>266</v>
      </c>
    </row>
    <row r="186" spans="1:20" ht="15" customHeight="1" x14ac:dyDescent="0.25">
      <c r="A186" s="50" t="s">
        <v>2414</v>
      </c>
      <c r="B186" s="50" t="s">
        <v>2265</v>
      </c>
      <c r="C186" s="50" t="s">
        <v>2206</v>
      </c>
      <c r="D186" s="51">
        <v>4031.96</v>
      </c>
      <c r="E186" s="51">
        <v>931.92</v>
      </c>
      <c r="F186" s="50">
        <f t="shared" si="20"/>
        <v>3100.04</v>
      </c>
      <c r="G186" s="50">
        <f t="shared" si="23"/>
        <v>1737.77</v>
      </c>
      <c r="H186" s="52">
        <f t="shared" si="21"/>
        <v>145.29</v>
      </c>
      <c r="I186" s="52">
        <f t="shared" si="22"/>
        <v>128.30000000000001</v>
      </c>
      <c r="J186" s="52">
        <v>18.73</v>
      </c>
      <c r="K186" s="52">
        <v>5.31</v>
      </c>
      <c r="L186" s="51">
        <v>3434.78</v>
      </c>
      <c r="M186" s="51">
        <v>2606.5300000000002</v>
      </c>
      <c r="N186" s="51">
        <v>828.25</v>
      </c>
      <c r="O186" s="51">
        <v>2364.0500000000002</v>
      </c>
      <c r="P186" s="50" t="s">
        <v>2180</v>
      </c>
      <c r="Q186" s="51">
        <v>6079.98</v>
      </c>
      <c r="R186" s="51">
        <v>7800.63</v>
      </c>
      <c r="S186" s="50" t="s">
        <v>590</v>
      </c>
      <c r="T186" s="53" t="s">
        <v>266</v>
      </c>
    </row>
    <row r="187" spans="1:20" ht="15" customHeight="1" x14ac:dyDescent="0.25">
      <c r="A187" s="50" t="s">
        <v>2415</v>
      </c>
      <c r="B187" s="50" t="s">
        <v>910</v>
      </c>
      <c r="C187" s="50" t="s">
        <v>2170</v>
      </c>
      <c r="D187" s="51">
        <v>1298.53</v>
      </c>
      <c r="E187" s="51">
        <v>5656.66</v>
      </c>
      <c r="F187" s="50">
        <f t="shared" si="20"/>
        <v>-4358.13</v>
      </c>
      <c r="G187" s="50">
        <f t="shared" si="23"/>
        <v>-2620.36</v>
      </c>
      <c r="H187" s="52">
        <f t="shared" si="21"/>
        <v>131.25</v>
      </c>
      <c r="I187" s="52">
        <f t="shared" si="22"/>
        <v>131.77000000000001</v>
      </c>
      <c r="J187" s="52">
        <v>25.56</v>
      </c>
      <c r="K187" s="52">
        <v>4.09</v>
      </c>
      <c r="L187" s="51">
        <v>6590.88</v>
      </c>
      <c r="M187" s="51">
        <v>5083.92</v>
      </c>
      <c r="N187" s="51">
        <v>1506.96</v>
      </c>
      <c r="O187" s="51">
        <v>5021.4799999999996</v>
      </c>
      <c r="P187" s="50" t="s">
        <v>2189</v>
      </c>
      <c r="Q187" s="51">
        <v>14595.01</v>
      </c>
      <c r="R187" s="51">
        <v>19231.46</v>
      </c>
      <c r="S187" s="50" t="s">
        <v>590</v>
      </c>
      <c r="T187" s="53" t="s">
        <v>266</v>
      </c>
    </row>
    <row r="188" spans="1:20" ht="15" customHeight="1" x14ac:dyDescent="0.25">
      <c r="A188" s="46" t="s">
        <v>2416</v>
      </c>
      <c r="B188" s="46" t="s">
        <v>2417</v>
      </c>
      <c r="C188" s="46" t="s">
        <v>2200</v>
      </c>
      <c r="D188" s="47">
        <v>5344.39</v>
      </c>
      <c r="E188" s="47">
        <v>3010.21</v>
      </c>
      <c r="F188" s="46">
        <f t="shared" si="20"/>
        <v>2334.1799999999998</v>
      </c>
      <c r="G188" s="46">
        <f t="shared" si="23"/>
        <v>-286.18</v>
      </c>
      <c r="H188" s="48">
        <f t="shared" si="21"/>
        <v>116.71</v>
      </c>
      <c r="I188" s="48">
        <f t="shared" si="22"/>
        <v>103.9</v>
      </c>
      <c r="J188" s="48">
        <v>24.18</v>
      </c>
      <c r="K188" s="48">
        <v>5.44</v>
      </c>
      <c r="L188" s="47">
        <v>2108.27</v>
      </c>
      <c r="M188" s="47">
        <v>1790.67</v>
      </c>
      <c r="N188" s="47">
        <v>317.60000000000002</v>
      </c>
      <c r="O188" s="47">
        <v>1806.46</v>
      </c>
      <c r="P188" s="46" t="s">
        <v>2189</v>
      </c>
      <c r="Q188" s="47">
        <v>14931.33</v>
      </c>
      <c r="R188" s="47">
        <v>15513.3</v>
      </c>
      <c r="S188" s="46" t="s">
        <v>579</v>
      </c>
      <c r="T188" s="49" t="s">
        <v>321</v>
      </c>
    </row>
    <row r="189" spans="1:20" ht="15" customHeight="1" x14ac:dyDescent="0.25">
      <c r="A189" s="50" t="s">
        <v>2418</v>
      </c>
      <c r="B189" s="50" t="s">
        <v>1158</v>
      </c>
      <c r="C189" s="50" t="s">
        <v>2170</v>
      </c>
      <c r="D189" s="51">
        <v>1024.69</v>
      </c>
      <c r="E189" s="51">
        <v>2078.4899999999998</v>
      </c>
      <c r="F189" s="50">
        <f t="shared" si="20"/>
        <v>-1053.8</v>
      </c>
      <c r="G189" s="50">
        <f t="shared" si="23"/>
        <v>-1339.98</v>
      </c>
      <c r="H189" s="52">
        <f t="shared" si="21"/>
        <v>140.32</v>
      </c>
      <c r="I189" s="52">
        <f t="shared" si="22"/>
        <v>132.29</v>
      </c>
      <c r="J189" s="52">
        <v>19.13</v>
      </c>
      <c r="K189" s="52">
        <v>4.88</v>
      </c>
      <c r="L189" s="51">
        <v>5556.22</v>
      </c>
      <c r="M189" s="51">
        <v>4283.5600000000004</v>
      </c>
      <c r="N189" s="51">
        <v>1272.6600000000001</v>
      </c>
      <c r="O189" s="51">
        <v>3959.54</v>
      </c>
      <c r="P189" s="50" t="s">
        <v>2189</v>
      </c>
      <c r="Q189" s="51">
        <v>11200.53</v>
      </c>
      <c r="R189" s="51">
        <v>14817.71</v>
      </c>
      <c r="S189" s="50" t="s">
        <v>590</v>
      </c>
      <c r="T189" s="53" t="s">
        <v>266</v>
      </c>
    </row>
    <row r="190" spans="1:20" ht="15" customHeight="1" x14ac:dyDescent="0.25">
      <c r="A190" s="46" t="s">
        <v>2419</v>
      </c>
      <c r="B190" s="46" t="s">
        <v>2021</v>
      </c>
      <c r="C190" s="46" t="s">
        <v>2178</v>
      </c>
      <c r="D190" s="47">
        <v>1973.41</v>
      </c>
      <c r="E190" s="47">
        <v>5064.4399999999996</v>
      </c>
      <c r="F190" s="46">
        <f t="shared" si="20"/>
        <v>-3091.03</v>
      </c>
      <c r="G190" s="46">
        <f t="shared" si="23"/>
        <v>-4431.01</v>
      </c>
      <c r="H190" s="48">
        <f t="shared" si="21"/>
        <v>102.14</v>
      </c>
      <c r="I190" s="48">
        <f t="shared" si="22"/>
        <v>129.88</v>
      </c>
      <c r="J190" s="48">
        <v>23.89</v>
      </c>
      <c r="K190" s="48">
        <v>3.52</v>
      </c>
      <c r="L190" s="47">
        <v>7549.72</v>
      </c>
      <c r="M190" s="47">
        <v>5695.69</v>
      </c>
      <c r="N190" s="47">
        <v>1854.03</v>
      </c>
      <c r="O190" s="47">
        <v>7391.67</v>
      </c>
      <c r="P190" s="46" t="s">
        <v>2180</v>
      </c>
      <c r="Q190" s="47">
        <v>13036.12</v>
      </c>
      <c r="R190" s="47">
        <v>16931.91</v>
      </c>
      <c r="S190" s="46" t="s">
        <v>579</v>
      </c>
      <c r="T190" s="49" t="s">
        <v>321</v>
      </c>
    </row>
    <row r="191" spans="1:20" ht="15" customHeight="1" x14ac:dyDescent="0.25">
      <c r="A191" s="50" t="s">
        <v>2420</v>
      </c>
      <c r="B191" s="50" t="s">
        <v>2421</v>
      </c>
      <c r="C191" s="50" t="s">
        <v>2185</v>
      </c>
      <c r="D191" s="51">
        <v>1254.5</v>
      </c>
      <c r="E191" s="51">
        <v>2873.68</v>
      </c>
      <c r="F191" s="50">
        <f t="shared" si="20"/>
        <v>-1619.18</v>
      </c>
      <c r="G191" s="50">
        <f t="shared" si="23"/>
        <v>-6050.19</v>
      </c>
      <c r="H191" s="52">
        <f t="shared" si="21"/>
        <v>129.80000000000001</v>
      </c>
      <c r="I191" s="52">
        <f t="shared" si="22"/>
        <v>129.29</v>
      </c>
      <c r="J191" s="52">
        <v>19.62</v>
      </c>
      <c r="K191" s="52">
        <v>4.7699999999999996</v>
      </c>
      <c r="L191" s="51">
        <v>5337.04</v>
      </c>
      <c r="M191" s="51">
        <v>4494.6499999999996</v>
      </c>
      <c r="N191" s="51">
        <v>842.39</v>
      </c>
      <c r="O191" s="51">
        <v>4111.63</v>
      </c>
      <c r="P191" s="50" t="s">
        <v>2189</v>
      </c>
      <c r="Q191" s="51">
        <v>17409.990000000002</v>
      </c>
      <c r="R191" s="51">
        <v>22508.73</v>
      </c>
      <c r="S191" s="50" t="s">
        <v>590</v>
      </c>
      <c r="T191" s="53" t="s">
        <v>266</v>
      </c>
    </row>
    <row r="192" spans="1:20" ht="15" customHeight="1" x14ac:dyDescent="0.25">
      <c r="A192" s="46" t="s">
        <v>2422</v>
      </c>
      <c r="B192" s="46" t="s">
        <v>737</v>
      </c>
      <c r="C192" s="46" t="s">
        <v>2206</v>
      </c>
      <c r="D192" s="47">
        <v>118.87</v>
      </c>
      <c r="E192" s="47">
        <v>496.84</v>
      </c>
      <c r="F192" s="46">
        <f t="shared" si="20"/>
        <v>-377.97</v>
      </c>
      <c r="G192" s="46">
        <f t="shared" si="23"/>
        <v>-6428.16</v>
      </c>
      <c r="H192" s="48">
        <f t="shared" si="21"/>
        <v>110.69</v>
      </c>
      <c r="I192" s="48">
        <f t="shared" si="22"/>
        <v>104.39</v>
      </c>
      <c r="J192" s="48">
        <v>22.05</v>
      </c>
      <c r="K192" s="48">
        <v>4.03</v>
      </c>
      <c r="L192" s="47">
        <v>5949.74</v>
      </c>
      <c r="M192" s="47">
        <v>4992.6099999999997</v>
      </c>
      <c r="N192" s="47">
        <v>957.13</v>
      </c>
      <c r="O192" s="47">
        <v>5375.29</v>
      </c>
      <c r="P192" s="46" t="s">
        <v>2171</v>
      </c>
      <c r="Q192" s="47">
        <v>13572.32</v>
      </c>
      <c r="R192" s="47">
        <v>14167.96</v>
      </c>
      <c r="S192" s="46" t="s">
        <v>579</v>
      </c>
      <c r="T192" s="49" t="s">
        <v>321</v>
      </c>
    </row>
    <row r="193" spans="1:20" ht="15" customHeight="1" x14ac:dyDescent="0.25">
      <c r="A193" s="50" t="s">
        <v>2423</v>
      </c>
      <c r="B193" s="50" t="s">
        <v>1440</v>
      </c>
      <c r="C193" s="50" t="s">
        <v>2200</v>
      </c>
      <c r="D193" s="51">
        <v>3229.72</v>
      </c>
      <c r="E193" s="51">
        <v>5730.58</v>
      </c>
      <c r="F193" s="50">
        <f t="shared" si="20"/>
        <v>-2500.86</v>
      </c>
      <c r="G193" s="50">
        <f t="shared" si="23"/>
        <v>-8929.02</v>
      </c>
      <c r="H193" s="52">
        <f t="shared" si="21"/>
        <v>152.5</v>
      </c>
      <c r="I193" s="52">
        <f t="shared" si="22"/>
        <v>116.74</v>
      </c>
      <c r="J193" s="52">
        <v>24.18</v>
      </c>
      <c r="K193" s="52">
        <v>4.4800000000000004</v>
      </c>
      <c r="L193" s="51">
        <v>9450.59</v>
      </c>
      <c r="M193" s="51">
        <v>7169.65</v>
      </c>
      <c r="N193" s="51">
        <v>2280.94</v>
      </c>
      <c r="O193" s="51">
        <v>6197.01</v>
      </c>
      <c r="P193" s="50" t="s">
        <v>2171</v>
      </c>
      <c r="Q193" s="51">
        <v>13174.11</v>
      </c>
      <c r="R193" s="51">
        <v>15379</v>
      </c>
      <c r="S193" s="50" t="s">
        <v>590</v>
      </c>
      <c r="T193" s="53" t="s">
        <v>266</v>
      </c>
    </row>
    <row r="194" spans="1:20" ht="15" customHeight="1" x14ac:dyDescent="0.25">
      <c r="A194" s="50" t="s">
        <v>2424</v>
      </c>
      <c r="B194" s="50" t="s">
        <v>2236</v>
      </c>
      <c r="C194" s="50" t="s">
        <v>2217</v>
      </c>
      <c r="D194" s="51">
        <v>1391.69</v>
      </c>
      <c r="E194" s="51">
        <v>5781.22</v>
      </c>
      <c r="F194" s="50">
        <f t="shared" si="20"/>
        <v>-4389.53</v>
      </c>
      <c r="G194" s="50">
        <f t="shared" si="23"/>
        <v>-13318.55</v>
      </c>
      <c r="H194" s="52">
        <f t="shared" si="21"/>
        <v>125.18</v>
      </c>
      <c r="I194" s="52">
        <f t="shared" si="22"/>
        <v>113.59</v>
      </c>
      <c r="J194" s="52">
        <v>22.3</v>
      </c>
      <c r="K194" s="52">
        <v>3.99</v>
      </c>
      <c r="L194" s="51">
        <v>9508.2199999999993</v>
      </c>
      <c r="M194" s="51">
        <v>7298.37</v>
      </c>
      <c r="N194" s="51">
        <v>2209.85</v>
      </c>
      <c r="O194" s="51">
        <v>7595.9</v>
      </c>
      <c r="P194" s="50" t="s">
        <v>2171</v>
      </c>
      <c r="Q194" s="51">
        <v>7389.83</v>
      </c>
      <c r="R194" s="51">
        <v>8394.07</v>
      </c>
      <c r="S194" s="50" t="s">
        <v>590</v>
      </c>
      <c r="T194" s="53" t="s">
        <v>266</v>
      </c>
    </row>
    <row r="195" spans="1:20" ht="15" customHeight="1" x14ac:dyDescent="0.25">
      <c r="A195" s="54" t="s">
        <v>2425</v>
      </c>
      <c r="B195" s="54" t="s">
        <v>1398</v>
      </c>
      <c r="C195" s="54" t="s">
        <v>2185</v>
      </c>
      <c r="D195" s="55">
        <v>769.86</v>
      </c>
      <c r="E195" s="55">
        <v>4212.1099999999997</v>
      </c>
      <c r="F195" s="54">
        <f t="shared" ref="F195:F226" si="24">ROUND(D195-E195,2)</f>
        <v>-3442.25</v>
      </c>
      <c r="G195" s="54">
        <f t="shared" si="23"/>
        <v>-16760.8</v>
      </c>
      <c r="H195" s="56">
        <f t="shared" ref="H195:H202" si="25">ROUND(L195/O195*100,2)</f>
        <v>129.02000000000001</v>
      </c>
      <c r="I195" s="56">
        <f t="shared" ref="I195:I202" si="26">ROUND(R195/Q195*100,2)</f>
        <v>96.16</v>
      </c>
      <c r="J195" s="56">
        <v>25.34</v>
      </c>
      <c r="K195" s="56">
        <v>4.4800000000000004</v>
      </c>
      <c r="L195" s="55">
        <v>7818.98</v>
      </c>
      <c r="M195" s="55">
        <v>5992.77</v>
      </c>
      <c r="N195" s="55">
        <v>1826.21</v>
      </c>
      <c r="O195" s="55">
        <v>6060.08</v>
      </c>
      <c r="P195" s="54" t="s">
        <v>2171</v>
      </c>
      <c r="Q195" s="55">
        <v>14246.66</v>
      </c>
      <c r="R195" s="55">
        <v>13699.37</v>
      </c>
      <c r="S195" s="54" t="s">
        <v>622</v>
      </c>
      <c r="T195" s="57" t="s">
        <v>495</v>
      </c>
    </row>
    <row r="196" spans="1:20" ht="15" customHeight="1" x14ac:dyDescent="0.25">
      <c r="A196" s="46" t="s">
        <v>2426</v>
      </c>
      <c r="B196" s="46" t="s">
        <v>1393</v>
      </c>
      <c r="C196" s="46" t="s">
        <v>2178</v>
      </c>
      <c r="D196" s="47">
        <v>1369.13</v>
      </c>
      <c r="E196" s="47">
        <v>5120.83</v>
      </c>
      <c r="F196" s="46">
        <f t="shared" si="24"/>
        <v>-3751.7</v>
      </c>
      <c r="G196" s="46">
        <f t="shared" ref="G196:G227" si="27">ROUND(G195+F196,2)</f>
        <v>-20512.5</v>
      </c>
      <c r="H196" s="48">
        <f t="shared" si="25"/>
        <v>119.39</v>
      </c>
      <c r="I196" s="48">
        <f t="shared" si="26"/>
        <v>105.43</v>
      </c>
      <c r="J196" s="48">
        <v>24.24</v>
      </c>
      <c r="K196" s="48">
        <v>4.32</v>
      </c>
      <c r="L196" s="47">
        <v>5026.12</v>
      </c>
      <c r="M196" s="47">
        <v>3981.24</v>
      </c>
      <c r="N196" s="47">
        <v>1044.8800000000001</v>
      </c>
      <c r="O196" s="47">
        <v>4209.78</v>
      </c>
      <c r="P196" s="46" t="s">
        <v>2171</v>
      </c>
      <c r="Q196" s="47">
        <v>11102.39</v>
      </c>
      <c r="R196" s="47">
        <v>11705.02</v>
      </c>
      <c r="S196" s="46" t="s">
        <v>579</v>
      </c>
      <c r="T196" s="49" t="s">
        <v>321</v>
      </c>
    </row>
    <row r="197" spans="1:20" ht="15" customHeight="1" x14ac:dyDescent="0.25">
      <c r="A197" s="54" t="s">
        <v>2427</v>
      </c>
      <c r="B197" s="54" t="s">
        <v>619</v>
      </c>
      <c r="C197" s="54" t="s">
        <v>2173</v>
      </c>
      <c r="D197" s="55">
        <v>2964.48</v>
      </c>
      <c r="E197" s="55">
        <v>1391.79</v>
      </c>
      <c r="F197" s="54">
        <f t="shared" si="24"/>
        <v>1572.69</v>
      </c>
      <c r="G197" s="54">
        <f t="shared" si="27"/>
        <v>-18939.810000000001</v>
      </c>
      <c r="H197" s="56">
        <f t="shared" si="25"/>
        <v>126.86</v>
      </c>
      <c r="I197" s="56">
        <f t="shared" si="26"/>
        <v>99.41</v>
      </c>
      <c r="J197" s="56">
        <v>20.38</v>
      </c>
      <c r="K197" s="56">
        <v>5.25</v>
      </c>
      <c r="L197" s="55">
        <v>6406.04</v>
      </c>
      <c r="M197" s="55">
        <v>5526.61</v>
      </c>
      <c r="N197" s="55">
        <v>879.43</v>
      </c>
      <c r="O197" s="55">
        <v>5049.76</v>
      </c>
      <c r="P197" s="54" t="s">
        <v>2180</v>
      </c>
      <c r="Q197" s="55">
        <v>15354.62</v>
      </c>
      <c r="R197" s="55">
        <v>15264.43</v>
      </c>
      <c r="S197" s="54" t="s">
        <v>622</v>
      </c>
      <c r="T197" s="57" t="s">
        <v>495</v>
      </c>
    </row>
    <row r="198" spans="1:20" ht="15" customHeight="1" x14ac:dyDescent="0.25">
      <c r="A198" s="46" t="s">
        <v>2428</v>
      </c>
      <c r="B198" s="46" t="s">
        <v>2221</v>
      </c>
      <c r="C198" s="46" t="s">
        <v>2249</v>
      </c>
      <c r="D198" s="47">
        <v>3703.43</v>
      </c>
      <c r="E198" s="47">
        <v>862.37</v>
      </c>
      <c r="F198" s="46">
        <f t="shared" si="24"/>
        <v>2841.06</v>
      </c>
      <c r="G198" s="46">
        <f t="shared" si="27"/>
        <v>-16098.75</v>
      </c>
      <c r="H198" s="48">
        <f t="shared" si="25"/>
        <v>101.27</v>
      </c>
      <c r="I198" s="48">
        <f t="shared" si="26"/>
        <v>125.67</v>
      </c>
      <c r="J198" s="48">
        <v>21.72</v>
      </c>
      <c r="K198" s="48">
        <v>5.0599999999999996</v>
      </c>
      <c r="L198" s="47">
        <v>6526.63</v>
      </c>
      <c r="M198" s="47">
        <v>4870.42</v>
      </c>
      <c r="N198" s="47">
        <v>1656.21</v>
      </c>
      <c r="O198" s="47">
        <v>6444.97</v>
      </c>
      <c r="P198" s="46" t="s">
        <v>2167</v>
      </c>
      <c r="Q198" s="47">
        <v>16946.740000000002</v>
      </c>
      <c r="R198" s="47">
        <v>21297.59</v>
      </c>
      <c r="S198" s="46" t="s">
        <v>579</v>
      </c>
      <c r="T198" s="49" t="s">
        <v>321</v>
      </c>
    </row>
    <row r="199" spans="1:20" ht="15" customHeight="1" x14ac:dyDescent="0.25">
      <c r="A199" s="46" t="s">
        <v>2429</v>
      </c>
      <c r="B199" s="46" t="s">
        <v>2430</v>
      </c>
      <c r="C199" s="46" t="s">
        <v>2217</v>
      </c>
      <c r="D199" s="47">
        <v>3964.1</v>
      </c>
      <c r="E199" s="47">
        <v>3160.03</v>
      </c>
      <c r="F199" s="46">
        <f t="shared" si="24"/>
        <v>804.07</v>
      </c>
      <c r="G199" s="46">
        <f t="shared" si="27"/>
        <v>-15294.68</v>
      </c>
      <c r="H199" s="48">
        <f t="shared" si="25"/>
        <v>109.42</v>
      </c>
      <c r="I199" s="48">
        <f t="shared" si="26"/>
        <v>101.46</v>
      </c>
      <c r="J199" s="48">
        <v>23.05</v>
      </c>
      <c r="K199" s="48">
        <v>5.22</v>
      </c>
      <c r="L199" s="47">
        <v>4356.95</v>
      </c>
      <c r="M199" s="47">
        <v>3662.26</v>
      </c>
      <c r="N199" s="47">
        <v>694.69</v>
      </c>
      <c r="O199" s="47">
        <v>3981.87</v>
      </c>
      <c r="P199" s="46" t="s">
        <v>2180</v>
      </c>
      <c r="Q199" s="47">
        <v>9482.25</v>
      </c>
      <c r="R199" s="47">
        <v>9620.33</v>
      </c>
      <c r="S199" s="46" t="s">
        <v>579</v>
      </c>
      <c r="T199" s="49" t="s">
        <v>321</v>
      </c>
    </row>
    <row r="200" spans="1:20" ht="15" customHeight="1" x14ac:dyDescent="0.25">
      <c r="A200" s="54" t="s">
        <v>2431</v>
      </c>
      <c r="B200" s="54" t="s">
        <v>1150</v>
      </c>
      <c r="C200" s="54" t="s">
        <v>2170</v>
      </c>
      <c r="D200" s="55">
        <v>2539.0300000000002</v>
      </c>
      <c r="E200" s="55">
        <v>3362.41</v>
      </c>
      <c r="F200" s="54">
        <f t="shared" si="24"/>
        <v>-823.38</v>
      </c>
      <c r="G200" s="54">
        <f t="shared" si="27"/>
        <v>-16118.06</v>
      </c>
      <c r="H200" s="56">
        <f t="shared" si="25"/>
        <v>150.72999999999999</v>
      </c>
      <c r="I200" s="56">
        <f t="shared" si="26"/>
        <v>96.69</v>
      </c>
      <c r="J200" s="56">
        <v>24.92</v>
      </c>
      <c r="K200" s="56">
        <v>4.55</v>
      </c>
      <c r="L200" s="55">
        <v>3332.76</v>
      </c>
      <c r="M200" s="55">
        <v>2891.19</v>
      </c>
      <c r="N200" s="55">
        <v>441.57</v>
      </c>
      <c r="O200" s="55">
        <v>2211.1</v>
      </c>
      <c r="P200" s="54" t="s">
        <v>2171</v>
      </c>
      <c r="Q200" s="55">
        <v>15496.12</v>
      </c>
      <c r="R200" s="55">
        <v>14983.42</v>
      </c>
      <c r="S200" s="54" t="s">
        <v>622</v>
      </c>
      <c r="T200" s="57" t="s">
        <v>495</v>
      </c>
    </row>
    <row r="201" spans="1:20" ht="15" customHeight="1" x14ac:dyDescent="0.25">
      <c r="A201" s="50" t="s">
        <v>2432</v>
      </c>
      <c r="B201" s="50" t="s">
        <v>1592</v>
      </c>
      <c r="C201" s="50" t="s">
        <v>2173</v>
      </c>
      <c r="D201" s="51">
        <v>243.04</v>
      </c>
      <c r="E201" s="51">
        <v>3826.18</v>
      </c>
      <c r="F201" s="50">
        <f t="shared" si="24"/>
        <v>-3583.14</v>
      </c>
      <c r="G201" s="50">
        <f t="shared" si="27"/>
        <v>-19701.2</v>
      </c>
      <c r="H201" s="52">
        <f t="shared" si="25"/>
        <v>144.99</v>
      </c>
      <c r="I201" s="52">
        <f t="shared" si="26"/>
        <v>124.62</v>
      </c>
      <c r="J201" s="52">
        <v>25.41</v>
      </c>
      <c r="K201" s="52">
        <v>4.26</v>
      </c>
      <c r="L201" s="51">
        <v>6800.43</v>
      </c>
      <c r="M201" s="51">
        <v>5878.88</v>
      </c>
      <c r="N201" s="51">
        <v>921.55</v>
      </c>
      <c r="O201" s="51">
        <v>4690.12</v>
      </c>
      <c r="P201" s="50" t="s">
        <v>2171</v>
      </c>
      <c r="Q201" s="51">
        <v>7574.32</v>
      </c>
      <c r="R201" s="51">
        <v>9439.2000000000007</v>
      </c>
      <c r="S201" s="50" t="s">
        <v>590</v>
      </c>
      <c r="T201" s="53" t="s">
        <v>266</v>
      </c>
    </row>
    <row r="202" spans="1:20" ht="15" customHeight="1" x14ac:dyDescent="0.25">
      <c r="A202" s="46" t="s">
        <v>2433</v>
      </c>
      <c r="B202" s="46" t="s">
        <v>758</v>
      </c>
      <c r="C202" s="46" t="s">
        <v>2217</v>
      </c>
      <c r="D202" s="47">
        <v>551.51</v>
      </c>
      <c r="E202" s="47">
        <v>3076.61</v>
      </c>
      <c r="F202" s="46">
        <f t="shared" si="24"/>
        <v>-2525.1</v>
      </c>
      <c r="G202" s="46">
        <f t="shared" si="27"/>
        <v>-22226.3</v>
      </c>
      <c r="H202" s="48">
        <f t="shared" si="25"/>
        <v>101.21</v>
      </c>
      <c r="I202" s="48">
        <f t="shared" si="26"/>
        <v>118.53</v>
      </c>
      <c r="J202" s="48">
        <v>24.81</v>
      </c>
      <c r="K202" s="48">
        <v>4.58</v>
      </c>
      <c r="L202" s="47">
        <v>7758.07</v>
      </c>
      <c r="M202" s="47">
        <v>5983.73</v>
      </c>
      <c r="N202" s="47">
        <v>1774.34</v>
      </c>
      <c r="O202" s="47">
        <v>7665.38</v>
      </c>
      <c r="P202" s="46" t="s">
        <v>2180</v>
      </c>
      <c r="Q202" s="47">
        <v>7146.68</v>
      </c>
      <c r="R202" s="47">
        <v>8470.7999999999993</v>
      </c>
      <c r="S202" s="46" t="s">
        <v>579</v>
      </c>
      <c r="T202" s="49" t="s">
        <v>321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02"/>
  <sheetViews>
    <sheetView zoomScaleNormal="100" workbookViewId="0">
      <pane xSplit="2" ySplit="2" topLeftCell="K3" activePane="bottomRight" state="frozen"/>
      <selection pane="topRight" activeCell="K1" sqref="K1"/>
      <selection pane="bottomLeft" activeCell="A3" sqref="A3"/>
      <selection pane="bottomRight" activeCell="A2" sqref="A2"/>
    </sheetView>
  </sheetViews>
  <sheetFormatPr defaultColWidth="8.7109375" defaultRowHeight="15" x14ac:dyDescent="0.25"/>
  <cols>
    <col min="1" max="2" width="11.7109375" customWidth="1"/>
    <col min="3" max="3" width="18.28515625" customWidth="1"/>
    <col min="4" max="4" width="21.5703125" customWidth="1"/>
    <col min="5" max="5" width="23.7109375" customWidth="1"/>
    <col min="6" max="6" width="20" customWidth="1"/>
    <col min="7" max="7" width="15.140625" customWidth="1"/>
    <col min="8" max="8" width="14.5703125" customWidth="1"/>
    <col min="9" max="9" width="16.5703125" customWidth="1"/>
    <col min="10" max="10" width="24.140625" customWidth="1"/>
    <col min="11" max="11" width="22.5703125" customWidth="1"/>
    <col min="12" max="12" width="20" customWidth="1"/>
    <col min="13" max="13" width="19.85546875" customWidth="1"/>
    <col min="14" max="14" width="14.140625" customWidth="1"/>
    <col min="15" max="15" width="15.140625" customWidth="1"/>
    <col min="16" max="16" width="18" customWidth="1"/>
    <col min="17" max="17" width="19.28515625" customWidth="1"/>
    <col min="18" max="18" width="23.28515625" customWidth="1"/>
    <col min="19" max="19" width="26.28515625" customWidth="1"/>
    <col min="20" max="20" width="22.42578125" customWidth="1"/>
    <col min="21" max="21" width="10.28515625" customWidth="1"/>
    <col min="22" max="22" width="7.5703125" customWidth="1"/>
    <col min="23" max="23" width="7" customWidth="1"/>
  </cols>
  <sheetData>
    <row r="1" spans="1:23" ht="37.5" customHeight="1" x14ac:dyDescent="0.25">
      <c r="A1" s="138" t="s">
        <v>2434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40"/>
    </row>
    <row r="2" spans="1:23" ht="21.75" customHeight="1" x14ac:dyDescent="0.25">
      <c r="A2" s="58" t="s">
        <v>2148</v>
      </c>
      <c r="B2" s="58" t="s">
        <v>1618</v>
      </c>
      <c r="C2" s="58" t="s">
        <v>2435</v>
      </c>
      <c r="D2" s="58" t="s">
        <v>2436</v>
      </c>
      <c r="E2" s="58" t="s">
        <v>2437</v>
      </c>
      <c r="F2" s="58" t="s">
        <v>2438</v>
      </c>
      <c r="G2" s="58" t="s">
        <v>2439</v>
      </c>
      <c r="H2" s="58" t="s">
        <v>2440</v>
      </c>
      <c r="I2" s="58" t="s">
        <v>2441</v>
      </c>
      <c r="J2" s="58" t="s">
        <v>2442</v>
      </c>
      <c r="K2" s="58" t="s">
        <v>2443</v>
      </c>
      <c r="L2" s="58" t="s">
        <v>2444</v>
      </c>
      <c r="M2" s="58" t="s">
        <v>2445</v>
      </c>
      <c r="N2" s="58" t="s">
        <v>2446</v>
      </c>
      <c r="O2" s="58" t="s">
        <v>2447</v>
      </c>
      <c r="P2" s="58" t="s">
        <v>2448</v>
      </c>
      <c r="Q2" s="58" t="s">
        <v>2449</v>
      </c>
      <c r="R2" s="58" t="s">
        <v>2450</v>
      </c>
      <c r="S2" s="58" t="s">
        <v>2451</v>
      </c>
      <c r="T2" s="58" t="s">
        <v>2452</v>
      </c>
      <c r="U2" s="58" t="s">
        <v>2453</v>
      </c>
      <c r="V2" s="58" t="s">
        <v>567</v>
      </c>
      <c r="W2" s="58" t="s">
        <v>568</v>
      </c>
    </row>
    <row r="3" spans="1:23" ht="15" customHeight="1" x14ac:dyDescent="0.25">
      <c r="A3" s="50" t="s">
        <v>2454</v>
      </c>
      <c r="B3" s="50" t="s">
        <v>2455</v>
      </c>
      <c r="C3" s="50">
        <v>100</v>
      </c>
      <c r="D3" s="51">
        <v>179776.61</v>
      </c>
      <c r="E3" s="51">
        <v>164523.34</v>
      </c>
      <c r="F3" s="50">
        <f t="shared" ref="F3:F34" si="0">ROUND(D3-E3,2)</f>
        <v>15253.27</v>
      </c>
      <c r="G3" s="51">
        <f t="shared" ref="G3:G34" si="1">ROUND(F3*C3/10000,2)</f>
        <v>152.53</v>
      </c>
      <c r="H3" s="52">
        <f t="shared" ref="H3:H34" si="2">ROUND(G3/320000*100,2)</f>
        <v>0.05</v>
      </c>
      <c r="I3" s="51">
        <f t="shared" ref="I3:I34" si="3">ROUND(F3*M3*C3/10000,2)</f>
        <v>655.89</v>
      </c>
      <c r="J3" s="52">
        <f t="shared" ref="J3:J34" si="4">ROUND(I3/380000*100,2)</f>
        <v>0.17</v>
      </c>
      <c r="K3" s="50">
        <v>7.21</v>
      </c>
      <c r="L3" s="50">
        <v>2.91</v>
      </c>
      <c r="M3" s="50">
        <f t="shared" ref="M3:M34" si="5">ROUND(K3-L3,2)</f>
        <v>4.3</v>
      </c>
      <c r="N3" s="50">
        <v>9.76</v>
      </c>
      <c r="O3" s="50">
        <v>9.26</v>
      </c>
      <c r="P3" s="50">
        <v>5.91</v>
      </c>
      <c r="Q3" s="50">
        <v>9.07</v>
      </c>
      <c r="R3" s="50">
        <v>290.68</v>
      </c>
      <c r="S3" s="50">
        <v>-314.58999999999997</v>
      </c>
      <c r="T3" s="50">
        <v>89.77</v>
      </c>
      <c r="U3" s="50" t="s">
        <v>2456</v>
      </c>
      <c r="V3" s="50" t="s">
        <v>590</v>
      </c>
      <c r="W3" s="53" t="s">
        <v>266</v>
      </c>
    </row>
    <row r="4" spans="1:23" ht="15" customHeight="1" x14ac:dyDescent="0.25">
      <c r="A4" s="50" t="s">
        <v>2457</v>
      </c>
      <c r="B4" s="50" t="s">
        <v>1907</v>
      </c>
      <c r="C4" s="50">
        <v>-100</v>
      </c>
      <c r="D4" s="51">
        <v>106670.35</v>
      </c>
      <c r="E4" s="51">
        <v>114696.38</v>
      </c>
      <c r="F4" s="50">
        <f t="shared" si="0"/>
        <v>-8026.03</v>
      </c>
      <c r="G4" s="51">
        <f t="shared" si="1"/>
        <v>80.260000000000005</v>
      </c>
      <c r="H4" s="52">
        <f t="shared" si="2"/>
        <v>0.03</v>
      </c>
      <c r="I4" s="51">
        <f t="shared" si="3"/>
        <v>151.69</v>
      </c>
      <c r="J4" s="52">
        <f t="shared" si="4"/>
        <v>0.04</v>
      </c>
      <c r="K4" s="50">
        <v>4.17</v>
      </c>
      <c r="L4" s="50">
        <v>2.2799999999999998</v>
      </c>
      <c r="M4" s="50">
        <f t="shared" si="5"/>
        <v>1.89</v>
      </c>
      <c r="N4" s="50">
        <v>9.69</v>
      </c>
      <c r="O4" s="50">
        <v>9.19</v>
      </c>
      <c r="P4" s="50">
        <v>6.52</v>
      </c>
      <c r="Q4" s="50">
        <v>8.7200000000000006</v>
      </c>
      <c r="R4" s="50">
        <v>-167.83</v>
      </c>
      <c r="S4" s="50">
        <v>175.01</v>
      </c>
      <c r="T4" s="50">
        <v>56.59</v>
      </c>
      <c r="U4" s="50" t="s">
        <v>2458</v>
      </c>
      <c r="V4" s="50" t="s">
        <v>590</v>
      </c>
      <c r="W4" s="53" t="s">
        <v>266</v>
      </c>
    </row>
    <row r="5" spans="1:23" ht="15" customHeight="1" x14ac:dyDescent="0.25">
      <c r="A5" s="50" t="s">
        <v>2459</v>
      </c>
      <c r="B5" s="50" t="s">
        <v>966</v>
      </c>
      <c r="C5" s="50">
        <v>100</v>
      </c>
      <c r="D5" s="51">
        <v>149345.54</v>
      </c>
      <c r="E5" s="51">
        <v>72738.11</v>
      </c>
      <c r="F5" s="50">
        <f t="shared" si="0"/>
        <v>76607.429999999993</v>
      </c>
      <c r="G5" s="51">
        <f t="shared" si="1"/>
        <v>766.07</v>
      </c>
      <c r="H5" s="52">
        <f t="shared" si="2"/>
        <v>0.24</v>
      </c>
      <c r="I5" s="51">
        <f t="shared" si="3"/>
        <v>3156.23</v>
      </c>
      <c r="J5" s="52">
        <f t="shared" si="4"/>
        <v>0.83</v>
      </c>
      <c r="K5" s="50">
        <v>7.13</v>
      </c>
      <c r="L5" s="50">
        <v>3.01</v>
      </c>
      <c r="M5" s="50">
        <f t="shared" si="5"/>
        <v>4.12</v>
      </c>
      <c r="N5" s="50">
        <v>9.31</v>
      </c>
      <c r="O5" s="50">
        <v>8.81</v>
      </c>
      <c r="P5" s="50">
        <v>5.33</v>
      </c>
      <c r="Q5" s="50">
        <v>8.4</v>
      </c>
      <c r="R5" s="50">
        <v>1627.04</v>
      </c>
      <c r="S5" s="50">
        <v>-1677.95</v>
      </c>
      <c r="T5" s="50">
        <v>-335.66</v>
      </c>
      <c r="U5" s="50" t="s">
        <v>2460</v>
      </c>
      <c r="V5" s="50" t="s">
        <v>590</v>
      </c>
      <c r="W5" s="53" t="s">
        <v>266</v>
      </c>
    </row>
    <row r="6" spans="1:23" ht="15" customHeight="1" x14ac:dyDescent="0.25">
      <c r="A6" s="50" t="s">
        <v>2461</v>
      </c>
      <c r="B6" s="50" t="s">
        <v>1527</v>
      </c>
      <c r="C6" s="50">
        <v>300</v>
      </c>
      <c r="D6" s="51">
        <v>151209.14000000001</v>
      </c>
      <c r="E6" s="51">
        <v>79227.77</v>
      </c>
      <c r="F6" s="50">
        <f t="shared" si="0"/>
        <v>71981.37</v>
      </c>
      <c r="G6" s="51">
        <f t="shared" si="1"/>
        <v>2159.44</v>
      </c>
      <c r="H6" s="52">
        <f t="shared" si="2"/>
        <v>0.67</v>
      </c>
      <c r="I6" s="51">
        <f t="shared" si="3"/>
        <v>323.92</v>
      </c>
      <c r="J6" s="52">
        <f t="shared" si="4"/>
        <v>0.09</v>
      </c>
      <c r="K6" s="50">
        <v>4.92</v>
      </c>
      <c r="L6" s="50">
        <v>4.7699999999999996</v>
      </c>
      <c r="M6" s="50">
        <f t="shared" si="5"/>
        <v>0.15</v>
      </c>
      <c r="N6" s="50">
        <v>9.39</v>
      </c>
      <c r="O6" s="50">
        <v>8.89</v>
      </c>
      <c r="P6" s="50">
        <v>7.52</v>
      </c>
      <c r="Q6" s="50">
        <v>10.42</v>
      </c>
      <c r="R6" s="50">
        <v>1516.62</v>
      </c>
      <c r="S6" s="50">
        <v>-1368.23</v>
      </c>
      <c r="T6" s="50">
        <v>377.6</v>
      </c>
      <c r="U6" s="50" t="s">
        <v>2462</v>
      </c>
      <c r="V6" s="50" t="s">
        <v>590</v>
      </c>
      <c r="W6" s="53" t="s">
        <v>266</v>
      </c>
    </row>
    <row r="7" spans="1:23" ht="15" customHeight="1" x14ac:dyDescent="0.25">
      <c r="A7" s="50" t="s">
        <v>2463</v>
      </c>
      <c r="B7" s="50" t="s">
        <v>2464</v>
      </c>
      <c r="C7" s="50">
        <v>-200</v>
      </c>
      <c r="D7" s="51">
        <v>118573.16</v>
      </c>
      <c r="E7" s="51">
        <v>132184.35999999999</v>
      </c>
      <c r="F7" s="50">
        <f t="shared" si="0"/>
        <v>-13611.2</v>
      </c>
      <c r="G7" s="51">
        <f t="shared" si="1"/>
        <v>272.22000000000003</v>
      </c>
      <c r="H7" s="52">
        <f t="shared" si="2"/>
        <v>0.09</v>
      </c>
      <c r="I7" s="51">
        <f t="shared" si="3"/>
        <v>1064.4000000000001</v>
      </c>
      <c r="J7" s="52">
        <f t="shared" si="4"/>
        <v>0.28000000000000003</v>
      </c>
      <c r="K7" s="50">
        <v>4.9400000000000004</v>
      </c>
      <c r="L7" s="50">
        <v>1.03</v>
      </c>
      <c r="M7" s="50">
        <f t="shared" si="5"/>
        <v>3.91</v>
      </c>
      <c r="N7" s="50">
        <v>9.67</v>
      </c>
      <c r="O7" s="50">
        <v>9.17</v>
      </c>
      <c r="P7" s="50">
        <v>7.27</v>
      </c>
      <c r="Q7" s="50">
        <v>10.58</v>
      </c>
      <c r="R7" s="50">
        <v>-272.20999999999998</v>
      </c>
      <c r="S7" s="50">
        <v>297.24</v>
      </c>
      <c r="T7" s="50">
        <v>-67.28</v>
      </c>
      <c r="U7" s="50" t="s">
        <v>2465</v>
      </c>
      <c r="V7" s="50" t="s">
        <v>590</v>
      </c>
      <c r="W7" s="53" t="s">
        <v>266</v>
      </c>
    </row>
    <row r="8" spans="1:23" ht="15" customHeight="1" x14ac:dyDescent="0.25">
      <c r="A8" s="50" t="s">
        <v>2466</v>
      </c>
      <c r="B8" s="50" t="s">
        <v>2467</v>
      </c>
      <c r="C8" s="50">
        <v>300</v>
      </c>
      <c r="D8" s="51">
        <v>146576.87</v>
      </c>
      <c r="E8" s="51">
        <v>151365.35</v>
      </c>
      <c r="F8" s="50">
        <f t="shared" si="0"/>
        <v>-4788.4799999999996</v>
      </c>
      <c r="G8" s="51">
        <f t="shared" si="1"/>
        <v>-143.65</v>
      </c>
      <c r="H8" s="52">
        <f t="shared" si="2"/>
        <v>-0.04</v>
      </c>
      <c r="I8" s="51">
        <f t="shared" si="3"/>
        <v>-251.4</v>
      </c>
      <c r="J8" s="52">
        <f t="shared" si="4"/>
        <v>-7.0000000000000007E-2</v>
      </c>
      <c r="K8" s="50">
        <v>6.9</v>
      </c>
      <c r="L8" s="50">
        <v>5.15</v>
      </c>
      <c r="M8" s="50">
        <f t="shared" si="5"/>
        <v>1.75</v>
      </c>
      <c r="N8" s="50">
        <v>9.2200000000000006</v>
      </c>
      <c r="O8" s="50">
        <v>8.7200000000000006</v>
      </c>
      <c r="P8" s="50">
        <v>5.23</v>
      </c>
      <c r="Q8" s="50">
        <v>7.57</v>
      </c>
      <c r="R8" s="50">
        <v>-89.3</v>
      </c>
      <c r="S8" s="50">
        <v>100.52</v>
      </c>
      <c r="T8" s="50">
        <v>-22.34</v>
      </c>
      <c r="U8" s="50" t="s">
        <v>2462</v>
      </c>
      <c r="V8" s="50" t="s">
        <v>590</v>
      </c>
      <c r="W8" s="53" t="s">
        <v>266</v>
      </c>
    </row>
    <row r="9" spans="1:23" ht="15" customHeight="1" x14ac:dyDescent="0.25">
      <c r="A9" s="50" t="s">
        <v>2468</v>
      </c>
      <c r="B9" s="50" t="s">
        <v>1877</v>
      </c>
      <c r="C9" s="50">
        <v>-200</v>
      </c>
      <c r="D9" s="51">
        <v>186260.34</v>
      </c>
      <c r="E9" s="51">
        <v>124470.3</v>
      </c>
      <c r="F9" s="50">
        <f t="shared" si="0"/>
        <v>61790.04</v>
      </c>
      <c r="G9" s="51">
        <f t="shared" si="1"/>
        <v>-1235.8</v>
      </c>
      <c r="H9" s="52">
        <f t="shared" si="2"/>
        <v>-0.39</v>
      </c>
      <c r="I9" s="51">
        <f t="shared" si="3"/>
        <v>-3583.82</v>
      </c>
      <c r="J9" s="52">
        <f t="shared" si="4"/>
        <v>-0.94</v>
      </c>
      <c r="K9" s="50">
        <v>6.26</v>
      </c>
      <c r="L9" s="50">
        <v>3.36</v>
      </c>
      <c r="M9" s="50">
        <f t="shared" si="5"/>
        <v>2.9</v>
      </c>
      <c r="N9" s="50">
        <v>8.74</v>
      </c>
      <c r="O9" s="50">
        <v>8.24</v>
      </c>
      <c r="P9" s="50">
        <v>7.62</v>
      </c>
      <c r="Q9" s="50">
        <v>8.8800000000000008</v>
      </c>
      <c r="R9" s="50">
        <v>1185.57</v>
      </c>
      <c r="S9" s="50">
        <v>-1219.8499999999999</v>
      </c>
      <c r="T9" s="50">
        <v>319.88</v>
      </c>
      <c r="U9" s="50" t="s">
        <v>2462</v>
      </c>
      <c r="V9" s="50" t="s">
        <v>590</v>
      </c>
      <c r="W9" s="53" t="s">
        <v>266</v>
      </c>
    </row>
    <row r="10" spans="1:23" ht="15" customHeight="1" x14ac:dyDescent="0.25">
      <c r="A10" s="50" t="s">
        <v>2469</v>
      </c>
      <c r="B10" s="50" t="s">
        <v>1955</v>
      </c>
      <c r="C10" s="50">
        <v>200</v>
      </c>
      <c r="D10" s="51">
        <v>153812.06</v>
      </c>
      <c r="E10" s="51">
        <v>110879.5</v>
      </c>
      <c r="F10" s="50">
        <f t="shared" si="0"/>
        <v>42932.56</v>
      </c>
      <c r="G10" s="51">
        <f t="shared" si="1"/>
        <v>858.65</v>
      </c>
      <c r="H10" s="52">
        <f t="shared" si="2"/>
        <v>0.27</v>
      </c>
      <c r="I10" s="51">
        <f t="shared" si="3"/>
        <v>4087.18</v>
      </c>
      <c r="J10" s="52">
        <f t="shared" si="4"/>
        <v>1.08</v>
      </c>
      <c r="K10" s="50">
        <v>6.4</v>
      </c>
      <c r="L10" s="50">
        <v>1.64</v>
      </c>
      <c r="M10" s="50">
        <f t="shared" si="5"/>
        <v>4.76</v>
      </c>
      <c r="N10" s="50">
        <v>9.39</v>
      </c>
      <c r="O10" s="50">
        <v>8.89</v>
      </c>
      <c r="P10" s="50">
        <v>5.61</v>
      </c>
      <c r="Q10" s="50">
        <v>9.76</v>
      </c>
      <c r="R10" s="50">
        <v>861.98</v>
      </c>
      <c r="S10" s="50">
        <v>-815.93</v>
      </c>
      <c r="T10" s="50">
        <v>251.22</v>
      </c>
      <c r="U10" s="50" t="s">
        <v>2470</v>
      </c>
      <c r="V10" s="50" t="s">
        <v>590</v>
      </c>
      <c r="W10" s="53" t="s">
        <v>266</v>
      </c>
    </row>
    <row r="11" spans="1:23" ht="15" customHeight="1" x14ac:dyDescent="0.25">
      <c r="A11" s="50" t="s">
        <v>2471</v>
      </c>
      <c r="B11" s="50" t="s">
        <v>1540</v>
      </c>
      <c r="C11" s="50">
        <v>-100</v>
      </c>
      <c r="D11" s="51">
        <v>142925.41</v>
      </c>
      <c r="E11" s="51">
        <v>161234.88</v>
      </c>
      <c r="F11" s="50">
        <f t="shared" si="0"/>
        <v>-18309.47</v>
      </c>
      <c r="G11" s="51">
        <f t="shared" si="1"/>
        <v>183.09</v>
      </c>
      <c r="H11" s="52">
        <f t="shared" si="2"/>
        <v>0.06</v>
      </c>
      <c r="I11" s="51">
        <f t="shared" si="3"/>
        <v>-56.76</v>
      </c>
      <c r="J11" s="52">
        <f t="shared" si="4"/>
        <v>-0.01</v>
      </c>
      <c r="K11" s="50">
        <v>2.56</v>
      </c>
      <c r="L11" s="50">
        <v>2.87</v>
      </c>
      <c r="M11" s="50">
        <f t="shared" si="5"/>
        <v>-0.31</v>
      </c>
      <c r="N11" s="50">
        <v>8.76</v>
      </c>
      <c r="O11" s="50">
        <v>8.26</v>
      </c>
      <c r="P11" s="50">
        <v>5.2</v>
      </c>
      <c r="Q11" s="50">
        <v>11.4</v>
      </c>
      <c r="R11" s="50">
        <v>-380.94</v>
      </c>
      <c r="S11" s="50">
        <v>344.16</v>
      </c>
      <c r="T11" s="50">
        <v>-80.11</v>
      </c>
      <c r="U11" s="50" t="s">
        <v>2472</v>
      </c>
      <c r="V11" s="50" t="s">
        <v>590</v>
      </c>
      <c r="W11" s="53" t="s">
        <v>266</v>
      </c>
    </row>
    <row r="12" spans="1:23" ht="15" customHeight="1" x14ac:dyDescent="0.25">
      <c r="A12" s="50" t="s">
        <v>2473</v>
      </c>
      <c r="B12" s="50" t="s">
        <v>2083</v>
      </c>
      <c r="C12" s="50">
        <v>-100</v>
      </c>
      <c r="D12" s="51">
        <v>87332.93</v>
      </c>
      <c r="E12" s="51">
        <v>121556.35</v>
      </c>
      <c r="F12" s="50">
        <f t="shared" si="0"/>
        <v>-34223.42</v>
      </c>
      <c r="G12" s="51">
        <f t="shared" si="1"/>
        <v>342.23</v>
      </c>
      <c r="H12" s="52">
        <f t="shared" si="2"/>
        <v>0.11</v>
      </c>
      <c r="I12" s="51">
        <f t="shared" si="3"/>
        <v>294.32</v>
      </c>
      <c r="J12" s="52">
        <f t="shared" si="4"/>
        <v>0.08</v>
      </c>
      <c r="K12" s="50">
        <v>3.44</v>
      </c>
      <c r="L12" s="50">
        <v>2.58</v>
      </c>
      <c r="M12" s="50">
        <f t="shared" si="5"/>
        <v>0.86</v>
      </c>
      <c r="N12" s="50">
        <v>9.4499999999999993</v>
      </c>
      <c r="O12" s="50">
        <v>8.9499999999999993</v>
      </c>
      <c r="P12" s="50">
        <v>5.68</v>
      </c>
      <c r="Q12" s="50">
        <v>9.83</v>
      </c>
      <c r="R12" s="50">
        <v>-653.61</v>
      </c>
      <c r="S12" s="50">
        <v>728.38</v>
      </c>
      <c r="T12" s="50">
        <v>-255.73</v>
      </c>
      <c r="U12" s="50" t="s">
        <v>2474</v>
      </c>
      <c r="V12" s="50" t="s">
        <v>590</v>
      </c>
      <c r="W12" s="53" t="s">
        <v>266</v>
      </c>
    </row>
    <row r="13" spans="1:23" ht="15" customHeight="1" x14ac:dyDescent="0.25">
      <c r="A13" s="50" t="s">
        <v>2475</v>
      </c>
      <c r="B13" s="50" t="s">
        <v>2117</v>
      </c>
      <c r="C13" s="50">
        <v>200</v>
      </c>
      <c r="D13" s="51">
        <v>192116.95</v>
      </c>
      <c r="E13" s="51">
        <v>131722.35</v>
      </c>
      <c r="F13" s="50">
        <f t="shared" si="0"/>
        <v>60394.6</v>
      </c>
      <c r="G13" s="51">
        <f t="shared" si="1"/>
        <v>1207.8900000000001</v>
      </c>
      <c r="H13" s="52">
        <f t="shared" si="2"/>
        <v>0.38</v>
      </c>
      <c r="I13" s="51">
        <f t="shared" si="3"/>
        <v>5363.04</v>
      </c>
      <c r="J13" s="52">
        <f t="shared" si="4"/>
        <v>1.41</v>
      </c>
      <c r="K13" s="50">
        <v>6.35</v>
      </c>
      <c r="L13" s="50">
        <v>1.91</v>
      </c>
      <c r="M13" s="50">
        <f t="shared" si="5"/>
        <v>4.4400000000000004</v>
      </c>
      <c r="N13" s="50">
        <v>9.51</v>
      </c>
      <c r="O13" s="50">
        <v>9.01</v>
      </c>
      <c r="P13" s="50">
        <v>5.31</v>
      </c>
      <c r="Q13" s="50">
        <v>7.97</v>
      </c>
      <c r="R13" s="50">
        <v>1150.6199999999999</v>
      </c>
      <c r="S13" s="50">
        <v>-1111.82</v>
      </c>
      <c r="T13" s="50">
        <v>434.09</v>
      </c>
      <c r="U13" s="50" t="s">
        <v>2460</v>
      </c>
      <c r="V13" s="50" t="s">
        <v>590</v>
      </c>
      <c r="W13" s="53" t="s">
        <v>266</v>
      </c>
    </row>
    <row r="14" spans="1:23" ht="15" customHeight="1" x14ac:dyDescent="0.25">
      <c r="A14" s="50" t="s">
        <v>2476</v>
      </c>
      <c r="B14" s="50" t="s">
        <v>2083</v>
      </c>
      <c r="C14" s="50">
        <v>100</v>
      </c>
      <c r="D14" s="51">
        <v>195999.07</v>
      </c>
      <c r="E14" s="51">
        <v>151099.21</v>
      </c>
      <c r="F14" s="50">
        <f t="shared" si="0"/>
        <v>44899.86</v>
      </c>
      <c r="G14" s="51">
        <f t="shared" si="1"/>
        <v>449</v>
      </c>
      <c r="H14" s="52">
        <f t="shared" si="2"/>
        <v>0.14000000000000001</v>
      </c>
      <c r="I14" s="51">
        <f t="shared" si="3"/>
        <v>498.39</v>
      </c>
      <c r="J14" s="52">
        <f t="shared" si="4"/>
        <v>0.13</v>
      </c>
      <c r="K14" s="50">
        <v>6.2</v>
      </c>
      <c r="L14" s="50">
        <v>5.09</v>
      </c>
      <c r="M14" s="50">
        <f t="shared" si="5"/>
        <v>1.1100000000000001</v>
      </c>
      <c r="N14" s="50">
        <v>8.86</v>
      </c>
      <c r="O14" s="50">
        <v>8.36</v>
      </c>
      <c r="P14" s="50">
        <v>5.01</v>
      </c>
      <c r="Q14" s="50">
        <v>8.0399999999999991</v>
      </c>
      <c r="R14" s="50">
        <v>824.6</v>
      </c>
      <c r="S14" s="50">
        <v>-952.48</v>
      </c>
      <c r="T14" s="50">
        <v>-205.91</v>
      </c>
      <c r="U14" s="50" t="s">
        <v>2474</v>
      </c>
      <c r="V14" s="50" t="s">
        <v>590</v>
      </c>
      <c r="W14" s="53" t="s">
        <v>266</v>
      </c>
    </row>
    <row r="15" spans="1:23" ht="15" customHeight="1" x14ac:dyDescent="0.25">
      <c r="A15" s="50" t="s">
        <v>2477</v>
      </c>
      <c r="B15" s="50" t="s">
        <v>1034</v>
      </c>
      <c r="C15" s="50">
        <v>-200</v>
      </c>
      <c r="D15" s="51">
        <v>118800.55</v>
      </c>
      <c r="E15" s="51">
        <v>168554.87</v>
      </c>
      <c r="F15" s="50">
        <f t="shared" si="0"/>
        <v>-49754.32</v>
      </c>
      <c r="G15" s="51">
        <f t="shared" si="1"/>
        <v>995.09</v>
      </c>
      <c r="H15" s="52">
        <f t="shared" si="2"/>
        <v>0.31</v>
      </c>
      <c r="I15" s="51">
        <f t="shared" si="3"/>
        <v>-487.59</v>
      </c>
      <c r="J15" s="52">
        <f t="shared" si="4"/>
        <v>-0.13</v>
      </c>
      <c r="K15" s="50">
        <v>2.81</v>
      </c>
      <c r="L15" s="50">
        <v>3.3</v>
      </c>
      <c r="M15" s="50">
        <f t="shared" si="5"/>
        <v>-0.49</v>
      </c>
      <c r="N15" s="50">
        <v>9.25</v>
      </c>
      <c r="O15" s="50">
        <v>8.75</v>
      </c>
      <c r="P15" s="50">
        <v>6.99</v>
      </c>
      <c r="Q15" s="50">
        <v>8.4700000000000006</v>
      </c>
      <c r="R15" s="50">
        <v>-1046.83</v>
      </c>
      <c r="S15" s="50">
        <v>943.5</v>
      </c>
      <c r="T15" s="50">
        <v>-277.27999999999997</v>
      </c>
      <c r="U15" s="50" t="s">
        <v>2465</v>
      </c>
      <c r="V15" s="50" t="s">
        <v>590</v>
      </c>
      <c r="W15" s="53" t="s">
        <v>266</v>
      </c>
    </row>
    <row r="16" spans="1:23" ht="15" customHeight="1" x14ac:dyDescent="0.25">
      <c r="A16" s="50" t="s">
        <v>2478</v>
      </c>
      <c r="B16" s="50" t="s">
        <v>2479</v>
      </c>
      <c r="C16" s="50">
        <v>200</v>
      </c>
      <c r="D16" s="51">
        <v>117411.42</v>
      </c>
      <c r="E16" s="51">
        <v>127418.43</v>
      </c>
      <c r="F16" s="50">
        <f t="shared" si="0"/>
        <v>-10007.01</v>
      </c>
      <c r="G16" s="51">
        <f t="shared" si="1"/>
        <v>-200.14</v>
      </c>
      <c r="H16" s="52">
        <f t="shared" si="2"/>
        <v>-0.06</v>
      </c>
      <c r="I16" s="51">
        <f t="shared" si="3"/>
        <v>-142.1</v>
      </c>
      <c r="J16" s="52">
        <f t="shared" si="4"/>
        <v>-0.04</v>
      </c>
      <c r="K16" s="50">
        <v>5.68</v>
      </c>
      <c r="L16" s="50">
        <v>4.97</v>
      </c>
      <c r="M16" s="50">
        <f t="shared" si="5"/>
        <v>0.71</v>
      </c>
      <c r="N16" s="50">
        <v>9.93</v>
      </c>
      <c r="O16" s="50">
        <v>9.43</v>
      </c>
      <c r="P16" s="50">
        <v>7.87</v>
      </c>
      <c r="Q16" s="50">
        <v>11.25</v>
      </c>
      <c r="R16" s="50">
        <v>-208.6</v>
      </c>
      <c r="S16" s="50">
        <v>213.74</v>
      </c>
      <c r="T16" s="50">
        <v>-62.46</v>
      </c>
      <c r="U16" s="50" t="s">
        <v>2472</v>
      </c>
      <c r="V16" s="50" t="s">
        <v>590</v>
      </c>
      <c r="W16" s="53" t="s">
        <v>266</v>
      </c>
    </row>
    <row r="17" spans="1:23" ht="15" customHeight="1" x14ac:dyDescent="0.25">
      <c r="A17" s="50" t="s">
        <v>2480</v>
      </c>
      <c r="B17" s="50" t="s">
        <v>2035</v>
      </c>
      <c r="C17" s="50">
        <v>-100</v>
      </c>
      <c r="D17" s="51">
        <v>146948.60999999999</v>
      </c>
      <c r="E17" s="51">
        <v>117895.47</v>
      </c>
      <c r="F17" s="50">
        <f t="shared" si="0"/>
        <v>29053.14</v>
      </c>
      <c r="G17" s="51">
        <f t="shared" si="1"/>
        <v>-290.52999999999997</v>
      </c>
      <c r="H17" s="52">
        <f t="shared" si="2"/>
        <v>-0.09</v>
      </c>
      <c r="I17" s="51">
        <f t="shared" si="3"/>
        <v>-1011.05</v>
      </c>
      <c r="J17" s="52">
        <f t="shared" si="4"/>
        <v>-0.27</v>
      </c>
      <c r="K17" s="50">
        <v>4.59</v>
      </c>
      <c r="L17" s="50">
        <v>1.1100000000000001</v>
      </c>
      <c r="M17" s="50">
        <f t="shared" si="5"/>
        <v>3.48</v>
      </c>
      <c r="N17" s="50">
        <v>9.1199999999999992</v>
      </c>
      <c r="O17" s="50">
        <v>8.6199999999999992</v>
      </c>
      <c r="P17" s="50">
        <v>6.4</v>
      </c>
      <c r="Q17" s="50">
        <v>10.02</v>
      </c>
      <c r="R17" s="50">
        <v>547.79999999999995</v>
      </c>
      <c r="S17" s="50">
        <v>-588.01</v>
      </c>
      <c r="T17" s="50">
        <v>-232.18</v>
      </c>
      <c r="U17" s="50" t="s">
        <v>2481</v>
      </c>
      <c r="V17" s="50" t="s">
        <v>590</v>
      </c>
      <c r="W17" s="53" t="s">
        <v>266</v>
      </c>
    </row>
    <row r="18" spans="1:23" ht="15" customHeight="1" x14ac:dyDescent="0.25">
      <c r="A18" s="50" t="s">
        <v>2482</v>
      </c>
      <c r="B18" s="50" t="s">
        <v>2051</v>
      </c>
      <c r="C18" s="50">
        <v>200</v>
      </c>
      <c r="D18" s="51">
        <v>101480.67</v>
      </c>
      <c r="E18" s="51">
        <v>152239.13</v>
      </c>
      <c r="F18" s="50">
        <f t="shared" si="0"/>
        <v>-50758.46</v>
      </c>
      <c r="G18" s="51">
        <f t="shared" si="1"/>
        <v>-1015.17</v>
      </c>
      <c r="H18" s="52">
        <f t="shared" si="2"/>
        <v>-0.32</v>
      </c>
      <c r="I18" s="51">
        <f t="shared" si="3"/>
        <v>436.52</v>
      </c>
      <c r="J18" s="52">
        <f t="shared" si="4"/>
        <v>0.11</v>
      </c>
      <c r="K18" s="50">
        <v>2.56</v>
      </c>
      <c r="L18" s="50">
        <v>2.99</v>
      </c>
      <c r="M18" s="50">
        <f t="shared" si="5"/>
        <v>-0.43</v>
      </c>
      <c r="N18" s="50">
        <v>9.39</v>
      </c>
      <c r="O18" s="50">
        <v>8.89</v>
      </c>
      <c r="P18" s="50">
        <v>5.0199999999999996</v>
      </c>
      <c r="Q18" s="50">
        <v>8.4</v>
      </c>
      <c r="R18" s="50">
        <v>-1098.6199999999999</v>
      </c>
      <c r="S18" s="50">
        <v>1099.5899999999999</v>
      </c>
      <c r="T18" s="50">
        <v>305.12</v>
      </c>
      <c r="U18" s="50" t="s">
        <v>2456</v>
      </c>
      <c r="V18" s="50" t="s">
        <v>590</v>
      </c>
      <c r="W18" s="53" t="s">
        <v>266</v>
      </c>
    </row>
    <row r="19" spans="1:23" ht="15" customHeight="1" x14ac:dyDescent="0.25">
      <c r="A19" s="50" t="s">
        <v>2483</v>
      </c>
      <c r="B19" s="50" t="s">
        <v>1990</v>
      </c>
      <c r="C19" s="50">
        <v>100</v>
      </c>
      <c r="D19" s="51">
        <v>84023.38</v>
      </c>
      <c r="E19" s="51">
        <v>100244.66</v>
      </c>
      <c r="F19" s="50">
        <f t="shared" si="0"/>
        <v>-16221.28</v>
      </c>
      <c r="G19" s="51">
        <f t="shared" si="1"/>
        <v>-162.21</v>
      </c>
      <c r="H19" s="52">
        <f t="shared" si="2"/>
        <v>-0.05</v>
      </c>
      <c r="I19" s="51">
        <f t="shared" si="3"/>
        <v>-676.43</v>
      </c>
      <c r="J19" s="52">
        <f t="shared" si="4"/>
        <v>-0.18</v>
      </c>
      <c r="K19" s="50">
        <v>5.37</v>
      </c>
      <c r="L19" s="50">
        <v>1.2</v>
      </c>
      <c r="M19" s="50">
        <f t="shared" si="5"/>
        <v>4.17</v>
      </c>
      <c r="N19" s="50">
        <v>9.68</v>
      </c>
      <c r="O19" s="50">
        <v>9.18</v>
      </c>
      <c r="P19" s="50">
        <v>5.76</v>
      </c>
      <c r="Q19" s="50">
        <v>9.81</v>
      </c>
      <c r="R19" s="50">
        <v>-347.99</v>
      </c>
      <c r="S19" s="50">
        <v>352.17</v>
      </c>
      <c r="T19" s="50">
        <v>-129.59</v>
      </c>
      <c r="U19" s="50" t="s">
        <v>2462</v>
      </c>
      <c r="V19" s="50" t="s">
        <v>590</v>
      </c>
      <c r="W19" s="53" t="s">
        <v>266</v>
      </c>
    </row>
    <row r="20" spans="1:23" ht="15" customHeight="1" x14ac:dyDescent="0.25">
      <c r="A20" s="50" t="s">
        <v>2484</v>
      </c>
      <c r="B20" s="50" t="s">
        <v>2485</v>
      </c>
      <c r="C20" s="50">
        <v>-100</v>
      </c>
      <c r="D20" s="51">
        <v>136813.81</v>
      </c>
      <c r="E20" s="51">
        <v>166243.04999999999</v>
      </c>
      <c r="F20" s="50">
        <f t="shared" si="0"/>
        <v>-29429.24</v>
      </c>
      <c r="G20" s="51">
        <f t="shared" si="1"/>
        <v>294.29000000000002</v>
      </c>
      <c r="H20" s="52">
        <f t="shared" si="2"/>
        <v>0.09</v>
      </c>
      <c r="I20" s="51">
        <f t="shared" si="3"/>
        <v>697.47</v>
      </c>
      <c r="J20" s="52">
        <f t="shared" si="4"/>
        <v>0.18</v>
      </c>
      <c r="K20" s="50">
        <v>7</v>
      </c>
      <c r="L20" s="50">
        <v>4.63</v>
      </c>
      <c r="M20" s="50">
        <f t="shared" si="5"/>
        <v>2.37</v>
      </c>
      <c r="N20" s="50">
        <v>8.56</v>
      </c>
      <c r="O20" s="50">
        <v>8.06</v>
      </c>
      <c r="P20" s="50">
        <v>5.09</v>
      </c>
      <c r="Q20" s="50">
        <v>11.02</v>
      </c>
      <c r="R20" s="50">
        <v>-612.79</v>
      </c>
      <c r="S20" s="50">
        <v>550.54999999999995</v>
      </c>
      <c r="T20" s="50">
        <v>217.89</v>
      </c>
      <c r="U20" s="50" t="s">
        <v>2460</v>
      </c>
      <c r="V20" s="50" t="s">
        <v>590</v>
      </c>
      <c r="W20" s="53" t="s">
        <v>266</v>
      </c>
    </row>
    <row r="21" spans="1:23" ht="15" customHeight="1" x14ac:dyDescent="0.25">
      <c r="A21" s="50" t="s">
        <v>2486</v>
      </c>
      <c r="B21" s="50" t="s">
        <v>1374</v>
      </c>
      <c r="C21" s="50">
        <v>-100</v>
      </c>
      <c r="D21" s="51">
        <v>86725.759999999995</v>
      </c>
      <c r="E21" s="51">
        <v>140122.6</v>
      </c>
      <c r="F21" s="50">
        <f t="shared" si="0"/>
        <v>-53396.84</v>
      </c>
      <c r="G21" s="51">
        <f t="shared" si="1"/>
        <v>533.97</v>
      </c>
      <c r="H21" s="52">
        <f t="shared" si="2"/>
        <v>0.17</v>
      </c>
      <c r="I21" s="51">
        <f t="shared" si="3"/>
        <v>763.57</v>
      </c>
      <c r="J21" s="52">
        <f t="shared" si="4"/>
        <v>0.2</v>
      </c>
      <c r="K21" s="50">
        <v>2.87</v>
      </c>
      <c r="L21" s="50">
        <v>1.44</v>
      </c>
      <c r="M21" s="50">
        <f t="shared" si="5"/>
        <v>1.43</v>
      </c>
      <c r="N21" s="50">
        <v>9.42</v>
      </c>
      <c r="O21" s="50">
        <v>8.92</v>
      </c>
      <c r="P21" s="50">
        <v>7.95</v>
      </c>
      <c r="Q21" s="50">
        <v>7.87</v>
      </c>
      <c r="R21" s="50">
        <v>-1032.2</v>
      </c>
      <c r="S21" s="50">
        <v>1104.67</v>
      </c>
      <c r="T21" s="50">
        <v>405.74</v>
      </c>
      <c r="U21" s="50" t="s">
        <v>2462</v>
      </c>
      <c r="V21" s="50" t="s">
        <v>590</v>
      </c>
      <c r="W21" s="53" t="s">
        <v>266</v>
      </c>
    </row>
    <row r="22" spans="1:23" ht="15" customHeight="1" x14ac:dyDescent="0.25">
      <c r="A22" s="50" t="s">
        <v>2487</v>
      </c>
      <c r="B22" s="50" t="s">
        <v>1583</v>
      </c>
      <c r="C22" s="50">
        <v>200</v>
      </c>
      <c r="D22" s="51">
        <v>141960.85</v>
      </c>
      <c r="E22" s="51">
        <v>173459.97</v>
      </c>
      <c r="F22" s="50">
        <f t="shared" si="0"/>
        <v>-31499.119999999999</v>
      </c>
      <c r="G22" s="51">
        <f t="shared" si="1"/>
        <v>-629.98</v>
      </c>
      <c r="H22" s="52">
        <f t="shared" si="2"/>
        <v>-0.2</v>
      </c>
      <c r="I22" s="51">
        <f t="shared" si="3"/>
        <v>-94.5</v>
      </c>
      <c r="J22" s="52">
        <f t="shared" si="4"/>
        <v>-0.02</v>
      </c>
      <c r="K22" s="50">
        <v>4.92</v>
      </c>
      <c r="L22" s="50">
        <v>4.7699999999999996</v>
      </c>
      <c r="M22" s="50">
        <f t="shared" si="5"/>
        <v>0.15</v>
      </c>
      <c r="N22" s="50">
        <v>9.64</v>
      </c>
      <c r="O22" s="50">
        <v>9.14</v>
      </c>
      <c r="P22" s="50">
        <v>5.19</v>
      </c>
      <c r="Q22" s="50">
        <v>10.71</v>
      </c>
      <c r="R22" s="50">
        <v>-585.57000000000005</v>
      </c>
      <c r="S22" s="50">
        <v>600.58000000000004</v>
      </c>
      <c r="T22" s="50">
        <v>147.74</v>
      </c>
      <c r="U22" s="50" t="s">
        <v>2465</v>
      </c>
      <c r="V22" s="50" t="s">
        <v>590</v>
      </c>
      <c r="W22" s="53" t="s">
        <v>266</v>
      </c>
    </row>
    <row r="23" spans="1:23" ht="15" customHeight="1" x14ac:dyDescent="0.25">
      <c r="A23" s="50" t="s">
        <v>2488</v>
      </c>
      <c r="B23" s="50" t="s">
        <v>1150</v>
      </c>
      <c r="C23" s="50">
        <v>100</v>
      </c>
      <c r="D23" s="51">
        <v>162646</v>
      </c>
      <c r="E23" s="51">
        <v>115017.67</v>
      </c>
      <c r="F23" s="50">
        <f t="shared" si="0"/>
        <v>47628.33</v>
      </c>
      <c r="G23" s="51">
        <f t="shared" si="1"/>
        <v>476.28</v>
      </c>
      <c r="H23" s="52">
        <f t="shared" si="2"/>
        <v>0.15</v>
      </c>
      <c r="I23" s="51">
        <f t="shared" si="3"/>
        <v>723.95</v>
      </c>
      <c r="J23" s="52">
        <f t="shared" si="4"/>
        <v>0.19</v>
      </c>
      <c r="K23" s="50">
        <v>6.31</v>
      </c>
      <c r="L23" s="50">
        <v>4.79</v>
      </c>
      <c r="M23" s="50">
        <f t="shared" si="5"/>
        <v>1.52</v>
      </c>
      <c r="N23" s="50">
        <v>10.1</v>
      </c>
      <c r="O23" s="50">
        <v>9.6</v>
      </c>
      <c r="P23" s="50">
        <v>5.93</v>
      </c>
      <c r="Q23" s="50">
        <v>9.52</v>
      </c>
      <c r="R23" s="50">
        <v>922.36</v>
      </c>
      <c r="S23" s="50">
        <v>-965.55</v>
      </c>
      <c r="T23" s="50">
        <v>323.17</v>
      </c>
      <c r="U23" s="50" t="s">
        <v>2456</v>
      </c>
      <c r="V23" s="50" t="s">
        <v>590</v>
      </c>
      <c r="W23" s="53" t="s">
        <v>266</v>
      </c>
    </row>
    <row r="24" spans="1:23" ht="15" customHeight="1" x14ac:dyDescent="0.25">
      <c r="A24" s="50" t="s">
        <v>2489</v>
      </c>
      <c r="B24" s="50" t="s">
        <v>2490</v>
      </c>
      <c r="C24" s="50">
        <v>-100</v>
      </c>
      <c r="D24" s="51">
        <v>190161.33</v>
      </c>
      <c r="E24" s="51">
        <v>90075.11</v>
      </c>
      <c r="F24" s="50">
        <f t="shared" si="0"/>
        <v>100086.22</v>
      </c>
      <c r="G24" s="51">
        <f t="shared" si="1"/>
        <v>-1000.86</v>
      </c>
      <c r="H24" s="52">
        <f t="shared" si="2"/>
        <v>-0.31</v>
      </c>
      <c r="I24" s="51">
        <f t="shared" si="3"/>
        <v>-590.51</v>
      </c>
      <c r="J24" s="52">
        <f t="shared" si="4"/>
        <v>-0.16</v>
      </c>
      <c r="K24" s="50">
        <v>3.02</v>
      </c>
      <c r="L24" s="50">
        <v>2.4300000000000002</v>
      </c>
      <c r="M24" s="50">
        <f t="shared" si="5"/>
        <v>0.59</v>
      </c>
      <c r="N24" s="50">
        <v>9.57</v>
      </c>
      <c r="O24" s="50">
        <v>9.07</v>
      </c>
      <c r="P24" s="50">
        <v>5.0599999999999996</v>
      </c>
      <c r="Q24" s="50">
        <v>7.76</v>
      </c>
      <c r="R24" s="50">
        <v>1888.64</v>
      </c>
      <c r="S24" s="50">
        <v>-1951.49</v>
      </c>
      <c r="T24" s="50">
        <v>-432.88</v>
      </c>
      <c r="U24" s="50" t="s">
        <v>2462</v>
      </c>
      <c r="V24" s="50" t="s">
        <v>590</v>
      </c>
      <c r="W24" s="53" t="s">
        <v>266</v>
      </c>
    </row>
    <row r="25" spans="1:23" ht="15" customHeight="1" x14ac:dyDescent="0.25">
      <c r="A25" s="50" t="s">
        <v>2491</v>
      </c>
      <c r="B25" s="50" t="s">
        <v>2066</v>
      </c>
      <c r="C25" s="50">
        <v>100</v>
      </c>
      <c r="D25" s="51">
        <v>169689.01</v>
      </c>
      <c r="E25" s="51">
        <v>151192.15</v>
      </c>
      <c r="F25" s="50">
        <f t="shared" si="0"/>
        <v>18496.86</v>
      </c>
      <c r="G25" s="51">
        <f t="shared" si="1"/>
        <v>184.97</v>
      </c>
      <c r="H25" s="52">
        <f t="shared" si="2"/>
        <v>0.06</v>
      </c>
      <c r="I25" s="51">
        <f t="shared" si="3"/>
        <v>305.2</v>
      </c>
      <c r="J25" s="52">
        <f t="shared" si="4"/>
        <v>0.08</v>
      </c>
      <c r="K25" s="50">
        <v>4.3600000000000003</v>
      </c>
      <c r="L25" s="50">
        <v>2.71</v>
      </c>
      <c r="M25" s="50">
        <f t="shared" si="5"/>
        <v>1.65</v>
      </c>
      <c r="N25" s="50">
        <v>8.99</v>
      </c>
      <c r="O25" s="50">
        <v>8.49</v>
      </c>
      <c r="P25" s="50">
        <v>5.84</v>
      </c>
      <c r="Q25" s="50">
        <v>9.5399999999999991</v>
      </c>
      <c r="R25" s="50">
        <v>349.66</v>
      </c>
      <c r="S25" s="50">
        <v>-346.87</v>
      </c>
      <c r="T25" s="50">
        <v>-139.36000000000001</v>
      </c>
      <c r="U25" s="50" t="s">
        <v>2481</v>
      </c>
      <c r="V25" s="50" t="s">
        <v>590</v>
      </c>
      <c r="W25" s="53" t="s">
        <v>266</v>
      </c>
    </row>
    <row r="26" spans="1:23" ht="15" customHeight="1" x14ac:dyDescent="0.25">
      <c r="A26" s="50" t="s">
        <v>2492</v>
      </c>
      <c r="B26" s="50" t="s">
        <v>1028</v>
      </c>
      <c r="C26" s="50">
        <v>100</v>
      </c>
      <c r="D26" s="51">
        <v>163706.98000000001</v>
      </c>
      <c r="E26" s="51">
        <v>99099.97</v>
      </c>
      <c r="F26" s="50">
        <f t="shared" si="0"/>
        <v>64607.01</v>
      </c>
      <c r="G26" s="51">
        <f t="shared" si="1"/>
        <v>646.07000000000005</v>
      </c>
      <c r="H26" s="52">
        <f t="shared" si="2"/>
        <v>0.2</v>
      </c>
      <c r="I26" s="51">
        <f t="shared" si="3"/>
        <v>1188.77</v>
      </c>
      <c r="J26" s="52">
        <f t="shared" si="4"/>
        <v>0.31</v>
      </c>
      <c r="K26" s="50">
        <v>5.44</v>
      </c>
      <c r="L26" s="50">
        <v>3.6</v>
      </c>
      <c r="M26" s="50">
        <f t="shared" si="5"/>
        <v>1.84</v>
      </c>
      <c r="N26" s="50">
        <v>9.09</v>
      </c>
      <c r="O26" s="50">
        <v>8.59</v>
      </c>
      <c r="P26" s="50">
        <v>6.93</v>
      </c>
      <c r="Q26" s="50">
        <v>9.02</v>
      </c>
      <c r="R26" s="50">
        <v>1172.42</v>
      </c>
      <c r="S26" s="50">
        <v>-1378.64</v>
      </c>
      <c r="T26" s="50">
        <v>-358.1</v>
      </c>
      <c r="U26" s="50" t="s">
        <v>2460</v>
      </c>
      <c r="V26" s="50" t="s">
        <v>590</v>
      </c>
      <c r="W26" s="53" t="s">
        <v>266</v>
      </c>
    </row>
    <row r="27" spans="1:23" ht="15" customHeight="1" x14ac:dyDescent="0.25">
      <c r="A27" s="50" t="s">
        <v>2493</v>
      </c>
      <c r="B27" s="50" t="s">
        <v>1366</v>
      </c>
      <c r="C27" s="50">
        <v>200</v>
      </c>
      <c r="D27" s="51">
        <v>157520.95999999999</v>
      </c>
      <c r="E27" s="51">
        <v>145021.95000000001</v>
      </c>
      <c r="F27" s="50">
        <f t="shared" si="0"/>
        <v>12499.01</v>
      </c>
      <c r="G27" s="51">
        <f t="shared" si="1"/>
        <v>249.98</v>
      </c>
      <c r="H27" s="52">
        <f t="shared" si="2"/>
        <v>0.08</v>
      </c>
      <c r="I27" s="51">
        <f t="shared" si="3"/>
        <v>422.47</v>
      </c>
      <c r="J27" s="52">
        <f t="shared" si="4"/>
        <v>0.11</v>
      </c>
      <c r="K27" s="50">
        <v>4.2300000000000004</v>
      </c>
      <c r="L27" s="50">
        <v>2.54</v>
      </c>
      <c r="M27" s="50">
        <f t="shared" si="5"/>
        <v>1.69</v>
      </c>
      <c r="N27" s="50">
        <v>10.15</v>
      </c>
      <c r="O27" s="50">
        <v>9.65</v>
      </c>
      <c r="P27" s="50">
        <v>6.65</v>
      </c>
      <c r="Q27" s="50">
        <v>10.34</v>
      </c>
      <c r="R27" s="50">
        <v>229.52</v>
      </c>
      <c r="S27" s="50">
        <v>-263.64999999999998</v>
      </c>
      <c r="T27" s="50">
        <v>62.91</v>
      </c>
      <c r="U27" s="50" t="s">
        <v>2472</v>
      </c>
      <c r="V27" s="50" t="s">
        <v>590</v>
      </c>
      <c r="W27" s="53" t="s">
        <v>266</v>
      </c>
    </row>
    <row r="28" spans="1:23" ht="15" customHeight="1" x14ac:dyDescent="0.25">
      <c r="A28" s="50" t="s">
        <v>2494</v>
      </c>
      <c r="B28" s="50" t="s">
        <v>2495</v>
      </c>
      <c r="C28" s="50">
        <v>-200</v>
      </c>
      <c r="D28" s="51">
        <v>190630.33</v>
      </c>
      <c r="E28" s="51">
        <v>126873.28</v>
      </c>
      <c r="F28" s="50">
        <f t="shared" si="0"/>
        <v>63757.05</v>
      </c>
      <c r="G28" s="51">
        <f t="shared" si="1"/>
        <v>-1275.1400000000001</v>
      </c>
      <c r="H28" s="52">
        <f t="shared" si="2"/>
        <v>-0.4</v>
      </c>
      <c r="I28" s="51">
        <f t="shared" si="3"/>
        <v>-4016.69</v>
      </c>
      <c r="J28" s="52">
        <f t="shared" si="4"/>
        <v>-1.06</v>
      </c>
      <c r="K28" s="50">
        <v>6.29</v>
      </c>
      <c r="L28" s="50">
        <v>3.14</v>
      </c>
      <c r="M28" s="50">
        <f t="shared" si="5"/>
        <v>3.15</v>
      </c>
      <c r="N28" s="50">
        <v>9.2899999999999991</v>
      </c>
      <c r="O28" s="50">
        <v>8.7899999999999991</v>
      </c>
      <c r="P28" s="50">
        <v>5.97</v>
      </c>
      <c r="Q28" s="50">
        <v>9.5399999999999991</v>
      </c>
      <c r="R28" s="50">
        <v>1229.8399999999999</v>
      </c>
      <c r="S28" s="50">
        <v>-1174.31</v>
      </c>
      <c r="T28" s="50">
        <v>-346.55</v>
      </c>
      <c r="U28" s="50" t="s">
        <v>2462</v>
      </c>
      <c r="V28" s="50" t="s">
        <v>590</v>
      </c>
      <c r="W28" s="53" t="s">
        <v>266</v>
      </c>
    </row>
    <row r="29" spans="1:23" ht="15" customHeight="1" x14ac:dyDescent="0.25">
      <c r="A29" s="50" t="s">
        <v>2496</v>
      </c>
      <c r="B29" s="50" t="s">
        <v>1552</v>
      </c>
      <c r="C29" s="50">
        <v>200</v>
      </c>
      <c r="D29" s="51">
        <v>137059.51</v>
      </c>
      <c r="E29" s="51">
        <v>107033.9</v>
      </c>
      <c r="F29" s="50">
        <f t="shared" si="0"/>
        <v>30025.61</v>
      </c>
      <c r="G29" s="51">
        <f t="shared" si="1"/>
        <v>600.51</v>
      </c>
      <c r="H29" s="52">
        <f t="shared" si="2"/>
        <v>0.19</v>
      </c>
      <c r="I29" s="51">
        <f t="shared" si="3"/>
        <v>3651.11</v>
      </c>
      <c r="J29" s="52">
        <f t="shared" si="4"/>
        <v>0.96</v>
      </c>
      <c r="K29" s="50">
        <v>7.92</v>
      </c>
      <c r="L29" s="50">
        <v>1.84</v>
      </c>
      <c r="M29" s="50">
        <f t="shared" si="5"/>
        <v>6.08</v>
      </c>
      <c r="N29" s="50">
        <v>9.11</v>
      </c>
      <c r="O29" s="50">
        <v>8.61</v>
      </c>
      <c r="P29" s="50">
        <v>5.49</v>
      </c>
      <c r="Q29" s="50">
        <v>9.4600000000000009</v>
      </c>
      <c r="R29" s="50">
        <v>593.19000000000005</v>
      </c>
      <c r="S29" s="50">
        <v>-614.52</v>
      </c>
      <c r="T29" s="50">
        <v>191.39</v>
      </c>
      <c r="U29" s="50" t="s">
        <v>2462</v>
      </c>
      <c r="V29" s="50" t="s">
        <v>590</v>
      </c>
      <c r="W29" s="53" t="s">
        <v>266</v>
      </c>
    </row>
    <row r="30" spans="1:23" ht="15" customHeight="1" x14ac:dyDescent="0.25">
      <c r="A30" s="50" t="s">
        <v>2497</v>
      </c>
      <c r="B30" s="50" t="s">
        <v>746</v>
      </c>
      <c r="C30" s="50">
        <v>300</v>
      </c>
      <c r="D30" s="51">
        <v>180091.57</v>
      </c>
      <c r="E30" s="51">
        <v>97783.22</v>
      </c>
      <c r="F30" s="50">
        <f t="shared" si="0"/>
        <v>82308.350000000006</v>
      </c>
      <c r="G30" s="51">
        <f t="shared" si="1"/>
        <v>2469.25</v>
      </c>
      <c r="H30" s="52">
        <f t="shared" si="2"/>
        <v>0.77</v>
      </c>
      <c r="I30" s="51">
        <f t="shared" si="3"/>
        <v>5481.74</v>
      </c>
      <c r="J30" s="52">
        <f t="shared" si="4"/>
        <v>1.44</v>
      </c>
      <c r="K30" s="50">
        <v>4.74</v>
      </c>
      <c r="L30" s="50">
        <v>2.52</v>
      </c>
      <c r="M30" s="50">
        <f t="shared" si="5"/>
        <v>2.2200000000000002</v>
      </c>
      <c r="N30" s="50">
        <v>9.65</v>
      </c>
      <c r="O30" s="50">
        <v>9.15</v>
      </c>
      <c r="P30" s="50">
        <v>5.9</v>
      </c>
      <c r="Q30" s="50">
        <v>11.37</v>
      </c>
      <c r="R30" s="50">
        <v>1732.81</v>
      </c>
      <c r="S30" s="50">
        <v>-1778.15</v>
      </c>
      <c r="T30" s="50">
        <v>496.14</v>
      </c>
      <c r="U30" s="50" t="s">
        <v>2474</v>
      </c>
      <c r="V30" s="50" t="s">
        <v>590</v>
      </c>
      <c r="W30" s="53" t="s">
        <v>266</v>
      </c>
    </row>
    <row r="31" spans="1:23" ht="15" customHeight="1" x14ac:dyDescent="0.25">
      <c r="A31" s="50" t="s">
        <v>2498</v>
      </c>
      <c r="B31" s="50" t="s">
        <v>2192</v>
      </c>
      <c r="C31" s="50">
        <v>100</v>
      </c>
      <c r="D31" s="51">
        <v>194477.83</v>
      </c>
      <c r="E31" s="51">
        <v>114082.51</v>
      </c>
      <c r="F31" s="50">
        <f t="shared" si="0"/>
        <v>80395.320000000007</v>
      </c>
      <c r="G31" s="51">
        <f t="shared" si="1"/>
        <v>803.95</v>
      </c>
      <c r="H31" s="52">
        <f t="shared" si="2"/>
        <v>0.25</v>
      </c>
      <c r="I31" s="51">
        <f t="shared" si="3"/>
        <v>-506.49</v>
      </c>
      <c r="J31" s="52">
        <f t="shared" si="4"/>
        <v>-0.13</v>
      </c>
      <c r="K31" s="50">
        <v>2.67</v>
      </c>
      <c r="L31" s="50">
        <v>3.3</v>
      </c>
      <c r="M31" s="50">
        <f t="shared" si="5"/>
        <v>-0.63</v>
      </c>
      <c r="N31" s="50">
        <v>10.07</v>
      </c>
      <c r="O31" s="50">
        <v>9.57</v>
      </c>
      <c r="P31" s="50">
        <v>7.66</v>
      </c>
      <c r="Q31" s="50">
        <v>11.34</v>
      </c>
      <c r="R31" s="50">
        <v>1510.94</v>
      </c>
      <c r="S31" s="50">
        <v>-1759.83</v>
      </c>
      <c r="T31" s="50">
        <v>-563.36</v>
      </c>
      <c r="U31" s="50" t="s">
        <v>2465</v>
      </c>
      <c r="V31" s="50" t="s">
        <v>590</v>
      </c>
      <c r="W31" s="53" t="s">
        <v>266</v>
      </c>
    </row>
    <row r="32" spans="1:23" ht="15" customHeight="1" x14ac:dyDescent="0.25">
      <c r="A32" s="50" t="s">
        <v>2499</v>
      </c>
      <c r="B32" s="50" t="s">
        <v>875</v>
      </c>
      <c r="C32" s="50">
        <v>200</v>
      </c>
      <c r="D32" s="51">
        <v>174628.33</v>
      </c>
      <c r="E32" s="51">
        <v>75918.009999999995</v>
      </c>
      <c r="F32" s="50">
        <f t="shared" si="0"/>
        <v>98710.32</v>
      </c>
      <c r="G32" s="51">
        <f t="shared" si="1"/>
        <v>1974.21</v>
      </c>
      <c r="H32" s="52">
        <f t="shared" si="2"/>
        <v>0.62</v>
      </c>
      <c r="I32" s="51">
        <f t="shared" si="3"/>
        <v>-3020.54</v>
      </c>
      <c r="J32" s="52">
        <f t="shared" si="4"/>
        <v>-0.79</v>
      </c>
      <c r="K32" s="50">
        <v>3.04</v>
      </c>
      <c r="L32" s="50">
        <v>4.57</v>
      </c>
      <c r="M32" s="50">
        <f t="shared" si="5"/>
        <v>-1.53</v>
      </c>
      <c r="N32" s="50">
        <v>8.74</v>
      </c>
      <c r="O32" s="50">
        <v>8.24</v>
      </c>
      <c r="P32" s="50">
        <v>6.04</v>
      </c>
      <c r="Q32" s="50">
        <v>8.7799999999999994</v>
      </c>
      <c r="R32" s="50">
        <v>1777.12</v>
      </c>
      <c r="S32" s="50">
        <v>-1835.02</v>
      </c>
      <c r="T32" s="50">
        <v>743.47</v>
      </c>
      <c r="U32" s="50" t="s">
        <v>2458</v>
      </c>
      <c r="V32" s="50" t="s">
        <v>590</v>
      </c>
      <c r="W32" s="53" t="s">
        <v>266</v>
      </c>
    </row>
    <row r="33" spans="1:23" ht="15" customHeight="1" x14ac:dyDescent="0.25">
      <c r="A33" s="50" t="s">
        <v>2500</v>
      </c>
      <c r="B33" s="50" t="s">
        <v>2291</v>
      </c>
      <c r="C33" s="50">
        <v>-100</v>
      </c>
      <c r="D33" s="51">
        <v>102151.24</v>
      </c>
      <c r="E33" s="51">
        <v>164353.84</v>
      </c>
      <c r="F33" s="50">
        <f t="shared" si="0"/>
        <v>-62202.6</v>
      </c>
      <c r="G33" s="51">
        <f t="shared" si="1"/>
        <v>622.03</v>
      </c>
      <c r="H33" s="52">
        <f t="shared" si="2"/>
        <v>0.19</v>
      </c>
      <c r="I33" s="51">
        <f t="shared" si="3"/>
        <v>534.94000000000005</v>
      </c>
      <c r="J33" s="52">
        <f t="shared" si="4"/>
        <v>0.14000000000000001</v>
      </c>
      <c r="K33" s="50">
        <v>5.12</v>
      </c>
      <c r="L33" s="50">
        <v>4.26</v>
      </c>
      <c r="M33" s="50">
        <f t="shared" si="5"/>
        <v>0.86</v>
      </c>
      <c r="N33" s="50">
        <v>8.76</v>
      </c>
      <c r="O33" s="50">
        <v>8.26</v>
      </c>
      <c r="P33" s="50">
        <v>6.67</v>
      </c>
      <c r="Q33" s="50">
        <v>10.49</v>
      </c>
      <c r="R33" s="50">
        <v>-1238.4100000000001</v>
      </c>
      <c r="S33" s="50">
        <v>1205.4100000000001</v>
      </c>
      <c r="T33" s="50">
        <v>-365.95</v>
      </c>
      <c r="U33" s="50" t="s">
        <v>2462</v>
      </c>
      <c r="V33" s="50" t="s">
        <v>590</v>
      </c>
      <c r="W33" s="53" t="s">
        <v>266</v>
      </c>
    </row>
    <row r="34" spans="1:23" ht="15" customHeight="1" x14ac:dyDescent="0.25">
      <c r="A34" s="50" t="s">
        <v>2501</v>
      </c>
      <c r="B34" s="50" t="s">
        <v>2502</v>
      </c>
      <c r="C34" s="50">
        <v>300</v>
      </c>
      <c r="D34" s="51">
        <v>160212.42000000001</v>
      </c>
      <c r="E34" s="51">
        <v>161448.17000000001</v>
      </c>
      <c r="F34" s="50">
        <f t="shared" si="0"/>
        <v>-1235.75</v>
      </c>
      <c r="G34" s="51">
        <f t="shared" si="1"/>
        <v>-37.07</v>
      </c>
      <c r="H34" s="52">
        <f t="shared" si="2"/>
        <v>-0.01</v>
      </c>
      <c r="I34" s="51">
        <f t="shared" si="3"/>
        <v>-85.64</v>
      </c>
      <c r="J34" s="52">
        <f t="shared" si="4"/>
        <v>-0.02</v>
      </c>
      <c r="K34" s="50">
        <v>6.74</v>
      </c>
      <c r="L34" s="50">
        <v>4.43</v>
      </c>
      <c r="M34" s="50">
        <f t="shared" si="5"/>
        <v>2.31</v>
      </c>
      <c r="N34" s="50">
        <v>8.66</v>
      </c>
      <c r="O34" s="50">
        <v>8.16</v>
      </c>
      <c r="P34" s="50">
        <v>5.39</v>
      </c>
      <c r="Q34" s="50">
        <v>10.43</v>
      </c>
      <c r="R34" s="50">
        <v>-24.22</v>
      </c>
      <c r="S34" s="50">
        <v>23.86</v>
      </c>
      <c r="T34" s="50">
        <v>-6.34</v>
      </c>
      <c r="U34" s="50" t="s">
        <v>2460</v>
      </c>
      <c r="V34" s="50" t="s">
        <v>590</v>
      </c>
      <c r="W34" s="53" t="s">
        <v>266</v>
      </c>
    </row>
    <row r="35" spans="1:23" ht="15" customHeight="1" x14ac:dyDescent="0.25">
      <c r="A35" s="50" t="s">
        <v>2503</v>
      </c>
      <c r="B35" s="50" t="s">
        <v>2504</v>
      </c>
      <c r="C35" s="50">
        <v>200</v>
      </c>
      <c r="D35" s="51">
        <v>144093.82</v>
      </c>
      <c r="E35" s="51">
        <v>108155.39</v>
      </c>
      <c r="F35" s="50">
        <f t="shared" ref="F35:F66" si="6">ROUND(D35-E35,2)</f>
        <v>35938.43</v>
      </c>
      <c r="G35" s="51">
        <f t="shared" ref="G35:G66" si="7">ROUND(F35*C35/10000,2)</f>
        <v>718.77</v>
      </c>
      <c r="H35" s="52">
        <f t="shared" ref="H35:H66" si="8">ROUND(G35/320000*100,2)</f>
        <v>0.22</v>
      </c>
      <c r="I35" s="51">
        <f t="shared" ref="I35:I66" si="9">ROUND(F35*M35*C35/10000,2)</f>
        <v>826.58</v>
      </c>
      <c r="J35" s="52">
        <f t="shared" ref="J35:J66" si="10">ROUND(I35/380000*100,2)</f>
        <v>0.22</v>
      </c>
      <c r="K35" s="50">
        <v>6.52</v>
      </c>
      <c r="L35" s="50">
        <v>5.37</v>
      </c>
      <c r="M35" s="50">
        <f t="shared" ref="M35:M66" si="11">ROUND(K35-L35,2)</f>
        <v>1.1499999999999999</v>
      </c>
      <c r="N35" s="50">
        <v>8.5500000000000007</v>
      </c>
      <c r="O35" s="50">
        <v>8.0500000000000007</v>
      </c>
      <c r="P35" s="50">
        <v>7.66</v>
      </c>
      <c r="Q35" s="50">
        <v>7.8</v>
      </c>
      <c r="R35" s="50">
        <v>699.96</v>
      </c>
      <c r="S35" s="50">
        <v>-695.75</v>
      </c>
      <c r="T35" s="50">
        <v>262.10000000000002</v>
      </c>
      <c r="U35" s="50" t="s">
        <v>2474</v>
      </c>
      <c r="V35" s="50" t="s">
        <v>590</v>
      </c>
      <c r="W35" s="53" t="s">
        <v>266</v>
      </c>
    </row>
    <row r="36" spans="1:23" ht="15" customHeight="1" x14ac:dyDescent="0.25">
      <c r="A36" s="50" t="s">
        <v>2505</v>
      </c>
      <c r="B36" s="50" t="s">
        <v>2506</v>
      </c>
      <c r="C36" s="50">
        <v>100</v>
      </c>
      <c r="D36" s="51">
        <v>96569.59</v>
      </c>
      <c r="E36" s="51">
        <v>90676.76</v>
      </c>
      <c r="F36" s="50">
        <f t="shared" si="6"/>
        <v>5892.83</v>
      </c>
      <c r="G36" s="51">
        <f t="shared" si="7"/>
        <v>58.93</v>
      </c>
      <c r="H36" s="52">
        <f t="shared" si="8"/>
        <v>0.02</v>
      </c>
      <c r="I36" s="51">
        <f t="shared" si="9"/>
        <v>47.73</v>
      </c>
      <c r="J36" s="52">
        <f t="shared" si="10"/>
        <v>0.01</v>
      </c>
      <c r="K36" s="50">
        <v>3.77</v>
      </c>
      <c r="L36" s="50">
        <v>2.96</v>
      </c>
      <c r="M36" s="50">
        <f t="shared" si="11"/>
        <v>0.81</v>
      </c>
      <c r="N36" s="50">
        <v>9.08</v>
      </c>
      <c r="O36" s="50">
        <v>8.58</v>
      </c>
      <c r="P36" s="50">
        <v>6.96</v>
      </c>
      <c r="Q36" s="50">
        <v>8.92</v>
      </c>
      <c r="R36" s="50">
        <v>113.4</v>
      </c>
      <c r="S36" s="50">
        <v>-121.99</v>
      </c>
      <c r="T36" s="50">
        <v>34.9</v>
      </c>
      <c r="U36" s="50" t="s">
        <v>2472</v>
      </c>
      <c r="V36" s="50" t="s">
        <v>590</v>
      </c>
      <c r="W36" s="53" t="s">
        <v>266</v>
      </c>
    </row>
    <row r="37" spans="1:23" ht="15" customHeight="1" x14ac:dyDescent="0.25">
      <c r="A37" s="50" t="s">
        <v>2507</v>
      </c>
      <c r="B37" s="50" t="s">
        <v>2508</v>
      </c>
      <c r="C37" s="50">
        <v>-100</v>
      </c>
      <c r="D37" s="51">
        <v>99625.15</v>
      </c>
      <c r="E37" s="51">
        <v>145057.38</v>
      </c>
      <c r="F37" s="50">
        <f t="shared" si="6"/>
        <v>-45432.23</v>
      </c>
      <c r="G37" s="51">
        <f t="shared" si="7"/>
        <v>454.32</v>
      </c>
      <c r="H37" s="52">
        <f t="shared" si="8"/>
        <v>0.14000000000000001</v>
      </c>
      <c r="I37" s="51">
        <f t="shared" si="9"/>
        <v>2008.1</v>
      </c>
      <c r="J37" s="52">
        <f t="shared" si="10"/>
        <v>0.53</v>
      </c>
      <c r="K37" s="50">
        <v>7.51</v>
      </c>
      <c r="L37" s="50">
        <v>3.09</v>
      </c>
      <c r="M37" s="50">
        <f t="shared" si="11"/>
        <v>4.42</v>
      </c>
      <c r="N37" s="50">
        <v>8.64</v>
      </c>
      <c r="O37" s="50">
        <v>8.14</v>
      </c>
      <c r="P37" s="50">
        <v>7.06</v>
      </c>
      <c r="Q37" s="50">
        <v>7.46</v>
      </c>
      <c r="R37" s="50">
        <v>-963.81</v>
      </c>
      <c r="S37" s="50">
        <v>820</v>
      </c>
      <c r="T37" s="50">
        <v>-239.71</v>
      </c>
      <c r="U37" s="50" t="s">
        <v>2481</v>
      </c>
      <c r="V37" s="50" t="s">
        <v>590</v>
      </c>
      <c r="W37" s="53" t="s">
        <v>266</v>
      </c>
    </row>
    <row r="38" spans="1:23" ht="15" customHeight="1" x14ac:dyDescent="0.25">
      <c r="A38" s="50" t="s">
        <v>2509</v>
      </c>
      <c r="B38" s="50" t="s">
        <v>898</v>
      </c>
      <c r="C38" s="50">
        <v>-200</v>
      </c>
      <c r="D38" s="51">
        <v>138336.73000000001</v>
      </c>
      <c r="E38" s="51">
        <v>175591.32</v>
      </c>
      <c r="F38" s="50">
        <f t="shared" si="6"/>
        <v>-37254.589999999997</v>
      </c>
      <c r="G38" s="51">
        <f t="shared" si="7"/>
        <v>745.09</v>
      </c>
      <c r="H38" s="52">
        <f t="shared" si="8"/>
        <v>0.23</v>
      </c>
      <c r="I38" s="51">
        <f t="shared" si="9"/>
        <v>327.84</v>
      </c>
      <c r="J38" s="52">
        <f t="shared" si="10"/>
        <v>0.09</v>
      </c>
      <c r="K38" s="50">
        <v>4.91</v>
      </c>
      <c r="L38" s="50">
        <v>4.47</v>
      </c>
      <c r="M38" s="50">
        <f t="shared" si="11"/>
        <v>0.44</v>
      </c>
      <c r="N38" s="50">
        <v>9.02</v>
      </c>
      <c r="O38" s="50">
        <v>8.52</v>
      </c>
      <c r="P38" s="50">
        <v>5.78</v>
      </c>
      <c r="Q38" s="50">
        <v>9.85</v>
      </c>
      <c r="R38" s="50">
        <v>-745.4</v>
      </c>
      <c r="S38" s="50">
        <v>786.97</v>
      </c>
      <c r="T38" s="50">
        <v>-255.12</v>
      </c>
      <c r="U38" s="50" t="s">
        <v>2458</v>
      </c>
      <c r="V38" s="50" t="s">
        <v>590</v>
      </c>
      <c r="W38" s="53" t="s">
        <v>266</v>
      </c>
    </row>
    <row r="39" spans="1:23" ht="15" customHeight="1" x14ac:dyDescent="0.25">
      <c r="A39" s="50" t="s">
        <v>2510</v>
      </c>
      <c r="B39" s="50" t="s">
        <v>2511</v>
      </c>
      <c r="C39" s="50">
        <v>-100</v>
      </c>
      <c r="D39" s="51">
        <v>197688.14</v>
      </c>
      <c r="E39" s="51">
        <v>128488.28</v>
      </c>
      <c r="F39" s="50">
        <f t="shared" si="6"/>
        <v>69199.86</v>
      </c>
      <c r="G39" s="51">
        <f t="shared" si="7"/>
        <v>-692</v>
      </c>
      <c r="H39" s="52">
        <f t="shared" si="8"/>
        <v>-0.22</v>
      </c>
      <c r="I39" s="51">
        <f t="shared" si="9"/>
        <v>-525.91999999999996</v>
      </c>
      <c r="J39" s="52">
        <f t="shared" si="10"/>
        <v>-0.14000000000000001</v>
      </c>
      <c r="K39" s="50">
        <v>4.8</v>
      </c>
      <c r="L39" s="50">
        <v>4.04</v>
      </c>
      <c r="M39" s="50">
        <f t="shared" si="11"/>
        <v>0.76</v>
      </c>
      <c r="N39" s="50">
        <v>8.76</v>
      </c>
      <c r="O39" s="50">
        <v>8.26</v>
      </c>
      <c r="P39" s="50">
        <v>6.01</v>
      </c>
      <c r="Q39" s="50">
        <v>11.2</v>
      </c>
      <c r="R39" s="50">
        <v>1300.3</v>
      </c>
      <c r="S39" s="50">
        <v>-1470.59</v>
      </c>
      <c r="T39" s="50">
        <v>478.21</v>
      </c>
      <c r="U39" s="50" t="s">
        <v>2472</v>
      </c>
      <c r="V39" s="50" t="s">
        <v>590</v>
      </c>
      <c r="W39" s="53" t="s">
        <v>266</v>
      </c>
    </row>
    <row r="40" spans="1:23" ht="15" customHeight="1" x14ac:dyDescent="0.25">
      <c r="A40" s="50" t="s">
        <v>2512</v>
      </c>
      <c r="B40" s="50" t="s">
        <v>1866</v>
      </c>
      <c r="C40" s="50">
        <v>-200</v>
      </c>
      <c r="D40" s="51">
        <v>135771.57999999999</v>
      </c>
      <c r="E40" s="51">
        <v>74382.89</v>
      </c>
      <c r="F40" s="50">
        <f t="shared" si="6"/>
        <v>61388.69</v>
      </c>
      <c r="G40" s="51">
        <f t="shared" si="7"/>
        <v>-1227.77</v>
      </c>
      <c r="H40" s="52">
        <f t="shared" si="8"/>
        <v>-0.38</v>
      </c>
      <c r="I40" s="51">
        <f t="shared" si="9"/>
        <v>-5696.87</v>
      </c>
      <c r="J40" s="52">
        <f t="shared" si="10"/>
        <v>-1.5</v>
      </c>
      <c r="K40" s="50">
        <v>7.71</v>
      </c>
      <c r="L40" s="50">
        <v>3.07</v>
      </c>
      <c r="M40" s="50">
        <f t="shared" si="11"/>
        <v>4.6399999999999997</v>
      </c>
      <c r="N40" s="50">
        <v>8.59</v>
      </c>
      <c r="O40" s="50">
        <v>8.09</v>
      </c>
      <c r="P40" s="50">
        <v>6.8</v>
      </c>
      <c r="Q40" s="50">
        <v>8.66</v>
      </c>
      <c r="R40" s="50">
        <v>1187.8599999999999</v>
      </c>
      <c r="S40" s="50">
        <v>-1177.72</v>
      </c>
      <c r="T40" s="50">
        <v>446.71</v>
      </c>
      <c r="U40" s="50" t="s">
        <v>2481</v>
      </c>
      <c r="V40" s="50" t="s">
        <v>590</v>
      </c>
      <c r="W40" s="53" t="s">
        <v>266</v>
      </c>
    </row>
    <row r="41" spans="1:23" ht="15" customHeight="1" x14ac:dyDescent="0.25">
      <c r="A41" s="50" t="s">
        <v>2513</v>
      </c>
      <c r="B41" s="50" t="s">
        <v>1191</v>
      </c>
      <c r="C41" s="50">
        <v>100</v>
      </c>
      <c r="D41" s="51">
        <v>122826.24000000001</v>
      </c>
      <c r="E41" s="51">
        <v>71927.09</v>
      </c>
      <c r="F41" s="50">
        <f t="shared" si="6"/>
        <v>50899.15</v>
      </c>
      <c r="G41" s="51">
        <f t="shared" si="7"/>
        <v>508.99</v>
      </c>
      <c r="H41" s="52">
        <f t="shared" si="8"/>
        <v>0.16</v>
      </c>
      <c r="I41" s="51">
        <f t="shared" si="9"/>
        <v>300.3</v>
      </c>
      <c r="J41" s="52">
        <f t="shared" si="10"/>
        <v>0.08</v>
      </c>
      <c r="K41" s="50">
        <v>4.45</v>
      </c>
      <c r="L41" s="50">
        <v>3.86</v>
      </c>
      <c r="M41" s="50">
        <f t="shared" si="11"/>
        <v>0.59</v>
      </c>
      <c r="N41" s="50">
        <v>9.51</v>
      </c>
      <c r="O41" s="50">
        <v>9.01</v>
      </c>
      <c r="P41" s="50">
        <v>6.07</v>
      </c>
      <c r="Q41" s="50">
        <v>7.16</v>
      </c>
      <c r="R41" s="50">
        <v>966.8</v>
      </c>
      <c r="S41" s="50">
        <v>-933.3</v>
      </c>
      <c r="T41" s="50">
        <v>-222.85</v>
      </c>
      <c r="U41" s="50" t="s">
        <v>2481</v>
      </c>
      <c r="V41" s="50" t="s">
        <v>590</v>
      </c>
      <c r="W41" s="53" t="s">
        <v>266</v>
      </c>
    </row>
    <row r="42" spans="1:23" ht="15" customHeight="1" x14ac:dyDescent="0.25">
      <c r="A42" s="50" t="s">
        <v>2514</v>
      </c>
      <c r="B42" s="50" t="s">
        <v>1754</v>
      </c>
      <c r="C42" s="50">
        <v>300</v>
      </c>
      <c r="D42" s="51">
        <v>131732.07</v>
      </c>
      <c r="E42" s="51">
        <v>100216.59</v>
      </c>
      <c r="F42" s="50">
        <f t="shared" si="6"/>
        <v>31515.48</v>
      </c>
      <c r="G42" s="51">
        <f t="shared" si="7"/>
        <v>945.46</v>
      </c>
      <c r="H42" s="52">
        <f t="shared" si="8"/>
        <v>0.3</v>
      </c>
      <c r="I42" s="51">
        <f t="shared" si="9"/>
        <v>3999.31</v>
      </c>
      <c r="J42" s="52">
        <f t="shared" si="10"/>
        <v>1.05</v>
      </c>
      <c r="K42" s="50">
        <v>8.33</v>
      </c>
      <c r="L42" s="50">
        <v>4.0999999999999996</v>
      </c>
      <c r="M42" s="50">
        <f t="shared" si="11"/>
        <v>4.2300000000000004</v>
      </c>
      <c r="N42" s="50">
        <v>8.91</v>
      </c>
      <c r="O42" s="50">
        <v>8.41</v>
      </c>
      <c r="P42" s="50">
        <v>7.48</v>
      </c>
      <c r="Q42" s="50">
        <v>10.76</v>
      </c>
      <c r="R42" s="50">
        <v>639.02</v>
      </c>
      <c r="S42" s="50">
        <v>-572.4</v>
      </c>
      <c r="T42" s="50">
        <v>-167.23</v>
      </c>
      <c r="U42" s="50" t="s">
        <v>2465</v>
      </c>
      <c r="V42" s="50" t="s">
        <v>590</v>
      </c>
      <c r="W42" s="53" t="s">
        <v>266</v>
      </c>
    </row>
    <row r="43" spans="1:23" ht="15" customHeight="1" x14ac:dyDescent="0.25">
      <c r="A43" s="50" t="s">
        <v>2515</v>
      </c>
      <c r="B43" s="50" t="s">
        <v>2516</v>
      </c>
      <c r="C43" s="50">
        <v>-100</v>
      </c>
      <c r="D43" s="51">
        <v>125829.56</v>
      </c>
      <c r="E43" s="51">
        <v>177829.31</v>
      </c>
      <c r="F43" s="50">
        <f t="shared" si="6"/>
        <v>-51999.75</v>
      </c>
      <c r="G43" s="51">
        <f t="shared" si="7"/>
        <v>520</v>
      </c>
      <c r="H43" s="52">
        <f t="shared" si="8"/>
        <v>0.16</v>
      </c>
      <c r="I43" s="51">
        <f t="shared" si="9"/>
        <v>-1143.99</v>
      </c>
      <c r="J43" s="52">
        <f t="shared" si="10"/>
        <v>-0.3</v>
      </c>
      <c r="K43" s="50">
        <v>2.97</v>
      </c>
      <c r="L43" s="50">
        <v>5.17</v>
      </c>
      <c r="M43" s="50">
        <f t="shared" si="11"/>
        <v>-2.2000000000000002</v>
      </c>
      <c r="N43" s="50">
        <v>9.77</v>
      </c>
      <c r="O43" s="50">
        <v>9.27</v>
      </c>
      <c r="P43" s="50">
        <v>6.27</v>
      </c>
      <c r="Q43" s="50">
        <v>7.1</v>
      </c>
      <c r="R43" s="50">
        <v>-1086.0899999999999</v>
      </c>
      <c r="S43" s="50">
        <v>1090.47</v>
      </c>
      <c r="T43" s="50">
        <v>-224.49</v>
      </c>
      <c r="U43" s="50" t="s">
        <v>2472</v>
      </c>
      <c r="V43" s="50" t="s">
        <v>590</v>
      </c>
      <c r="W43" s="53" t="s">
        <v>266</v>
      </c>
    </row>
    <row r="44" spans="1:23" ht="15" customHeight="1" x14ac:dyDescent="0.25">
      <c r="A44" s="50" t="s">
        <v>2517</v>
      </c>
      <c r="B44" s="50" t="s">
        <v>2518</v>
      </c>
      <c r="C44" s="50">
        <v>100</v>
      </c>
      <c r="D44" s="51">
        <v>148507.41</v>
      </c>
      <c r="E44" s="51">
        <v>179441.02</v>
      </c>
      <c r="F44" s="50">
        <f t="shared" si="6"/>
        <v>-30933.61</v>
      </c>
      <c r="G44" s="51">
        <f t="shared" si="7"/>
        <v>-309.33999999999997</v>
      </c>
      <c r="H44" s="52">
        <f t="shared" si="8"/>
        <v>-0.1</v>
      </c>
      <c r="I44" s="51">
        <f t="shared" si="9"/>
        <v>-853.77</v>
      </c>
      <c r="J44" s="52">
        <f t="shared" si="10"/>
        <v>-0.22</v>
      </c>
      <c r="K44" s="50">
        <v>6.19</v>
      </c>
      <c r="L44" s="50">
        <v>3.43</v>
      </c>
      <c r="M44" s="50">
        <f t="shared" si="11"/>
        <v>2.76</v>
      </c>
      <c r="N44" s="50">
        <v>9.85</v>
      </c>
      <c r="O44" s="50">
        <v>9.35</v>
      </c>
      <c r="P44" s="50">
        <v>7.08</v>
      </c>
      <c r="Q44" s="50">
        <v>7.22</v>
      </c>
      <c r="R44" s="50">
        <v>-583.42999999999995</v>
      </c>
      <c r="S44" s="50">
        <v>672.56</v>
      </c>
      <c r="T44" s="50">
        <v>157.74</v>
      </c>
      <c r="U44" s="50" t="s">
        <v>2458</v>
      </c>
      <c r="V44" s="50" t="s">
        <v>590</v>
      </c>
      <c r="W44" s="53" t="s">
        <v>266</v>
      </c>
    </row>
    <row r="45" spans="1:23" ht="15" customHeight="1" x14ac:dyDescent="0.25">
      <c r="A45" s="50" t="s">
        <v>2519</v>
      </c>
      <c r="B45" s="50" t="s">
        <v>2009</v>
      </c>
      <c r="C45" s="50">
        <v>300</v>
      </c>
      <c r="D45" s="51">
        <v>160572.76</v>
      </c>
      <c r="E45" s="51">
        <v>136508.48000000001</v>
      </c>
      <c r="F45" s="50">
        <f t="shared" si="6"/>
        <v>24064.28</v>
      </c>
      <c r="G45" s="51">
        <f t="shared" si="7"/>
        <v>721.93</v>
      </c>
      <c r="H45" s="52">
        <f t="shared" si="8"/>
        <v>0.23</v>
      </c>
      <c r="I45" s="51">
        <f t="shared" si="9"/>
        <v>2822.74</v>
      </c>
      <c r="J45" s="52">
        <f t="shared" si="10"/>
        <v>0.74</v>
      </c>
      <c r="K45" s="50">
        <v>7.96</v>
      </c>
      <c r="L45" s="50">
        <v>4.05</v>
      </c>
      <c r="M45" s="50">
        <f t="shared" si="11"/>
        <v>3.91</v>
      </c>
      <c r="N45" s="50">
        <v>8.9600000000000009</v>
      </c>
      <c r="O45" s="50">
        <v>8.4600000000000009</v>
      </c>
      <c r="P45" s="50">
        <v>6.22</v>
      </c>
      <c r="Q45" s="50">
        <v>7.08</v>
      </c>
      <c r="R45" s="50">
        <v>496.42</v>
      </c>
      <c r="S45" s="50">
        <v>-459.61</v>
      </c>
      <c r="T45" s="50">
        <v>140.77000000000001</v>
      </c>
      <c r="U45" s="50" t="s">
        <v>2481</v>
      </c>
      <c r="V45" s="50" t="s">
        <v>590</v>
      </c>
      <c r="W45" s="53" t="s">
        <v>266</v>
      </c>
    </row>
    <row r="46" spans="1:23" ht="15" customHeight="1" x14ac:dyDescent="0.25">
      <c r="A46" s="50" t="s">
        <v>2520</v>
      </c>
      <c r="B46" s="50" t="s">
        <v>1555</v>
      </c>
      <c r="C46" s="50">
        <v>100</v>
      </c>
      <c r="D46" s="51">
        <v>106978.97</v>
      </c>
      <c r="E46" s="51">
        <v>147990.94</v>
      </c>
      <c r="F46" s="50">
        <f t="shared" si="6"/>
        <v>-41011.97</v>
      </c>
      <c r="G46" s="51">
        <f t="shared" si="7"/>
        <v>-410.12</v>
      </c>
      <c r="H46" s="52">
        <f t="shared" si="8"/>
        <v>-0.13</v>
      </c>
      <c r="I46" s="51">
        <f t="shared" si="9"/>
        <v>-32.81</v>
      </c>
      <c r="J46" s="52">
        <f t="shared" si="10"/>
        <v>-0.01</v>
      </c>
      <c r="K46" s="50">
        <v>3.83</v>
      </c>
      <c r="L46" s="50">
        <v>3.75</v>
      </c>
      <c r="M46" s="50">
        <f t="shared" si="11"/>
        <v>0.08</v>
      </c>
      <c r="N46" s="50">
        <v>9.74</v>
      </c>
      <c r="O46" s="50">
        <v>9.24</v>
      </c>
      <c r="P46" s="50">
        <v>6.83</v>
      </c>
      <c r="Q46" s="50">
        <v>9.07</v>
      </c>
      <c r="R46" s="50">
        <v>-842.35</v>
      </c>
      <c r="S46" s="50">
        <v>792.15</v>
      </c>
      <c r="T46" s="50">
        <v>227.87</v>
      </c>
      <c r="U46" s="50" t="s">
        <v>2481</v>
      </c>
      <c r="V46" s="50" t="s">
        <v>590</v>
      </c>
      <c r="W46" s="53" t="s">
        <v>266</v>
      </c>
    </row>
    <row r="47" spans="1:23" ht="15" customHeight="1" x14ac:dyDescent="0.25">
      <c r="A47" s="50" t="s">
        <v>2521</v>
      </c>
      <c r="B47" s="50" t="s">
        <v>2522</v>
      </c>
      <c r="C47" s="50">
        <v>200</v>
      </c>
      <c r="D47" s="51">
        <v>118357.14</v>
      </c>
      <c r="E47" s="51">
        <v>160489.16</v>
      </c>
      <c r="F47" s="50">
        <f t="shared" si="6"/>
        <v>-42132.02</v>
      </c>
      <c r="G47" s="51">
        <f t="shared" si="7"/>
        <v>-842.64</v>
      </c>
      <c r="H47" s="52">
        <f t="shared" si="8"/>
        <v>-0.26</v>
      </c>
      <c r="I47" s="51">
        <f t="shared" si="9"/>
        <v>1204.98</v>
      </c>
      <c r="J47" s="52">
        <f t="shared" si="10"/>
        <v>0.32</v>
      </c>
      <c r="K47" s="50">
        <v>3.41</v>
      </c>
      <c r="L47" s="50">
        <v>4.84</v>
      </c>
      <c r="M47" s="50">
        <f t="shared" si="11"/>
        <v>-1.43</v>
      </c>
      <c r="N47" s="50">
        <v>9.35</v>
      </c>
      <c r="O47" s="50">
        <v>8.85</v>
      </c>
      <c r="P47" s="50">
        <v>6.6</v>
      </c>
      <c r="Q47" s="50">
        <v>7.77</v>
      </c>
      <c r="R47" s="50">
        <v>-801.47</v>
      </c>
      <c r="S47" s="50">
        <v>763.81</v>
      </c>
      <c r="T47" s="50">
        <v>312.16000000000003</v>
      </c>
      <c r="U47" s="50" t="s">
        <v>2481</v>
      </c>
      <c r="V47" s="50" t="s">
        <v>590</v>
      </c>
      <c r="W47" s="53" t="s">
        <v>266</v>
      </c>
    </row>
    <row r="48" spans="1:23" ht="15" customHeight="1" x14ac:dyDescent="0.25">
      <c r="A48" s="50" t="s">
        <v>2523</v>
      </c>
      <c r="B48" s="50" t="s">
        <v>1768</v>
      </c>
      <c r="C48" s="50">
        <v>300</v>
      </c>
      <c r="D48" s="51">
        <v>147359.09</v>
      </c>
      <c r="E48" s="51">
        <v>107982.91</v>
      </c>
      <c r="F48" s="50">
        <f t="shared" si="6"/>
        <v>39376.18</v>
      </c>
      <c r="G48" s="51">
        <f t="shared" si="7"/>
        <v>1181.29</v>
      </c>
      <c r="H48" s="52">
        <f t="shared" si="8"/>
        <v>0.37</v>
      </c>
      <c r="I48" s="51">
        <f t="shared" si="9"/>
        <v>-1984.56</v>
      </c>
      <c r="J48" s="52">
        <f t="shared" si="10"/>
        <v>-0.52</v>
      </c>
      <c r="K48" s="50">
        <v>3.75</v>
      </c>
      <c r="L48" s="50">
        <v>5.43</v>
      </c>
      <c r="M48" s="50">
        <f t="shared" si="11"/>
        <v>-1.68</v>
      </c>
      <c r="N48" s="50">
        <v>9.1300000000000008</v>
      </c>
      <c r="O48" s="50">
        <v>8.6300000000000008</v>
      </c>
      <c r="P48" s="50">
        <v>5.88</v>
      </c>
      <c r="Q48" s="50">
        <v>8.42</v>
      </c>
      <c r="R48" s="50">
        <v>713.43</v>
      </c>
      <c r="S48" s="50">
        <v>-807.19</v>
      </c>
      <c r="T48" s="50">
        <v>183.77</v>
      </c>
      <c r="U48" s="50" t="s">
        <v>2458</v>
      </c>
      <c r="V48" s="50" t="s">
        <v>590</v>
      </c>
      <c r="W48" s="53" t="s">
        <v>266</v>
      </c>
    </row>
    <row r="49" spans="1:23" ht="15" customHeight="1" x14ac:dyDescent="0.25">
      <c r="A49" s="50" t="s">
        <v>2524</v>
      </c>
      <c r="B49" s="50" t="s">
        <v>1519</v>
      </c>
      <c r="C49" s="50">
        <v>200</v>
      </c>
      <c r="D49" s="51">
        <v>129847.16</v>
      </c>
      <c r="E49" s="51">
        <v>154143.42000000001</v>
      </c>
      <c r="F49" s="50">
        <f t="shared" si="6"/>
        <v>-24296.26</v>
      </c>
      <c r="G49" s="51">
        <f t="shared" si="7"/>
        <v>-485.93</v>
      </c>
      <c r="H49" s="52">
        <f t="shared" si="8"/>
        <v>-0.15</v>
      </c>
      <c r="I49" s="51">
        <f t="shared" si="9"/>
        <v>-2298.4299999999998</v>
      </c>
      <c r="J49" s="52">
        <f t="shared" si="10"/>
        <v>-0.6</v>
      </c>
      <c r="K49" s="50">
        <v>7.01</v>
      </c>
      <c r="L49" s="50">
        <v>2.2799999999999998</v>
      </c>
      <c r="M49" s="50">
        <f t="shared" si="11"/>
        <v>4.7300000000000004</v>
      </c>
      <c r="N49" s="50">
        <v>9.76</v>
      </c>
      <c r="O49" s="50">
        <v>9.26</v>
      </c>
      <c r="P49" s="50">
        <v>7.97</v>
      </c>
      <c r="Q49" s="50">
        <v>8.69</v>
      </c>
      <c r="R49" s="50">
        <v>-450.13</v>
      </c>
      <c r="S49" s="50">
        <v>496.34</v>
      </c>
      <c r="T49" s="50">
        <v>179.76</v>
      </c>
      <c r="U49" s="50" t="s">
        <v>2465</v>
      </c>
      <c r="V49" s="50" t="s">
        <v>590</v>
      </c>
      <c r="W49" s="53" t="s">
        <v>266</v>
      </c>
    </row>
    <row r="50" spans="1:23" ht="15" customHeight="1" x14ac:dyDescent="0.25">
      <c r="A50" s="50" t="s">
        <v>2525</v>
      </c>
      <c r="B50" s="50" t="s">
        <v>2526</v>
      </c>
      <c r="C50" s="50">
        <v>100</v>
      </c>
      <c r="D50" s="51">
        <v>105356.62</v>
      </c>
      <c r="E50" s="51">
        <v>82169.600000000006</v>
      </c>
      <c r="F50" s="50">
        <f t="shared" si="6"/>
        <v>23187.02</v>
      </c>
      <c r="G50" s="51">
        <f t="shared" si="7"/>
        <v>231.87</v>
      </c>
      <c r="H50" s="52">
        <f t="shared" si="8"/>
        <v>7.0000000000000007E-2</v>
      </c>
      <c r="I50" s="51">
        <f t="shared" si="9"/>
        <v>-150.72</v>
      </c>
      <c r="J50" s="52">
        <f t="shared" si="10"/>
        <v>-0.04</v>
      </c>
      <c r="K50" s="50">
        <v>4.24</v>
      </c>
      <c r="L50" s="50">
        <v>4.8899999999999997</v>
      </c>
      <c r="M50" s="50">
        <f t="shared" si="11"/>
        <v>-0.65</v>
      </c>
      <c r="N50" s="50">
        <v>9.8000000000000007</v>
      </c>
      <c r="O50" s="50">
        <v>9.3000000000000007</v>
      </c>
      <c r="P50" s="50">
        <v>7.95</v>
      </c>
      <c r="Q50" s="50">
        <v>11.41</v>
      </c>
      <c r="R50" s="50">
        <v>455.26</v>
      </c>
      <c r="S50" s="50">
        <v>-487.05</v>
      </c>
      <c r="T50" s="50">
        <v>131.53</v>
      </c>
      <c r="U50" s="50" t="s">
        <v>2465</v>
      </c>
      <c r="V50" s="50" t="s">
        <v>590</v>
      </c>
      <c r="W50" s="53" t="s">
        <v>266</v>
      </c>
    </row>
    <row r="51" spans="1:23" ht="15" customHeight="1" x14ac:dyDescent="0.25">
      <c r="A51" s="50" t="s">
        <v>2527</v>
      </c>
      <c r="B51" s="50" t="s">
        <v>1340</v>
      </c>
      <c r="C51" s="50">
        <v>200</v>
      </c>
      <c r="D51" s="51">
        <v>155633.07999999999</v>
      </c>
      <c r="E51" s="51">
        <v>143065.79999999999</v>
      </c>
      <c r="F51" s="50">
        <f t="shared" si="6"/>
        <v>12567.28</v>
      </c>
      <c r="G51" s="51">
        <f t="shared" si="7"/>
        <v>251.35</v>
      </c>
      <c r="H51" s="52">
        <f t="shared" si="8"/>
        <v>0.08</v>
      </c>
      <c r="I51" s="51">
        <f t="shared" si="9"/>
        <v>696.23</v>
      </c>
      <c r="J51" s="52">
        <f t="shared" si="10"/>
        <v>0.18</v>
      </c>
      <c r="K51" s="50">
        <v>6.62</v>
      </c>
      <c r="L51" s="50">
        <v>3.85</v>
      </c>
      <c r="M51" s="50">
        <f t="shared" si="11"/>
        <v>2.77</v>
      </c>
      <c r="N51" s="50">
        <v>9.58</v>
      </c>
      <c r="O51" s="50">
        <v>9.08</v>
      </c>
      <c r="P51" s="50">
        <v>6.51</v>
      </c>
      <c r="Q51" s="50">
        <v>9.4</v>
      </c>
      <c r="R51" s="50">
        <v>269.39999999999998</v>
      </c>
      <c r="S51" s="50">
        <v>-251.09</v>
      </c>
      <c r="T51" s="50">
        <v>73.59</v>
      </c>
      <c r="U51" s="50" t="s">
        <v>2474</v>
      </c>
      <c r="V51" s="50" t="s">
        <v>590</v>
      </c>
      <c r="W51" s="53" t="s">
        <v>266</v>
      </c>
    </row>
    <row r="52" spans="1:23" ht="15" customHeight="1" x14ac:dyDescent="0.25">
      <c r="A52" s="50" t="s">
        <v>2528</v>
      </c>
      <c r="B52" s="50" t="s">
        <v>1529</v>
      </c>
      <c r="C52" s="50">
        <v>-100</v>
      </c>
      <c r="D52" s="51">
        <v>128006.52</v>
      </c>
      <c r="E52" s="51">
        <v>70367.11</v>
      </c>
      <c r="F52" s="50">
        <f t="shared" si="6"/>
        <v>57639.41</v>
      </c>
      <c r="G52" s="51">
        <f t="shared" si="7"/>
        <v>-576.39</v>
      </c>
      <c r="H52" s="52">
        <f t="shared" si="8"/>
        <v>-0.18</v>
      </c>
      <c r="I52" s="51">
        <f t="shared" si="9"/>
        <v>-1758</v>
      </c>
      <c r="J52" s="52">
        <f t="shared" si="10"/>
        <v>-0.46</v>
      </c>
      <c r="K52" s="50">
        <v>7.48</v>
      </c>
      <c r="L52" s="50">
        <v>4.43</v>
      </c>
      <c r="M52" s="50">
        <f t="shared" si="11"/>
        <v>3.05</v>
      </c>
      <c r="N52" s="50">
        <v>9.6199999999999992</v>
      </c>
      <c r="O52" s="50">
        <v>9.1199999999999992</v>
      </c>
      <c r="P52" s="50">
        <v>7.05</v>
      </c>
      <c r="Q52" s="50">
        <v>7.44</v>
      </c>
      <c r="R52" s="50">
        <v>1262.1300000000001</v>
      </c>
      <c r="S52" s="50">
        <v>-1132.1099999999999</v>
      </c>
      <c r="T52" s="50">
        <v>-377.29</v>
      </c>
      <c r="U52" s="50" t="s">
        <v>2481</v>
      </c>
      <c r="V52" s="50" t="s">
        <v>590</v>
      </c>
      <c r="W52" s="53" t="s">
        <v>266</v>
      </c>
    </row>
    <row r="53" spans="1:23" ht="15" customHeight="1" x14ac:dyDescent="0.25">
      <c r="A53" s="50" t="s">
        <v>2529</v>
      </c>
      <c r="B53" s="50" t="s">
        <v>1278</v>
      </c>
      <c r="C53" s="50">
        <v>300</v>
      </c>
      <c r="D53" s="51">
        <v>199869.19</v>
      </c>
      <c r="E53" s="51">
        <v>135952.5</v>
      </c>
      <c r="F53" s="50">
        <f t="shared" si="6"/>
        <v>63916.69</v>
      </c>
      <c r="G53" s="51">
        <f t="shared" si="7"/>
        <v>1917.5</v>
      </c>
      <c r="H53" s="52">
        <f t="shared" si="8"/>
        <v>0.6</v>
      </c>
      <c r="I53" s="51">
        <f t="shared" si="9"/>
        <v>3144.7</v>
      </c>
      <c r="J53" s="52">
        <f t="shared" si="10"/>
        <v>0.83</v>
      </c>
      <c r="K53" s="50">
        <v>6.89</v>
      </c>
      <c r="L53" s="50">
        <v>5.25</v>
      </c>
      <c r="M53" s="50">
        <f t="shared" si="11"/>
        <v>1.64</v>
      </c>
      <c r="N53" s="50">
        <v>9.0500000000000007</v>
      </c>
      <c r="O53" s="50">
        <v>8.5500000000000007</v>
      </c>
      <c r="P53" s="50">
        <v>5.75</v>
      </c>
      <c r="Q53" s="50">
        <v>9.56</v>
      </c>
      <c r="R53" s="50">
        <v>1325.47</v>
      </c>
      <c r="S53" s="50">
        <v>-1393.86</v>
      </c>
      <c r="T53" s="50">
        <v>261.48</v>
      </c>
      <c r="U53" s="50" t="s">
        <v>2458</v>
      </c>
      <c r="V53" s="50" t="s">
        <v>590</v>
      </c>
      <c r="W53" s="53" t="s">
        <v>266</v>
      </c>
    </row>
    <row r="54" spans="1:23" ht="15" customHeight="1" x14ac:dyDescent="0.25">
      <c r="A54" s="50" t="s">
        <v>2530</v>
      </c>
      <c r="B54" s="50" t="s">
        <v>1820</v>
      </c>
      <c r="C54" s="50">
        <v>300</v>
      </c>
      <c r="D54" s="51">
        <v>183612.59</v>
      </c>
      <c r="E54" s="51">
        <v>163533.99</v>
      </c>
      <c r="F54" s="50">
        <f t="shared" si="6"/>
        <v>20078.599999999999</v>
      </c>
      <c r="G54" s="51">
        <f t="shared" si="7"/>
        <v>602.36</v>
      </c>
      <c r="H54" s="52">
        <f t="shared" si="8"/>
        <v>0.19</v>
      </c>
      <c r="I54" s="51">
        <f t="shared" si="9"/>
        <v>487.91</v>
      </c>
      <c r="J54" s="52">
        <f t="shared" si="10"/>
        <v>0.13</v>
      </c>
      <c r="K54" s="50">
        <v>3.47</v>
      </c>
      <c r="L54" s="50">
        <v>2.66</v>
      </c>
      <c r="M54" s="50">
        <f t="shared" si="11"/>
        <v>0.81</v>
      </c>
      <c r="N54" s="50">
        <v>9.99</v>
      </c>
      <c r="O54" s="50">
        <v>9.49</v>
      </c>
      <c r="P54" s="50">
        <v>5.53</v>
      </c>
      <c r="Q54" s="50">
        <v>11.22</v>
      </c>
      <c r="R54" s="50">
        <v>387.33</v>
      </c>
      <c r="S54" s="50">
        <v>-384.95</v>
      </c>
      <c r="T54" s="50">
        <v>-152.15</v>
      </c>
      <c r="U54" s="50" t="s">
        <v>2474</v>
      </c>
      <c r="V54" s="50" t="s">
        <v>590</v>
      </c>
      <c r="W54" s="53" t="s">
        <v>266</v>
      </c>
    </row>
    <row r="55" spans="1:23" ht="15" customHeight="1" x14ac:dyDescent="0.25">
      <c r="A55" s="50" t="s">
        <v>2531</v>
      </c>
      <c r="B55" s="50" t="s">
        <v>945</v>
      </c>
      <c r="C55" s="50">
        <v>300</v>
      </c>
      <c r="D55" s="51">
        <v>135103.15</v>
      </c>
      <c r="E55" s="51">
        <v>145203.82</v>
      </c>
      <c r="F55" s="50">
        <f t="shared" si="6"/>
        <v>-10100.67</v>
      </c>
      <c r="G55" s="51">
        <f t="shared" si="7"/>
        <v>-303.02</v>
      </c>
      <c r="H55" s="52">
        <f t="shared" si="8"/>
        <v>-0.09</v>
      </c>
      <c r="I55" s="51">
        <f t="shared" si="9"/>
        <v>-930.27</v>
      </c>
      <c r="J55" s="52">
        <f t="shared" si="10"/>
        <v>-0.24</v>
      </c>
      <c r="K55" s="50">
        <v>5.16</v>
      </c>
      <c r="L55" s="50">
        <v>2.09</v>
      </c>
      <c r="M55" s="50">
        <f t="shared" si="11"/>
        <v>3.07</v>
      </c>
      <c r="N55" s="50">
        <v>8.8000000000000007</v>
      </c>
      <c r="O55" s="50">
        <v>8.3000000000000007</v>
      </c>
      <c r="P55" s="50">
        <v>6.38</v>
      </c>
      <c r="Q55" s="50">
        <v>9.89</v>
      </c>
      <c r="R55" s="50">
        <v>-217.05</v>
      </c>
      <c r="S55" s="50">
        <v>218.53</v>
      </c>
      <c r="T55" s="50">
        <v>50.3</v>
      </c>
      <c r="U55" s="50" t="s">
        <v>2470</v>
      </c>
      <c r="V55" s="50" t="s">
        <v>590</v>
      </c>
      <c r="W55" s="53" t="s">
        <v>266</v>
      </c>
    </row>
    <row r="56" spans="1:23" ht="15" customHeight="1" x14ac:dyDescent="0.25">
      <c r="A56" s="50" t="s">
        <v>2532</v>
      </c>
      <c r="B56" s="50" t="s">
        <v>2533</v>
      </c>
      <c r="C56" s="50">
        <v>-200</v>
      </c>
      <c r="D56" s="51">
        <v>161842.82999999999</v>
      </c>
      <c r="E56" s="51">
        <v>114698.14</v>
      </c>
      <c r="F56" s="50">
        <f t="shared" si="6"/>
        <v>47144.69</v>
      </c>
      <c r="G56" s="51">
        <f t="shared" si="7"/>
        <v>-942.89</v>
      </c>
      <c r="H56" s="52">
        <f t="shared" si="8"/>
        <v>-0.28999999999999998</v>
      </c>
      <c r="I56" s="51">
        <f t="shared" si="9"/>
        <v>-2357.23</v>
      </c>
      <c r="J56" s="52">
        <f t="shared" si="10"/>
        <v>-0.62</v>
      </c>
      <c r="K56" s="50">
        <v>5.62</v>
      </c>
      <c r="L56" s="50">
        <v>3.12</v>
      </c>
      <c r="M56" s="50">
        <f t="shared" si="11"/>
        <v>2.5</v>
      </c>
      <c r="N56" s="50">
        <v>9.16</v>
      </c>
      <c r="O56" s="50">
        <v>8.66</v>
      </c>
      <c r="P56" s="50">
        <v>7.35</v>
      </c>
      <c r="Q56" s="50">
        <v>11.31</v>
      </c>
      <c r="R56" s="50">
        <v>871.42</v>
      </c>
      <c r="S56" s="50">
        <v>-995.05</v>
      </c>
      <c r="T56" s="50">
        <v>-310.61</v>
      </c>
      <c r="U56" s="50" t="s">
        <v>2465</v>
      </c>
      <c r="V56" s="50" t="s">
        <v>590</v>
      </c>
      <c r="W56" s="53" t="s">
        <v>266</v>
      </c>
    </row>
    <row r="57" spans="1:23" ht="15" customHeight="1" x14ac:dyDescent="0.25">
      <c r="A57" s="50" t="s">
        <v>2534</v>
      </c>
      <c r="B57" s="50" t="s">
        <v>2209</v>
      </c>
      <c r="C57" s="50">
        <v>300</v>
      </c>
      <c r="D57" s="51">
        <v>179330.46</v>
      </c>
      <c r="E57" s="51">
        <v>76576.490000000005</v>
      </c>
      <c r="F57" s="50">
        <f t="shared" si="6"/>
        <v>102753.97</v>
      </c>
      <c r="G57" s="51">
        <f t="shared" si="7"/>
        <v>3082.62</v>
      </c>
      <c r="H57" s="52">
        <f t="shared" si="8"/>
        <v>0.96</v>
      </c>
      <c r="I57" s="51">
        <f t="shared" si="9"/>
        <v>8138.11</v>
      </c>
      <c r="J57" s="52">
        <f t="shared" si="10"/>
        <v>2.14</v>
      </c>
      <c r="K57" s="50">
        <v>7.37</v>
      </c>
      <c r="L57" s="50">
        <v>4.7300000000000004</v>
      </c>
      <c r="M57" s="50">
        <f t="shared" si="11"/>
        <v>2.64</v>
      </c>
      <c r="N57" s="50">
        <v>9.73</v>
      </c>
      <c r="O57" s="50">
        <v>9.23</v>
      </c>
      <c r="P57" s="50">
        <v>5.12</v>
      </c>
      <c r="Q57" s="50">
        <v>8.8000000000000007</v>
      </c>
      <c r="R57" s="50">
        <v>2108.21</v>
      </c>
      <c r="S57" s="50">
        <v>-2030.44</v>
      </c>
      <c r="T57" s="50">
        <v>-734.66</v>
      </c>
      <c r="U57" s="50" t="s">
        <v>2465</v>
      </c>
      <c r="V57" s="50" t="s">
        <v>590</v>
      </c>
      <c r="W57" s="53" t="s">
        <v>266</v>
      </c>
    </row>
    <row r="58" spans="1:23" ht="15" customHeight="1" x14ac:dyDescent="0.25">
      <c r="A58" s="50" t="s">
        <v>2535</v>
      </c>
      <c r="B58" s="50" t="s">
        <v>2100</v>
      </c>
      <c r="C58" s="50">
        <v>100</v>
      </c>
      <c r="D58" s="51">
        <v>170952.85</v>
      </c>
      <c r="E58" s="51">
        <v>133779.32</v>
      </c>
      <c r="F58" s="50">
        <f t="shared" si="6"/>
        <v>37173.53</v>
      </c>
      <c r="G58" s="51">
        <f t="shared" si="7"/>
        <v>371.74</v>
      </c>
      <c r="H58" s="52">
        <f t="shared" si="8"/>
        <v>0.12</v>
      </c>
      <c r="I58" s="51">
        <f t="shared" si="9"/>
        <v>1115.21</v>
      </c>
      <c r="J58" s="52">
        <f t="shared" si="10"/>
        <v>0.28999999999999998</v>
      </c>
      <c r="K58" s="50">
        <v>7.25</v>
      </c>
      <c r="L58" s="50">
        <v>4.25</v>
      </c>
      <c r="M58" s="50">
        <f t="shared" si="11"/>
        <v>3</v>
      </c>
      <c r="N58" s="50">
        <v>9.1199999999999992</v>
      </c>
      <c r="O58" s="50">
        <v>8.6199999999999992</v>
      </c>
      <c r="P58" s="50">
        <v>6.97</v>
      </c>
      <c r="Q58" s="50">
        <v>7.64</v>
      </c>
      <c r="R58" s="50">
        <v>787.42</v>
      </c>
      <c r="S58" s="50">
        <v>-700.36</v>
      </c>
      <c r="T58" s="50">
        <v>-163.13999999999999</v>
      </c>
      <c r="U58" s="50" t="s">
        <v>2474</v>
      </c>
      <c r="V58" s="50" t="s">
        <v>590</v>
      </c>
      <c r="W58" s="53" t="s">
        <v>266</v>
      </c>
    </row>
    <row r="59" spans="1:23" ht="15" customHeight="1" x14ac:dyDescent="0.25">
      <c r="A59" s="50" t="s">
        <v>2536</v>
      </c>
      <c r="B59" s="50" t="s">
        <v>919</v>
      </c>
      <c r="C59" s="50">
        <v>300</v>
      </c>
      <c r="D59" s="51">
        <v>170300.3</v>
      </c>
      <c r="E59" s="51">
        <v>153267.85999999999</v>
      </c>
      <c r="F59" s="50">
        <f t="shared" si="6"/>
        <v>17032.439999999999</v>
      </c>
      <c r="G59" s="51">
        <f t="shared" si="7"/>
        <v>510.97</v>
      </c>
      <c r="H59" s="52">
        <f t="shared" si="8"/>
        <v>0.16</v>
      </c>
      <c r="I59" s="51">
        <f t="shared" si="9"/>
        <v>229.94</v>
      </c>
      <c r="J59" s="52">
        <f t="shared" si="10"/>
        <v>0.06</v>
      </c>
      <c r="K59" s="50">
        <v>4.55</v>
      </c>
      <c r="L59" s="50">
        <v>4.0999999999999996</v>
      </c>
      <c r="M59" s="50">
        <f t="shared" si="11"/>
        <v>0.45</v>
      </c>
      <c r="N59" s="50">
        <v>9.06</v>
      </c>
      <c r="O59" s="50">
        <v>8.56</v>
      </c>
      <c r="P59" s="50">
        <v>6.35</v>
      </c>
      <c r="Q59" s="50">
        <v>8.16</v>
      </c>
      <c r="R59" s="50">
        <v>347.08</v>
      </c>
      <c r="S59" s="50">
        <v>-358.45</v>
      </c>
      <c r="T59" s="50">
        <v>78.209999999999994</v>
      </c>
      <c r="U59" s="50" t="s">
        <v>2472</v>
      </c>
      <c r="V59" s="50" t="s">
        <v>590</v>
      </c>
      <c r="W59" s="53" t="s">
        <v>266</v>
      </c>
    </row>
    <row r="60" spans="1:23" ht="15" customHeight="1" x14ac:dyDescent="0.25">
      <c r="A60" s="50" t="s">
        <v>2537</v>
      </c>
      <c r="B60" s="50" t="s">
        <v>2538</v>
      </c>
      <c r="C60" s="50">
        <v>100</v>
      </c>
      <c r="D60" s="51">
        <v>185620.47</v>
      </c>
      <c r="E60" s="51">
        <v>131989.34</v>
      </c>
      <c r="F60" s="50">
        <f t="shared" si="6"/>
        <v>53631.13</v>
      </c>
      <c r="G60" s="51">
        <f t="shared" si="7"/>
        <v>536.30999999999995</v>
      </c>
      <c r="H60" s="52">
        <f t="shared" si="8"/>
        <v>0.17</v>
      </c>
      <c r="I60" s="51">
        <f t="shared" si="9"/>
        <v>2359.77</v>
      </c>
      <c r="J60" s="52">
        <f t="shared" si="10"/>
        <v>0.62</v>
      </c>
      <c r="K60" s="50">
        <v>6.78</v>
      </c>
      <c r="L60" s="50">
        <v>2.38</v>
      </c>
      <c r="M60" s="50">
        <f t="shared" si="11"/>
        <v>4.4000000000000004</v>
      </c>
      <c r="N60" s="50">
        <v>9.7200000000000006</v>
      </c>
      <c r="O60" s="50">
        <v>9.2200000000000006</v>
      </c>
      <c r="P60" s="50">
        <v>6.7</v>
      </c>
      <c r="Q60" s="50">
        <v>8.3699999999999992</v>
      </c>
      <c r="R60" s="50">
        <v>1109.8</v>
      </c>
      <c r="S60" s="50">
        <v>-998.49</v>
      </c>
      <c r="T60" s="50">
        <v>-387.26</v>
      </c>
      <c r="U60" s="50" t="s">
        <v>2458</v>
      </c>
      <c r="V60" s="50" t="s">
        <v>590</v>
      </c>
      <c r="W60" s="53" t="s">
        <v>266</v>
      </c>
    </row>
    <row r="61" spans="1:23" ht="15" customHeight="1" x14ac:dyDescent="0.25">
      <c r="A61" s="50" t="s">
        <v>2539</v>
      </c>
      <c r="B61" s="50" t="s">
        <v>2516</v>
      </c>
      <c r="C61" s="50">
        <v>100</v>
      </c>
      <c r="D61" s="51">
        <v>183097.72</v>
      </c>
      <c r="E61" s="51">
        <v>98303.63</v>
      </c>
      <c r="F61" s="50">
        <f t="shared" si="6"/>
        <v>84794.09</v>
      </c>
      <c r="G61" s="51">
        <f t="shared" si="7"/>
        <v>847.94</v>
      </c>
      <c r="H61" s="52">
        <f t="shared" si="8"/>
        <v>0.26</v>
      </c>
      <c r="I61" s="51">
        <f t="shared" si="9"/>
        <v>-814.02</v>
      </c>
      <c r="J61" s="52">
        <f t="shared" si="10"/>
        <v>-0.21</v>
      </c>
      <c r="K61" s="50">
        <v>3.87</v>
      </c>
      <c r="L61" s="50">
        <v>4.83</v>
      </c>
      <c r="M61" s="50">
        <f t="shared" si="11"/>
        <v>-0.96</v>
      </c>
      <c r="N61" s="50">
        <v>9.49</v>
      </c>
      <c r="O61" s="50">
        <v>8.99</v>
      </c>
      <c r="P61" s="50">
        <v>5.45</v>
      </c>
      <c r="Q61" s="50">
        <v>7.05</v>
      </c>
      <c r="R61" s="50">
        <v>1770.89</v>
      </c>
      <c r="S61" s="50">
        <v>-1779.14</v>
      </c>
      <c r="T61" s="50">
        <v>677.04</v>
      </c>
      <c r="U61" s="50" t="s">
        <v>2470</v>
      </c>
      <c r="V61" s="50" t="s">
        <v>590</v>
      </c>
      <c r="W61" s="53" t="s">
        <v>266</v>
      </c>
    </row>
    <row r="62" spans="1:23" ht="15" customHeight="1" x14ac:dyDescent="0.25">
      <c r="A62" s="50" t="s">
        <v>2540</v>
      </c>
      <c r="B62" s="50" t="s">
        <v>1294</v>
      </c>
      <c r="C62" s="50">
        <v>-100</v>
      </c>
      <c r="D62" s="51">
        <v>196688.4</v>
      </c>
      <c r="E62" s="51">
        <v>140823.67000000001</v>
      </c>
      <c r="F62" s="50">
        <f t="shared" si="6"/>
        <v>55864.73</v>
      </c>
      <c r="G62" s="51">
        <f t="shared" si="7"/>
        <v>-558.65</v>
      </c>
      <c r="H62" s="52">
        <f t="shared" si="8"/>
        <v>-0.17</v>
      </c>
      <c r="I62" s="51">
        <f t="shared" si="9"/>
        <v>-1547.45</v>
      </c>
      <c r="J62" s="52">
        <f t="shared" si="10"/>
        <v>-0.41</v>
      </c>
      <c r="K62" s="50">
        <v>6.02</v>
      </c>
      <c r="L62" s="50">
        <v>3.25</v>
      </c>
      <c r="M62" s="50">
        <f t="shared" si="11"/>
        <v>2.77</v>
      </c>
      <c r="N62" s="50">
        <v>9.39</v>
      </c>
      <c r="O62" s="50">
        <v>8.89</v>
      </c>
      <c r="P62" s="50">
        <v>6.13</v>
      </c>
      <c r="Q62" s="50">
        <v>11.17</v>
      </c>
      <c r="R62" s="50">
        <v>1200.1500000000001</v>
      </c>
      <c r="S62" s="50">
        <v>-1113.28</v>
      </c>
      <c r="T62" s="50">
        <v>331.61</v>
      </c>
      <c r="U62" s="50" t="s">
        <v>2460</v>
      </c>
      <c r="V62" s="50" t="s">
        <v>590</v>
      </c>
      <c r="W62" s="53" t="s">
        <v>266</v>
      </c>
    </row>
    <row r="63" spans="1:23" ht="15" customHeight="1" x14ac:dyDescent="0.25">
      <c r="A63" s="50" t="s">
        <v>2541</v>
      </c>
      <c r="B63" s="50" t="s">
        <v>2542</v>
      </c>
      <c r="C63" s="50">
        <v>-100</v>
      </c>
      <c r="D63" s="51">
        <v>121084.04</v>
      </c>
      <c r="E63" s="51">
        <v>104023.91</v>
      </c>
      <c r="F63" s="50">
        <f t="shared" si="6"/>
        <v>17060.13</v>
      </c>
      <c r="G63" s="51">
        <f t="shared" si="7"/>
        <v>-170.6</v>
      </c>
      <c r="H63" s="52">
        <f t="shared" si="8"/>
        <v>-0.05</v>
      </c>
      <c r="I63" s="51">
        <f t="shared" si="9"/>
        <v>-272.95999999999998</v>
      </c>
      <c r="J63" s="52">
        <f t="shared" si="10"/>
        <v>-7.0000000000000007E-2</v>
      </c>
      <c r="K63" s="50">
        <v>3.85</v>
      </c>
      <c r="L63" s="50">
        <v>2.25</v>
      </c>
      <c r="M63" s="50">
        <f t="shared" si="11"/>
        <v>1.6</v>
      </c>
      <c r="N63" s="50">
        <v>9.82</v>
      </c>
      <c r="O63" s="50">
        <v>9.32</v>
      </c>
      <c r="P63" s="50">
        <v>7.37</v>
      </c>
      <c r="Q63" s="50">
        <v>9.92</v>
      </c>
      <c r="R63" s="50">
        <v>341.12</v>
      </c>
      <c r="S63" s="50">
        <v>-345.94</v>
      </c>
      <c r="T63" s="50">
        <v>-111.82</v>
      </c>
      <c r="U63" s="50" t="s">
        <v>2470</v>
      </c>
      <c r="V63" s="50" t="s">
        <v>590</v>
      </c>
      <c r="W63" s="53" t="s">
        <v>266</v>
      </c>
    </row>
    <row r="64" spans="1:23" ht="15" customHeight="1" x14ac:dyDescent="0.25">
      <c r="A64" s="50" t="s">
        <v>2543</v>
      </c>
      <c r="B64" s="50" t="s">
        <v>1449</v>
      </c>
      <c r="C64" s="50">
        <v>100</v>
      </c>
      <c r="D64" s="51">
        <v>168965.34</v>
      </c>
      <c r="E64" s="51">
        <v>109991.64</v>
      </c>
      <c r="F64" s="50">
        <f t="shared" si="6"/>
        <v>58973.7</v>
      </c>
      <c r="G64" s="51">
        <f t="shared" si="7"/>
        <v>589.74</v>
      </c>
      <c r="H64" s="52">
        <f t="shared" si="8"/>
        <v>0.18</v>
      </c>
      <c r="I64" s="51">
        <f t="shared" si="9"/>
        <v>-660.51</v>
      </c>
      <c r="J64" s="52">
        <f t="shared" si="10"/>
        <v>-0.17</v>
      </c>
      <c r="K64" s="50">
        <v>2.7</v>
      </c>
      <c r="L64" s="50">
        <v>3.82</v>
      </c>
      <c r="M64" s="50">
        <f t="shared" si="11"/>
        <v>-1.1200000000000001</v>
      </c>
      <c r="N64" s="50">
        <v>10.119999999999999</v>
      </c>
      <c r="O64" s="50">
        <v>9.6199999999999992</v>
      </c>
      <c r="P64" s="50">
        <v>6.52</v>
      </c>
      <c r="Q64" s="50">
        <v>8.2200000000000006</v>
      </c>
      <c r="R64" s="50">
        <v>1261.24</v>
      </c>
      <c r="S64" s="50">
        <v>-1188.3699999999999</v>
      </c>
      <c r="T64" s="50">
        <v>-254.64</v>
      </c>
      <c r="U64" s="50" t="s">
        <v>2465</v>
      </c>
      <c r="V64" s="50" t="s">
        <v>590</v>
      </c>
      <c r="W64" s="53" t="s">
        <v>266</v>
      </c>
    </row>
    <row r="65" spans="1:23" ht="15" customHeight="1" x14ac:dyDescent="0.25">
      <c r="A65" s="50" t="s">
        <v>2544</v>
      </c>
      <c r="B65" s="50" t="s">
        <v>2545</v>
      </c>
      <c r="C65" s="50">
        <v>300</v>
      </c>
      <c r="D65" s="51">
        <v>109756.63</v>
      </c>
      <c r="E65" s="51">
        <v>98167.93</v>
      </c>
      <c r="F65" s="50">
        <f t="shared" si="6"/>
        <v>11588.7</v>
      </c>
      <c r="G65" s="51">
        <f t="shared" si="7"/>
        <v>347.66</v>
      </c>
      <c r="H65" s="52">
        <f t="shared" si="8"/>
        <v>0.11</v>
      </c>
      <c r="I65" s="51">
        <f t="shared" si="9"/>
        <v>987.36</v>
      </c>
      <c r="J65" s="52">
        <f t="shared" si="10"/>
        <v>0.26</v>
      </c>
      <c r="K65" s="50">
        <v>6.94</v>
      </c>
      <c r="L65" s="50">
        <v>4.0999999999999996</v>
      </c>
      <c r="M65" s="50">
        <f t="shared" si="11"/>
        <v>2.84</v>
      </c>
      <c r="N65" s="50">
        <v>9.61</v>
      </c>
      <c r="O65" s="50">
        <v>9.11</v>
      </c>
      <c r="P65" s="50">
        <v>5.74</v>
      </c>
      <c r="Q65" s="50">
        <v>10.1</v>
      </c>
      <c r="R65" s="50">
        <v>216.82</v>
      </c>
      <c r="S65" s="50">
        <v>-254</v>
      </c>
      <c r="T65" s="50">
        <v>58.67</v>
      </c>
      <c r="U65" s="50" t="s">
        <v>2458</v>
      </c>
      <c r="V65" s="50" t="s">
        <v>590</v>
      </c>
      <c r="W65" s="53" t="s">
        <v>266</v>
      </c>
    </row>
    <row r="66" spans="1:23" ht="15" customHeight="1" x14ac:dyDescent="0.25">
      <c r="A66" s="50" t="s">
        <v>2546</v>
      </c>
      <c r="B66" s="50" t="s">
        <v>2196</v>
      </c>
      <c r="C66" s="50">
        <v>100</v>
      </c>
      <c r="D66" s="51">
        <v>168000.47</v>
      </c>
      <c r="E66" s="51">
        <v>170921.35</v>
      </c>
      <c r="F66" s="50">
        <f t="shared" si="6"/>
        <v>-2920.88</v>
      </c>
      <c r="G66" s="51">
        <f t="shared" si="7"/>
        <v>-29.21</v>
      </c>
      <c r="H66" s="52">
        <f t="shared" si="8"/>
        <v>-0.01</v>
      </c>
      <c r="I66" s="51">
        <f t="shared" si="9"/>
        <v>-185.18</v>
      </c>
      <c r="J66" s="52">
        <f t="shared" si="10"/>
        <v>-0.05</v>
      </c>
      <c r="K66" s="50">
        <v>7.94</v>
      </c>
      <c r="L66" s="50">
        <v>1.6</v>
      </c>
      <c r="M66" s="50">
        <f t="shared" si="11"/>
        <v>6.34</v>
      </c>
      <c r="N66" s="50">
        <v>9.01</v>
      </c>
      <c r="O66" s="50">
        <v>8.51</v>
      </c>
      <c r="P66" s="50">
        <v>5.62</v>
      </c>
      <c r="Q66" s="50">
        <v>8.1</v>
      </c>
      <c r="R66" s="50">
        <v>-58</v>
      </c>
      <c r="S66" s="50">
        <v>58.85</v>
      </c>
      <c r="T66" s="50">
        <v>-20.81</v>
      </c>
      <c r="U66" s="50" t="s">
        <v>2458</v>
      </c>
      <c r="V66" s="50" t="s">
        <v>590</v>
      </c>
      <c r="W66" s="53" t="s">
        <v>266</v>
      </c>
    </row>
    <row r="67" spans="1:23" ht="15" customHeight="1" x14ac:dyDescent="0.25">
      <c r="A67" s="50" t="s">
        <v>2547</v>
      </c>
      <c r="B67" s="50" t="s">
        <v>706</v>
      </c>
      <c r="C67" s="50">
        <v>-100</v>
      </c>
      <c r="D67" s="51">
        <v>103571.1</v>
      </c>
      <c r="E67" s="51">
        <v>82804.7</v>
      </c>
      <c r="F67" s="50">
        <f t="shared" ref="F67:F98" si="12">ROUND(D67-E67,2)</f>
        <v>20766.400000000001</v>
      </c>
      <c r="G67" s="51">
        <f t="shared" ref="G67:G98" si="13">ROUND(F67*C67/10000,2)</f>
        <v>-207.66</v>
      </c>
      <c r="H67" s="52">
        <f t="shared" ref="H67:H98" si="14">ROUND(G67/320000*100,2)</f>
        <v>-0.06</v>
      </c>
      <c r="I67" s="51">
        <f t="shared" ref="I67:I98" si="15">ROUND(F67*M67*C67/10000,2)</f>
        <v>-230.51</v>
      </c>
      <c r="J67" s="52">
        <f t="shared" ref="J67:J98" si="16">ROUND(I67/380000*100,2)</f>
        <v>-0.06</v>
      </c>
      <c r="K67" s="50">
        <v>3</v>
      </c>
      <c r="L67" s="50">
        <v>1.89</v>
      </c>
      <c r="M67" s="50">
        <f t="shared" ref="M67:M98" si="17">ROUND(K67-L67,2)</f>
        <v>1.1100000000000001</v>
      </c>
      <c r="N67" s="50">
        <v>9.42</v>
      </c>
      <c r="O67" s="50">
        <v>8.92</v>
      </c>
      <c r="P67" s="50">
        <v>5.64</v>
      </c>
      <c r="Q67" s="50">
        <v>9.19</v>
      </c>
      <c r="R67" s="50">
        <v>422.12</v>
      </c>
      <c r="S67" s="50">
        <v>-445.33</v>
      </c>
      <c r="T67" s="50">
        <v>92.33</v>
      </c>
      <c r="U67" s="50" t="s">
        <v>2462</v>
      </c>
      <c r="V67" s="50" t="s">
        <v>590</v>
      </c>
      <c r="W67" s="53" t="s">
        <v>266</v>
      </c>
    </row>
    <row r="68" spans="1:23" ht="15" customHeight="1" x14ac:dyDescent="0.25">
      <c r="A68" s="50" t="s">
        <v>2548</v>
      </c>
      <c r="B68" s="50" t="s">
        <v>2549</v>
      </c>
      <c r="C68" s="50">
        <v>100</v>
      </c>
      <c r="D68" s="51">
        <v>150672.51</v>
      </c>
      <c r="E68" s="51">
        <v>139842.57999999999</v>
      </c>
      <c r="F68" s="50">
        <f t="shared" si="12"/>
        <v>10829.93</v>
      </c>
      <c r="G68" s="51">
        <f t="shared" si="13"/>
        <v>108.3</v>
      </c>
      <c r="H68" s="52">
        <f t="shared" si="14"/>
        <v>0.03</v>
      </c>
      <c r="I68" s="51">
        <f t="shared" si="15"/>
        <v>168.95</v>
      </c>
      <c r="J68" s="52">
        <f t="shared" si="16"/>
        <v>0.04</v>
      </c>
      <c r="K68" s="50">
        <v>7.03</v>
      </c>
      <c r="L68" s="50">
        <v>5.47</v>
      </c>
      <c r="M68" s="50">
        <f t="shared" si="17"/>
        <v>1.56</v>
      </c>
      <c r="N68" s="50">
        <v>8.93</v>
      </c>
      <c r="O68" s="50">
        <v>8.43</v>
      </c>
      <c r="P68" s="50">
        <v>6.22</v>
      </c>
      <c r="Q68" s="50">
        <v>8.2200000000000006</v>
      </c>
      <c r="R68" s="50">
        <v>209.18</v>
      </c>
      <c r="S68" s="50">
        <v>-215.87</v>
      </c>
      <c r="T68" s="50">
        <v>55.61</v>
      </c>
      <c r="U68" s="50" t="s">
        <v>2460</v>
      </c>
      <c r="V68" s="50" t="s">
        <v>590</v>
      </c>
      <c r="W68" s="53" t="s">
        <v>266</v>
      </c>
    </row>
    <row r="69" spans="1:23" ht="15" customHeight="1" x14ac:dyDescent="0.25">
      <c r="A69" s="50" t="s">
        <v>2550</v>
      </c>
      <c r="B69" s="50" t="s">
        <v>1928</v>
      </c>
      <c r="C69" s="50">
        <v>300</v>
      </c>
      <c r="D69" s="51">
        <v>109882.64</v>
      </c>
      <c r="E69" s="51">
        <v>100281.72</v>
      </c>
      <c r="F69" s="50">
        <f t="shared" si="12"/>
        <v>9600.92</v>
      </c>
      <c r="G69" s="51">
        <f t="shared" si="13"/>
        <v>288.02999999999997</v>
      </c>
      <c r="H69" s="52">
        <f t="shared" si="14"/>
        <v>0.09</v>
      </c>
      <c r="I69" s="51">
        <f t="shared" si="15"/>
        <v>1002.34</v>
      </c>
      <c r="J69" s="52">
        <f t="shared" si="16"/>
        <v>0.26</v>
      </c>
      <c r="K69" s="50">
        <v>5.87</v>
      </c>
      <c r="L69" s="50">
        <v>2.39</v>
      </c>
      <c r="M69" s="50">
        <f t="shared" si="17"/>
        <v>3.48</v>
      </c>
      <c r="N69" s="50">
        <v>9.25</v>
      </c>
      <c r="O69" s="50">
        <v>8.75</v>
      </c>
      <c r="P69" s="50">
        <v>7.93</v>
      </c>
      <c r="Q69" s="50">
        <v>11.26</v>
      </c>
      <c r="R69" s="50">
        <v>173.07</v>
      </c>
      <c r="S69" s="50">
        <v>-207.13</v>
      </c>
      <c r="T69" s="50">
        <v>57.97</v>
      </c>
      <c r="U69" s="50" t="s">
        <v>2458</v>
      </c>
      <c r="V69" s="50" t="s">
        <v>590</v>
      </c>
      <c r="W69" s="53" t="s">
        <v>266</v>
      </c>
    </row>
    <row r="70" spans="1:23" ht="15" customHeight="1" x14ac:dyDescent="0.25">
      <c r="A70" s="50" t="s">
        <v>2551</v>
      </c>
      <c r="B70" s="50" t="s">
        <v>2397</v>
      </c>
      <c r="C70" s="50">
        <v>-100</v>
      </c>
      <c r="D70" s="51">
        <v>87867.14</v>
      </c>
      <c r="E70" s="51">
        <v>117521.64</v>
      </c>
      <c r="F70" s="50">
        <f t="shared" si="12"/>
        <v>-29654.5</v>
      </c>
      <c r="G70" s="51">
        <f t="shared" si="13"/>
        <v>296.55</v>
      </c>
      <c r="H70" s="52">
        <f t="shared" si="14"/>
        <v>0.09</v>
      </c>
      <c r="I70" s="51">
        <f t="shared" si="15"/>
        <v>-246.13</v>
      </c>
      <c r="J70" s="52">
        <f t="shared" si="16"/>
        <v>-0.06</v>
      </c>
      <c r="K70" s="50">
        <v>4.33</v>
      </c>
      <c r="L70" s="50">
        <v>5.16</v>
      </c>
      <c r="M70" s="50">
        <f t="shared" si="17"/>
        <v>-0.83</v>
      </c>
      <c r="N70" s="50">
        <v>9.25</v>
      </c>
      <c r="O70" s="50">
        <v>8.75</v>
      </c>
      <c r="P70" s="50">
        <v>6.91</v>
      </c>
      <c r="Q70" s="50">
        <v>9.42</v>
      </c>
      <c r="R70" s="50">
        <v>-556.74</v>
      </c>
      <c r="S70" s="50">
        <v>546.67999999999995</v>
      </c>
      <c r="T70" s="50">
        <v>-146.11000000000001</v>
      </c>
      <c r="U70" s="50" t="s">
        <v>2460</v>
      </c>
      <c r="V70" s="50" t="s">
        <v>590</v>
      </c>
      <c r="W70" s="53" t="s">
        <v>266</v>
      </c>
    </row>
    <row r="71" spans="1:23" ht="15" customHeight="1" x14ac:dyDescent="0.25">
      <c r="A71" s="50" t="s">
        <v>2552</v>
      </c>
      <c r="B71" s="50" t="s">
        <v>2553</v>
      </c>
      <c r="C71" s="50">
        <v>100</v>
      </c>
      <c r="D71" s="51">
        <v>118401.9</v>
      </c>
      <c r="E71" s="51">
        <v>128343.95</v>
      </c>
      <c r="F71" s="50">
        <f t="shared" si="12"/>
        <v>-9942.0499999999993</v>
      </c>
      <c r="G71" s="51">
        <f t="shared" si="13"/>
        <v>-99.42</v>
      </c>
      <c r="H71" s="52">
        <f t="shared" si="14"/>
        <v>-0.03</v>
      </c>
      <c r="I71" s="51">
        <f t="shared" si="15"/>
        <v>-76.55</v>
      </c>
      <c r="J71" s="52">
        <f t="shared" si="16"/>
        <v>-0.02</v>
      </c>
      <c r="K71" s="50">
        <v>3.12</v>
      </c>
      <c r="L71" s="50">
        <v>2.35</v>
      </c>
      <c r="M71" s="50">
        <f t="shared" si="17"/>
        <v>0.77</v>
      </c>
      <c r="N71" s="50">
        <v>9.5399999999999991</v>
      </c>
      <c r="O71" s="50">
        <v>9.0399999999999991</v>
      </c>
      <c r="P71" s="50">
        <v>6.71</v>
      </c>
      <c r="Q71" s="50">
        <v>7.7</v>
      </c>
      <c r="R71" s="50">
        <v>-186.59</v>
      </c>
      <c r="S71" s="50">
        <v>194.71</v>
      </c>
      <c r="T71" s="50">
        <v>46.6</v>
      </c>
      <c r="U71" s="50" t="s">
        <v>2460</v>
      </c>
      <c r="V71" s="50" t="s">
        <v>590</v>
      </c>
      <c r="W71" s="53" t="s">
        <v>266</v>
      </c>
    </row>
    <row r="72" spans="1:23" ht="15" customHeight="1" x14ac:dyDescent="0.25">
      <c r="A72" s="50" t="s">
        <v>2554</v>
      </c>
      <c r="B72" s="50" t="s">
        <v>648</v>
      </c>
      <c r="C72" s="50">
        <v>-100</v>
      </c>
      <c r="D72" s="51">
        <v>119081.75</v>
      </c>
      <c r="E72" s="51">
        <v>126811.29</v>
      </c>
      <c r="F72" s="50">
        <f t="shared" si="12"/>
        <v>-7729.54</v>
      </c>
      <c r="G72" s="51">
        <f t="shared" si="13"/>
        <v>77.3</v>
      </c>
      <c r="H72" s="52">
        <f t="shared" si="14"/>
        <v>0.02</v>
      </c>
      <c r="I72" s="51">
        <f t="shared" si="15"/>
        <v>128.31</v>
      </c>
      <c r="J72" s="52">
        <f t="shared" si="16"/>
        <v>0.03</v>
      </c>
      <c r="K72" s="50">
        <v>5.34</v>
      </c>
      <c r="L72" s="50">
        <v>3.68</v>
      </c>
      <c r="M72" s="50">
        <f t="shared" si="17"/>
        <v>1.66</v>
      </c>
      <c r="N72" s="50">
        <v>9.2100000000000009</v>
      </c>
      <c r="O72" s="50">
        <v>8.7100000000000009</v>
      </c>
      <c r="P72" s="50">
        <v>7.18</v>
      </c>
      <c r="Q72" s="50">
        <v>8.0299999999999994</v>
      </c>
      <c r="R72" s="50">
        <v>-153.72</v>
      </c>
      <c r="S72" s="50">
        <v>165.61</v>
      </c>
      <c r="T72" s="50">
        <v>40.31</v>
      </c>
      <c r="U72" s="50" t="s">
        <v>2472</v>
      </c>
      <c r="V72" s="50" t="s">
        <v>590</v>
      </c>
      <c r="W72" s="53" t="s">
        <v>266</v>
      </c>
    </row>
    <row r="73" spans="1:23" ht="15" customHeight="1" x14ac:dyDescent="0.25">
      <c r="A73" s="50" t="s">
        <v>2555</v>
      </c>
      <c r="B73" s="50" t="s">
        <v>1009</v>
      </c>
      <c r="C73" s="50">
        <v>200</v>
      </c>
      <c r="D73" s="51">
        <v>167205.16</v>
      </c>
      <c r="E73" s="51">
        <v>161215.44</v>
      </c>
      <c r="F73" s="50">
        <f t="shared" si="12"/>
        <v>5989.72</v>
      </c>
      <c r="G73" s="51">
        <f t="shared" si="13"/>
        <v>119.79</v>
      </c>
      <c r="H73" s="52">
        <f t="shared" si="14"/>
        <v>0.04</v>
      </c>
      <c r="I73" s="51">
        <f t="shared" si="15"/>
        <v>239.59</v>
      </c>
      <c r="J73" s="52">
        <f t="shared" si="16"/>
        <v>0.06</v>
      </c>
      <c r="K73" s="50">
        <v>4.3899999999999997</v>
      </c>
      <c r="L73" s="50">
        <v>2.39</v>
      </c>
      <c r="M73" s="50">
        <f t="shared" si="17"/>
        <v>2</v>
      </c>
      <c r="N73" s="50">
        <v>9.4600000000000009</v>
      </c>
      <c r="O73" s="50">
        <v>8.9600000000000009</v>
      </c>
      <c r="P73" s="50">
        <v>7.29</v>
      </c>
      <c r="Q73" s="50">
        <v>7.03</v>
      </c>
      <c r="R73" s="50">
        <v>109.14</v>
      </c>
      <c r="S73" s="50">
        <v>-117.61</v>
      </c>
      <c r="T73" s="50">
        <v>-39.43</v>
      </c>
      <c r="U73" s="50" t="s">
        <v>2481</v>
      </c>
      <c r="V73" s="50" t="s">
        <v>590</v>
      </c>
      <c r="W73" s="53" t="s">
        <v>266</v>
      </c>
    </row>
    <row r="74" spans="1:23" ht="15" customHeight="1" x14ac:dyDescent="0.25">
      <c r="A74" s="50" t="s">
        <v>2556</v>
      </c>
      <c r="B74" s="50" t="s">
        <v>2557</v>
      </c>
      <c r="C74" s="50">
        <v>100</v>
      </c>
      <c r="D74" s="51">
        <v>82337.55</v>
      </c>
      <c r="E74" s="51">
        <v>147477.28</v>
      </c>
      <c r="F74" s="50">
        <f t="shared" si="12"/>
        <v>-65139.73</v>
      </c>
      <c r="G74" s="51">
        <f t="shared" si="13"/>
        <v>-651.4</v>
      </c>
      <c r="H74" s="52">
        <f t="shared" si="14"/>
        <v>-0.2</v>
      </c>
      <c r="I74" s="51">
        <f t="shared" si="15"/>
        <v>312.67</v>
      </c>
      <c r="J74" s="52">
        <f t="shared" si="16"/>
        <v>0.08</v>
      </c>
      <c r="K74" s="50">
        <v>3.75</v>
      </c>
      <c r="L74" s="50">
        <v>4.2300000000000004</v>
      </c>
      <c r="M74" s="50">
        <f t="shared" si="17"/>
        <v>-0.48</v>
      </c>
      <c r="N74" s="50">
        <v>9</v>
      </c>
      <c r="O74" s="50">
        <v>8.5</v>
      </c>
      <c r="P74" s="50">
        <v>6.12</v>
      </c>
      <c r="Q74" s="50">
        <v>8.4499999999999993</v>
      </c>
      <c r="R74" s="50">
        <v>-1257.3800000000001</v>
      </c>
      <c r="S74" s="50">
        <v>1318.42</v>
      </c>
      <c r="T74" s="50">
        <v>312.52999999999997</v>
      </c>
      <c r="U74" s="50" t="s">
        <v>2481</v>
      </c>
      <c r="V74" s="50" t="s">
        <v>590</v>
      </c>
      <c r="W74" s="53" t="s">
        <v>266</v>
      </c>
    </row>
    <row r="75" spans="1:23" ht="15" customHeight="1" x14ac:dyDescent="0.25">
      <c r="A75" s="50" t="s">
        <v>2558</v>
      </c>
      <c r="B75" s="50" t="s">
        <v>2559</v>
      </c>
      <c r="C75" s="50">
        <v>300</v>
      </c>
      <c r="D75" s="51">
        <v>132812.38</v>
      </c>
      <c r="E75" s="51">
        <v>100135.93</v>
      </c>
      <c r="F75" s="50">
        <f t="shared" si="12"/>
        <v>32676.45</v>
      </c>
      <c r="G75" s="51">
        <f t="shared" si="13"/>
        <v>980.29</v>
      </c>
      <c r="H75" s="52">
        <f t="shared" si="14"/>
        <v>0.31</v>
      </c>
      <c r="I75" s="51">
        <f t="shared" si="15"/>
        <v>1205.76</v>
      </c>
      <c r="J75" s="52">
        <f t="shared" si="16"/>
        <v>0.32</v>
      </c>
      <c r="K75" s="50">
        <v>2.95</v>
      </c>
      <c r="L75" s="50">
        <v>1.72</v>
      </c>
      <c r="M75" s="50">
        <f t="shared" si="17"/>
        <v>1.23</v>
      </c>
      <c r="N75" s="50">
        <v>9.73</v>
      </c>
      <c r="O75" s="50">
        <v>9.23</v>
      </c>
      <c r="P75" s="50">
        <v>7.82</v>
      </c>
      <c r="Q75" s="50">
        <v>9.67</v>
      </c>
      <c r="R75" s="50">
        <v>690.29</v>
      </c>
      <c r="S75" s="50">
        <v>-639.16</v>
      </c>
      <c r="T75" s="50">
        <v>256.14999999999998</v>
      </c>
      <c r="U75" s="50" t="s">
        <v>2462</v>
      </c>
      <c r="V75" s="50" t="s">
        <v>590</v>
      </c>
      <c r="W75" s="53" t="s">
        <v>266</v>
      </c>
    </row>
    <row r="76" spans="1:23" ht="15" customHeight="1" x14ac:dyDescent="0.25">
      <c r="A76" s="50" t="s">
        <v>2560</v>
      </c>
      <c r="B76" s="50" t="s">
        <v>2561</v>
      </c>
      <c r="C76" s="50">
        <v>100</v>
      </c>
      <c r="D76" s="51">
        <v>198431.5</v>
      </c>
      <c r="E76" s="51">
        <v>134472.57999999999</v>
      </c>
      <c r="F76" s="50">
        <f t="shared" si="12"/>
        <v>63958.92</v>
      </c>
      <c r="G76" s="51">
        <f t="shared" si="13"/>
        <v>639.59</v>
      </c>
      <c r="H76" s="52">
        <f t="shared" si="14"/>
        <v>0.2</v>
      </c>
      <c r="I76" s="51">
        <f t="shared" si="15"/>
        <v>1029.74</v>
      </c>
      <c r="J76" s="52">
        <f t="shared" si="16"/>
        <v>0.27</v>
      </c>
      <c r="K76" s="50">
        <v>2.86</v>
      </c>
      <c r="L76" s="50">
        <v>1.25</v>
      </c>
      <c r="M76" s="50">
        <f t="shared" si="17"/>
        <v>1.61</v>
      </c>
      <c r="N76" s="50">
        <v>9.08</v>
      </c>
      <c r="O76" s="50">
        <v>8.58</v>
      </c>
      <c r="P76" s="50">
        <v>6.61</v>
      </c>
      <c r="Q76" s="50">
        <v>8.9700000000000006</v>
      </c>
      <c r="R76" s="50">
        <v>1179.67</v>
      </c>
      <c r="S76" s="50">
        <v>-1185.6199999999999</v>
      </c>
      <c r="T76" s="50">
        <v>447.67</v>
      </c>
      <c r="U76" s="50" t="s">
        <v>2472</v>
      </c>
      <c r="V76" s="50" t="s">
        <v>590</v>
      </c>
      <c r="W76" s="53" t="s">
        <v>266</v>
      </c>
    </row>
    <row r="77" spans="1:23" ht="15" customHeight="1" x14ac:dyDescent="0.25">
      <c r="A77" s="50" t="s">
        <v>2562</v>
      </c>
      <c r="B77" s="50" t="s">
        <v>1478</v>
      </c>
      <c r="C77" s="50">
        <v>-100</v>
      </c>
      <c r="D77" s="51">
        <v>184874.07</v>
      </c>
      <c r="E77" s="51">
        <v>134878.91</v>
      </c>
      <c r="F77" s="50">
        <f t="shared" si="12"/>
        <v>49995.16</v>
      </c>
      <c r="G77" s="51">
        <f t="shared" si="13"/>
        <v>-499.95</v>
      </c>
      <c r="H77" s="52">
        <f t="shared" si="14"/>
        <v>-0.16</v>
      </c>
      <c r="I77" s="51">
        <f t="shared" si="15"/>
        <v>-1204.8800000000001</v>
      </c>
      <c r="J77" s="52">
        <f t="shared" si="16"/>
        <v>-0.32</v>
      </c>
      <c r="K77" s="50">
        <v>5.94</v>
      </c>
      <c r="L77" s="50">
        <v>3.53</v>
      </c>
      <c r="M77" s="50">
        <f t="shared" si="17"/>
        <v>2.41</v>
      </c>
      <c r="N77" s="50">
        <v>9.25</v>
      </c>
      <c r="O77" s="50">
        <v>8.75</v>
      </c>
      <c r="P77" s="50">
        <v>5.98</v>
      </c>
      <c r="Q77" s="50">
        <v>9.4600000000000009</v>
      </c>
      <c r="R77" s="50">
        <v>1011.24</v>
      </c>
      <c r="S77" s="50">
        <v>-1063.3599999999999</v>
      </c>
      <c r="T77" s="50">
        <v>-337.88</v>
      </c>
      <c r="U77" s="50" t="s">
        <v>2472</v>
      </c>
      <c r="V77" s="50" t="s">
        <v>590</v>
      </c>
      <c r="W77" s="53" t="s">
        <v>266</v>
      </c>
    </row>
    <row r="78" spans="1:23" ht="15" customHeight="1" x14ac:dyDescent="0.25">
      <c r="A78" s="50" t="s">
        <v>2563</v>
      </c>
      <c r="B78" s="50" t="s">
        <v>1144</v>
      </c>
      <c r="C78" s="50">
        <v>200</v>
      </c>
      <c r="D78" s="51">
        <v>194864.02</v>
      </c>
      <c r="E78" s="51">
        <v>109735.26</v>
      </c>
      <c r="F78" s="50">
        <f t="shared" si="12"/>
        <v>85128.76</v>
      </c>
      <c r="G78" s="51">
        <f t="shared" si="13"/>
        <v>1702.58</v>
      </c>
      <c r="H78" s="52">
        <f t="shared" si="14"/>
        <v>0.53</v>
      </c>
      <c r="I78" s="51">
        <f t="shared" si="15"/>
        <v>4733.16</v>
      </c>
      <c r="J78" s="52">
        <f t="shared" si="16"/>
        <v>1.25</v>
      </c>
      <c r="K78" s="50">
        <v>7.14</v>
      </c>
      <c r="L78" s="50">
        <v>4.3600000000000003</v>
      </c>
      <c r="M78" s="50">
        <f t="shared" si="17"/>
        <v>2.78</v>
      </c>
      <c r="N78" s="50">
        <v>8.8699999999999992</v>
      </c>
      <c r="O78" s="50">
        <v>8.3699999999999992</v>
      </c>
      <c r="P78" s="50">
        <v>5.96</v>
      </c>
      <c r="Q78" s="50">
        <v>8.02</v>
      </c>
      <c r="R78" s="50">
        <v>1645.71</v>
      </c>
      <c r="S78" s="50">
        <v>-1763.07</v>
      </c>
      <c r="T78" s="50">
        <v>580.26</v>
      </c>
      <c r="U78" s="50" t="s">
        <v>2470</v>
      </c>
      <c r="V78" s="50" t="s">
        <v>590</v>
      </c>
      <c r="W78" s="53" t="s">
        <v>266</v>
      </c>
    </row>
    <row r="79" spans="1:23" ht="15" customHeight="1" x14ac:dyDescent="0.25">
      <c r="A79" s="50" t="s">
        <v>2564</v>
      </c>
      <c r="B79" s="50" t="s">
        <v>1868</v>
      </c>
      <c r="C79" s="50">
        <v>-200</v>
      </c>
      <c r="D79" s="51">
        <v>96832.39</v>
      </c>
      <c r="E79" s="51">
        <v>140646.43</v>
      </c>
      <c r="F79" s="50">
        <f t="shared" si="12"/>
        <v>-43814.04</v>
      </c>
      <c r="G79" s="51">
        <f t="shared" si="13"/>
        <v>876.28</v>
      </c>
      <c r="H79" s="52">
        <f t="shared" si="14"/>
        <v>0.27</v>
      </c>
      <c r="I79" s="51">
        <f t="shared" si="15"/>
        <v>376.8</v>
      </c>
      <c r="J79" s="52">
        <f t="shared" si="16"/>
        <v>0.1</v>
      </c>
      <c r="K79" s="50">
        <v>5.0599999999999996</v>
      </c>
      <c r="L79" s="50">
        <v>4.63</v>
      </c>
      <c r="M79" s="50">
        <f t="shared" si="17"/>
        <v>0.43</v>
      </c>
      <c r="N79" s="50">
        <v>9.86</v>
      </c>
      <c r="O79" s="50">
        <v>9.36</v>
      </c>
      <c r="P79" s="50">
        <v>7.5</v>
      </c>
      <c r="Q79" s="50">
        <v>7.27</v>
      </c>
      <c r="R79" s="50">
        <v>-854.11</v>
      </c>
      <c r="S79" s="50">
        <v>887.8</v>
      </c>
      <c r="T79" s="50">
        <v>-349.75</v>
      </c>
      <c r="U79" s="50" t="s">
        <v>2465</v>
      </c>
      <c r="V79" s="50" t="s">
        <v>590</v>
      </c>
      <c r="W79" s="53" t="s">
        <v>266</v>
      </c>
    </row>
    <row r="80" spans="1:23" ht="15" customHeight="1" x14ac:dyDescent="0.25">
      <c r="A80" s="50" t="s">
        <v>2565</v>
      </c>
      <c r="B80" s="50" t="s">
        <v>1705</v>
      </c>
      <c r="C80" s="50">
        <v>300</v>
      </c>
      <c r="D80" s="51">
        <v>113917.57</v>
      </c>
      <c r="E80" s="51">
        <v>106712.78</v>
      </c>
      <c r="F80" s="50">
        <f t="shared" si="12"/>
        <v>7204.79</v>
      </c>
      <c r="G80" s="51">
        <f t="shared" si="13"/>
        <v>216.14</v>
      </c>
      <c r="H80" s="52">
        <f t="shared" si="14"/>
        <v>7.0000000000000007E-2</v>
      </c>
      <c r="I80" s="51">
        <f t="shared" si="15"/>
        <v>337.18</v>
      </c>
      <c r="J80" s="52">
        <f t="shared" si="16"/>
        <v>0.09</v>
      </c>
      <c r="K80" s="50">
        <v>2.9</v>
      </c>
      <c r="L80" s="50">
        <v>1.34</v>
      </c>
      <c r="M80" s="50">
        <f t="shared" si="17"/>
        <v>1.56</v>
      </c>
      <c r="N80" s="50">
        <v>8.66</v>
      </c>
      <c r="O80" s="50">
        <v>8.16</v>
      </c>
      <c r="P80" s="50">
        <v>6.67</v>
      </c>
      <c r="Q80" s="50">
        <v>7.51</v>
      </c>
      <c r="R80" s="50">
        <v>152.69999999999999</v>
      </c>
      <c r="S80" s="50">
        <v>-154.08000000000001</v>
      </c>
      <c r="T80" s="50">
        <v>31.35</v>
      </c>
      <c r="U80" s="50" t="s">
        <v>2460</v>
      </c>
      <c r="V80" s="50" t="s">
        <v>590</v>
      </c>
      <c r="W80" s="53" t="s">
        <v>266</v>
      </c>
    </row>
    <row r="81" spans="1:23" ht="15" customHeight="1" x14ac:dyDescent="0.25">
      <c r="A81" s="50" t="s">
        <v>2566</v>
      </c>
      <c r="B81" s="50" t="s">
        <v>648</v>
      </c>
      <c r="C81" s="50">
        <v>100</v>
      </c>
      <c r="D81" s="51">
        <v>170228.88</v>
      </c>
      <c r="E81" s="51">
        <v>154382.68</v>
      </c>
      <c r="F81" s="50">
        <f t="shared" si="12"/>
        <v>15846.2</v>
      </c>
      <c r="G81" s="51">
        <f t="shared" si="13"/>
        <v>158.46</v>
      </c>
      <c r="H81" s="52">
        <f t="shared" si="14"/>
        <v>0.05</v>
      </c>
      <c r="I81" s="51">
        <f t="shared" si="15"/>
        <v>450.03</v>
      </c>
      <c r="J81" s="52">
        <f t="shared" si="16"/>
        <v>0.12</v>
      </c>
      <c r="K81" s="50">
        <v>5.09</v>
      </c>
      <c r="L81" s="50">
        <v>2.25</v>
      </c>
      <c r="M81" s="50">
        <f t="shared" si="17"/>
        <v>2.84</v>
      </c>
      <c r="N81" s="50">
        <v>9.27</v>
      </c>
      <c r="O81" s="50">
        <v>8.77</v>
      </c>
      <c r="P81" s="50">
        <v>7.64</v>
      </c>
      <c r="Q81" s="50">
        <v>10.33</v>
      </c>
      <c r="R81" s="50">
        <v>289.86</v>
      </c>
      <c r="S81" s="50">
        <v>-326.29000000000002</v>
      </c>
      <c r="T81" s="50">
        <v>84.92</v>
      </c>
      <c r="U81" s="50" t="s">
        <v>2470</v>
      </c>
      <c r="V81" s="50" t="s">
        <v>590</v>
      </c>
      <c r="W81" s="53" t="s">
        <v>266</v>
      </c>
    </row>
    <row r="82" spans="1:23" ht="15" customHeight="1" x14ac:dyDescent="0.25">
      <c r="A82" s="50" t="s">
        <v>2567</v>
      </c>
      <c r="B82" s="50" t="s">
        <v>2568</v>
      </c>
      <c r="C82" s="50">
        <v>200</v>
      </c>
      <c r="D82" s="51">
        <v>148968.54</v>
      </c>
      <c r="E82" s="51">
        <v>70698.94</v>
      </c>
      <c r="F82" s="50">
        <f t="shared" si="12"/>
        <v>78269.600000000006</v>
      </c>
      <c r="G82" s="51">
        <f t="shared" si="13"/>
        <v>1565.39</v>
      </c>
      <c r="H82" s="52">
        <f t="shared" si="14"/>
        <v>0.49</v>
      </c>
      <c r="I82" s="51">
        <f t="shared" si="15"/>
        <v>10002.85</v>
      </c>
      <c r="J82" s="52">
        <f t="shared" si="16"/>
        <v>2.63</v>
      </c>
      <c r="K82" s="50">
        <v>7.47</v>
      </c>
      <c r="L82" s="50">
        <v>1.08</v>
      </c>
      <c r="M82" s="50">
        <f t="shared" si="17"/>
        <v>6.39</v>
      </c>
      <c r="N82" s="50">
        <v>8.8800000000000008</v>
      </c>
      <c r="O82" s="50">
        <v>8.3800000000000008</v>
      </c>
      <c r="P82" s="50">
        <v>6.28</v>
      </c>
      <c r="Q82" s="50">
        <v>8.16</v>
      </c>
      <c r="R82" s="50">
        <v>1591.81</v>
      </c>
      <c r="S82" s="50">
        <v>-1649.23</v>
      </c>
      <c r="T82" s="50">
        <v>-479.75</v>
      </c>
      <c r="U82" s="50" t="s">
        <v>2474</v>
      </c>
      <c r="V82" s="50" t="s">
        <v>590</v>
      </c>
      <c r="W82" s="53" t="s">
        <v>266</v>
      </c>
    </row>
    <row r="83" spans="1:23" ht="15" customHeight="1" x14ac:dyDescent="0.25">
      <c r="A83" s="50" t="s">
        <v>2569</v>
      </c>
      <c r="B83" s="50" t="s">
        <v>2080</v>
      </c>
      <c r="C83" s="50">
        <v>200</v>
      </c>
      <c r="D83" s="51">
        <v>187189.22</v>
      </c>
      <c r="E83" s="51">
        <v>148639.49</v>
      </c>
      <c r="F83" s="50">
        <f t="shared" si="12"/>
        <v>38549.730000000003</v>
      </c>
      <c r="G83" s="51">
        <f t="shared" si="13"/>
        <v>770.99</v>
      </c>
      <c r="H83" s="52">
        <f t="shared" si="14"/>
        <v>0.24</v>
      </c>
      <c r="I83" s="51">
        <f t="shared" si="15"/>
        <v>3168.79</v>
      </c>
      <c r="J83" s="52">
        <f t="shared" si="16"/>
        <v>0.83</v>
      </c>
      <c r="K83" s="50">
        <v>5.96</v>
      </c>
      <c r="L83" s="50">
        <v>1.85</v>
      </c>
      <c r="M83" s="50">
        <f t="shared" si="17"/>
        <v>4.1100000000000003</v>
      </c>
      <c r="N83" s="50">
        <v>8.75</v>
      </c>
      <c r="O83" s="50">
        <v>8.25</v>
      </c>
      <c r="P83" s="50">
        <v>5.93</v>
      </c>
      <c r="Q83" s="50">
        <v>7.45</v>
      </c>
      <c r="R83" s="50">
        <v>786.71</v>
      </c>
      <c r="S83" s="50">
        <v>-824.15</v>
      </c>
      <c r="T83" s="50">
        <v>274.39</v>
      </c>
      <c r="U83" s="50" t="s">
        <v>2465</v>
      </c>
      <c r="V83" s="50" t="s">
        <v>590</v>
      </c>
      <c r="W83" s="53" t="s">
        <v>266</v>
      </c>
    </row>
    <row r="84" spans="1:23" ht="15" customHeight="1" x14ac:dyDescent="0.25">
      <c r="A84" s="50" t="s">
        <v>2570</v>
      </c>
      <c r="B84" s="50" t="s">
        <v>1095</v>
      </c>
      <c r="C84" s="50">
        <v>200</v>
      </c>
      <c r="D84" s="51">
        <v>184466.73</v>
      </c>
      <c r="E84" s="51">
        <v>172131.21</v>
      </c>
      <c r="F84" s="50">
        <f t="shared" si="12"/>
        <v>12335.52</v>
      </c>
      <c r="G84" s="51">
        <f t="shared" si="13"/>
        <v>246.71</v>
      </c>
      <c r="H84" s="52">
        <f t="shared" si="14"/>
        <v>0.08</v>
      </c>
      <c r="I84" s="51">
        <f t="shared" si="15"/>
        <v>1120.07</v>
      </c>
      <c r="J84" s="52">
        <f t="shared" si="16"/>
        <v>0.28999999999999998</v>
      </c>
      <c r="K84" s="50">
        <v>6.45</v>
      </c>
      <c r="L84" s="50">
        <v>1.91</v>
      </c>
      <c r="M84" s="50">
        <f t="shared" si="17"/>
        <v>4.54</v>
      </c>
      <c r="N84" s="50">
        <v>8.7799999999999994</v>
      </c>
      <c r="O84" s="50">
        <v>8.2799999999999994</v>
      </c>
      <c r="P84" s="50">
        <v>7.97</v>
      </c>
      <c r="Q84" s="50">
        <v>8.0500000000000007</v>
      </c>
      <c r="R84" s="50">
        <v>260.14999999999998</v>
      </c>
      <c r="S84" s="50">
        <v>-223.39</v>
      </c>
      <c r="T84" s="50">
        <v>92.65</v>
      </c>
      <c r="U84" s="50" t="s">
        <v>2474</v>
      </c>
      <c r="V84" s="50" t="s">
        <v>590</v>
      </c>
      <c r="W84" s="53" t="s">
        <v>266</v>
      </c>
    </row>
    <row r="85" spans="1:23" ht="15" customHeight="1" x14ac:dyDescent="0.25">
      <c r="A85" s="50" t="s">
        <v>2571</v>
      </c>
      <c r="B85" s="50" t="s">
        <v>2572</v>
      </c>
      <c r="C85" s="50">
        <v>200</v>
      </c>
      <c r="D85" s="51">
        <v>83050.87</v>
      </c>
      <c r="E85" s="51">
        <v>165428.60999999999</v>
      </c>
      <c r="F85" s="50">
        <f t="shared" si="12"/>
        <v>-82377.740000000005</v>
      </c>
      <c r="G85" s="51">
        <f t="shared" si="13"/>
        <v>-1647.55</v>
      </c>
      <c r="H85" s="52">
        <f t="shared" si="14"/>
        <v>-0.51</v>
      </c>
      <c r="I85" s="51">
        <f t="shared" si="15"/>
        <v>-9374.59</v>
      </c>
      <c r="J85" s="52">
        <f t="shared" si="16"/>
        <v>-2.4700000000000002</v>
      </c>
      <c r="K85" s="50">
        <v>7.63</v>
      </c>
      <c r="L85" s="50">
        <v>1.94</v>
      </c>
      <c r="M85" s="50">
        <f t="shared" si="17"/>
        <v>5.69</v>
      </c>
      <c r="N85" s="50">
        <v>8.58</v>
      </c>
      <c r="O85" s="50">
        <v>8.08</v>
      </c>
      <c r="P85" s="50">
        <v>6.32</v>
      </c>
      <c r="Q85" s="50">
        <v>7.89</v>
      </c>
      <c r="R85" s="50">
        <v>-1677.28</v>
      </c>
      <c r="S85" s="50">
        <v>1523.87</v>
      </c>
      <c r="T85" s="50">
        <v>648.89</v>
      </c>
      <c r="U85" s="50" t="s">
        <v>2481</v>
      </c>
      <c r="V85" s="50" t="s">
        <v>590</v>
      </c>
      <c r="W85" s="53" t="s">
        <v>266</v>
      </c>
    </row>
    <row r="86" spans="1:23" ht="15" customHeight="1" x14ac:dyDescent="0.25">
      <c r="A86" s="50" t="s">
        <v>2573</v>
      </c>
      <c r="B86" s="50" t="s">
        <v>2242</v>
      </c>
      <c r="C86" s="50">
        <v>100</v>
      </c>
      <c r="D86" s="51">
        <v>94443</v>
      </c>
      <c r="E86" s="51">
        <v>123801.93</v>
      </c>
      <c r="F86" s="50">
        <f t="shared" si="12"/>
        <v>-29358.93</v>
      </c>
      <c r="G86" s="51">
        <f t="shared" si="13"/>
        <v>-293.58999999999997</v>
      </c>
      <c r="H86" s="52">
        <f t="shared" si="14"/>
        <v>-0.09</v>
      </c>
      <c r="I86" s="51">
        <f t="shared" si="15"/>
        <v>-516.72</v>
      </c>
      <c r="J86" s="52">
        <f t="shared" si="16"/>
        <v>-0.14000000000000001</v>
      </c>
      <c r="K86" s="50">
        <v>6.13</v>
      </c>
      <c r="L86" s="50">
        <v>4.37</v>
      </c>
      <c r="M86" s="50">
        <f t="shared" si="17"/>
        <v>1.76</v>
      </c>
      <c r="N86" s="50">
        <v>9.0399999999999991</v>
      </c>
      <c r="O86" s="50">
        <v>8.5399999999999991</v>
      </c>
      <c r="P86" s="50">
        <v>5.57</v>
      </c>
      <c r="Q86" s="50">
        <v>11.43</v>
      </c>
      <c r="R86" s="50">
        <v>-570.72</v>
      </c>
      <c r="S86" s="50">
        <v>558.44000000000005</v>
      </c>
      <c r="T86" s="50">
        <v>-130.59</v>
      </c>
      <c r="U86" s="50" t="s">
        <v>2465</v>
      </c>
      <c r="V86" s="50" t="s">
        <v>590</v>
      </c>
      <c r="W86" s="53" t="s">
        <v>266</v>
      </c>
    </row>
    <row r="87" spans="1:23" ht="15" customHeight="1" x14ac:dyDescent="0.25">
      <c r="A87" s="50" t="s">
        <v>2574</v>
      </c>
      <c r="B87" s="50" t="s">
        <v>2575</v>
      </c>
      <c r="C87" s="50">
        <v>-200</v>
      </c>
      <c r="D87" s="51">
        <v>125603.5</v>
      </c>
      <c r="E87" s="51">
        <v>116201.53</v>
      </c>
      <c r="F87" s="50">
        <f t="shared" si="12"/>
        <v>9401.9699999999993</v>
      </c>
      <c r="G87" s="51">
        <f t="shared" si="13"/>
        <v>-188.04</v>
      </c>
      <c r="H87" s="52">
        <f t="shared" si="14"/>
        <v>-0.06</v>
      </c>
      <c r="I87" s="51">
        <f t="shared" si="15"/>
        <v>-1282.43</v>
      </c>
      <c r="J87" s="52">
        <f t="shared" si="16"/>
        <v>-0.34</v>
      </c>
      <c r="K87" s="50">
        <v>8.27</v>
      </c>
      <c r="L87" s="50">
        <v>1.45</v>
      </c>
      <c r="M87" s="50">
        <f t="shared" si="17"/>
        <v>6.82</v>
      </c>
      <c r="N87" s="50">
        <v>9.11</v>
      </c>
      <c r="O87" s="50">
        <v>8.61</v>
      </c>
      <c r="P87" s="50">
        <v>5.93</v>
      </c>
      <c r="Q87" s="50">
        <v>7.29</v>
      </c>
      <c r="R87" s="50">
        <v>177.86</v>
      </c>
      <c r="S87" s="50">
        <v>-195.61</v>
      </c>
      <c r="T87" s="50">
        <v>62.07</v>
      </c>
      <c r="U87" s="50" t="s">
        <v>2472</v>
      </c>
      <c r="V87" s="50" t="s">
        <v>590</v>
      </c>
      <c r="W87" s="53" t="s">
        <v>266</v>
      </c>
    </row>
    <row r="88" spans="1:23" ht="15" customHeight="1" x14ac:dyDescent="0.25">
      <c r="A88" s="50" t="s">
        <v>2576</v>
      </c>
      <c r="B88" s="50" t="s">
        <v>660</v>
      </c>
      <c r="C88" s="50">
        <v>-200</v>
      </c>
      <c r="D88" s="51">
        <v>194157.1</v>
      </c>
      <c r="E88" s="51">
        <v>100218.77</v>
      </c>
      <c r="F88" s="50">
        <f t="shared" si="12"/>
        <v>93938.33</v>
      </c>
      <c r="G88" s="51">
        <f t="shared" si="13"/>
        <v>-1878.77</v>
      </c>
      <c r="H88" s="52">
        <f t="shared" si="14"/>
        <v>-0.59</v>
      </c>
      <c r="I88" s="51">
        <f t="shared" si="15"/>
        <v>-7383.55</v>
      </c>
      <c r="J88" s="52">
        <f t="shared" si="16"/>
        <v>-1.94</v>
      </c>
      <c r="K88" s="50">
        <v>6.38</v>
      </c>
      <c r="L88" s="50">
        <v>2.4500000000000002</v>
      </c>
      <c r="M88" s="50">
        <f t="shared" si="17"/>
        <v>3.93</v>
      </c>
      <c r="N88" s="50">
        <v>8.74</v>
      </c>
      <c r="O88" s="50">
        <v>8.24</v>
      </c>
      <c r="P88" s="50">
        <v>5.75</v>
      </c>
      <c r="Q88" s="50">
        <v>9.5399999999999991</v>
      </c>
      <c r="R88" s="50">
        <v>1885.76</v>
      </c>
      <c r="S88" s="50">
        <v>-1743.58</v>
      </c>
      <c r="T88" s="50">
        <v>-552.29</v>
      </c>
      <c r="U88" s="50" t="s">
        <v>2460</v>
      </c>
      <c r="V88" s="50" t="s">
        <v>590</v>
      </c>
      <c r="W88" s="53" t="s">
        <v>266</v>
      </c>
    </row>
    <row r="89" spans="1:23" ht="15" customHeight="1" x14ac:dyDescent="0.25">
      <c r="A89" s="50" t="s">
        <v>2577</v>
      </c>
      <c r="B89" s="50" t="s">
        <v>2578</v>
      </c>
      <c r="C89" s="50">
        <v>100</v>
      </c>
      <c r="D89" s="51">
        <v>183961.41</v>
      </c>
      <c r="E89" s="51">
        <v>142704.74</v>
      </c>
      <c r="F89" s="50">
        <f t="shared" si="12"/>
        <v>41256.67</v>
      </c>
      <c r="G89" s="51">
        <f t="shared" si="13"/>
        <v>412.57</v>
      </c>
      <c r="H89" s="52">
        <f t="shared" si="14"/>
        <v>0.13</v>
      </c>
      <c r="I89" s="51">
        <f t="shared" si="15"/>
        <v>767.37</v>
      </c>
      <c r="J89" s="52">
        <f t="shared" si="16"/>
        <v>0.2</v>
      </c>
      <c r="K89" s="50">
        <v>4.7300000000000004</v>
      </c>
      <c r="L89" s="50">
        <v>2.87</v>
      </c>
      <c r="M89" s="50">
        <f t="shared" si="17"/>
        <v>1.86</v>
      </c>
      <c r="N89" s="50">
        <v>8.77</v>
      </c>
      <c r="O89" s="50">
        <v>8.27</v>
      </c>
      <c r="P89" s="50">
        <v>5.52</v>
      </c>
      <c r="Q89" s="50">
        <v>11.21</v>
      </c>
      <c r="R89" s="50">
        <v>865.06</v>
      </c>
      <c r="S89" s="50">
        <v>-876.34</v>
      </c>
      <c r="T89" s="50">
        <v>-195</v>
      </c>
      <c r="U89" s="50" t="s">
        <v>2460</v>
      </c>
      <c r="V89" s="50" t="s">
        <v>590</v>
      </c>
      <c r="W89" s="53" t="s">
        <v>266</v>
      </c>
    </row>
    <row r="90" spans="1:23" ht="15" customHeight="1" x14ac:dyDescent="0.25">
      <c r="A90" s="50" t="s">
        <v>2579</v>
      </c>
      <c r="B90" s="50" t="s">
        <v>2242</v>
      </c>
      <c r="C90" s="50">
        <v>-200</v>
      </c>
      <c r="D90" s="51">
        <v>139706.65</v>
      </c>
      <c r="E90" s="51">
        <v>103667.13</v>
      </c>
      <c r="F90" s="50">
        <f t="shared" si="12"/>
        <v>36039.519999999997</v>
      </c>
      <c r="G90" s="51">
        <f t="shared" si="13"/>
        <v>-720.79</v>
      </c>
      <c r="H90" s="52">
        <f t="shared" si="14"/>
        <v>-0.23</v>
      </c>
      <c r="I90" s="51">
        <f t="shared" si="15"/>
        <v>-836.12</v>
      </c>
      <c r="J90" s="52">
        <f t="shared" si="16"/>
        <v>-0.22</v>
      </c>
      <c r="K90" s="50">
        <v>6.25</v>
      </c>
      <c r="L90" s="50">
        <v>5.09</v>
      </c>
      <c r="M90" s="50">
        <f t="shared" si="17"/>
        <v>1.1599999999999999</v>
      </c>
      <c r="N90" s="50">
        <v>8.9499999999999993</v>
      </c>
      <c r="O90" s="50">
        <v>8.4499999999999993</v>
      </c>
      <c r="P90" s="50">
        <v>5.96</v>
      </c>
      <c r="Q90" s="50">
        <v>10.52</v>
      </c>
      <c r="R90" s="50">
        <v>652.82000000000005</v>
      </c>
      <c r="S90" s="50">
        <v>-716.54</v>
      </c>
      <c r="T90" s="50">
        <v>-250.11</v>
      </c>
      <c r="U90" s="50" t="s">
        <v>2470</v>
      </c>
      <c r="V90" s="50" t="s">
        <v>590</v>
      </c>
      <c r="W90" s="53" t="s">
        <v>266</v>
      </c>
    </row>
    <row r="91" spans="1:23" ht="15" customHeight="1" x14ac:dyDescent="0.25">
      <c r="A91" s="50" t="s">
        <v>2580</v>
      </c>
      <c r="B91" s="50" t="s">
        <v>983</v>
      </c>
      <c r="C91" s="50">
        <v>-200</v>
      </c>
      <c r="D91" s="51">
        <v>144736.99</v>
      </c>
      <c r="E91" s="51">
        <v>153875.25</v>
      </c>
      <c r="F91" s="50">
        <f t="shared" si="12"/>
        <v>-9138.26</v>
      </c>
      <c r="G91" s="51">
        <f t="shared" si="13"/>
        <v>182.77</v>
      </c>
      <c r="H91" s="52">
        <f t="shared" si="14"/>
        <v>0.06</v>
      </c>
      <c r="I91" s="51">
        <f t="shared" si="15"/>
        <v>928.45</v>
      </c>
      <c r="J91" s="52">
        <f t="shared" si="16"/>
        <v>0.24</v>
      </c>
      <c r="K91" s="50">
        <v>6.84</v>
      </c>
      <c r="L91" s="50">
        <v>1.76</v>
      </c>
      <c r="M91" s="50">
        <f t="shared" si="17"/>
        <v>5.08</v>
      </c>
      <c r="N91" s="50">
        <v>8.67</v>
      </c>
      <c r="O91" s="50">
        <v>8.17</v>
      </c>
      <c r="P91" s="50">
        <v>6.05</v>
      </c>
      <c r="Q91" s="50">
        <v>8</v>
      </c>
      <c r="R91" s="50">
        <v>-200.61</v>
      </c>
      <c r="S91" s="50">
        <v>168.6</v>
      </c>
      <c r="T91" s="50">
        <v>-53.94</v>
      </c>
      <c r="U91" s="50" t="s">
        <v>2481</v>
      </c>
      <c r="V91" s="50" t="s">
        <v>590</v>
      </c>
      <c r="W91" s="53" t="s">
        <v>266</v>
      </c>
    </row>
    <row r="92" spans="1:23" ht="15" customHeight="1" x14ac:dyDescent="0.25">
      <c r="A92" s="50" t="s">
        <v>2581</v>
      </c>
      <c r="B92" s="50" t="s">
        <v>2103</v>
      </c>
      <c r="C92" s="50">
        <v>300</v>
      </c>
      <c r="D92" s="51">
        <v>96128.65</v>
      </c>
      <c r="E92" s="51">
        <v>136359.82</v>
      </c>
      <c r="F92" s="50">
        <f t="shared" si="12"/>
        <v>-40231.17</v>
      </c>
      <c r="G92" s="51">
        <f t="shared" si="13"/>
        <v>-1206.94</v>
      </c>
      <c r="H92" s="52">
        <f t="shared" si="14"/>
        <v>-0.38</v>
      </c>
      <c r="I92" s="51">
        <f t="shared" si="15"/>
        <v>-4731.1899999999996</v>
      </c>
      <c r="J92" s="52">
        <f t="shared" si="16"/>
        <v>-1.25</v>
      </c>
      <c r="K92" s="50">
        <v>6.32</v>
      </c>
      <c r="L92" s="50">
        <v>2.4</v>
      </c>
      <c r="M92" s="50">
        <f t="shared" si="17"/>
        <v>3.92</v>
      </c>
      <c r="N92" s="50">
        <v>9.3000000000000007</v>
      </c>
      <c r="O92" s="50">
        <v>8.8000000000000007</v>
      </c>
      <c r="P92" s="50">
        <v>7.71</v>
      </c>
      <c r="Q92" s="50">
        <v>7.58</v>
      </c>
      <c r="R92" s="50">
        <v>-782.99</v>
      </c>
      <c r="S92" s="50">
        <v>822.91</v>
      </c>
      <c r="T92" s="50">
        <v>-276.2</v>
      </c>
      <c r="U92" s="50" t="s">
        <v>2465</v>
      </c>
      <c r="V92" s="50" t="s">
        <v>590</v>
      </c>
      <c r="W92" s="53" t="s">
        <v>266</v>
      </c>
    </row>
    <row r="93" spans="1:23" ht="15" customHeight="1" x14ac:dyDescent="0.25">
      <c r="A93" s="50" t="s">
        <v>2582</v>
      </c>
      <c r="B93" s="50" t="s">
        <v>1718</v>
      </c>
      <c r="C93" s="50">
        <v>100</v>
      </c>
      <c r="D93" s="51">
        <v>95099.96</v>
      </c>
      <c r="E93" s="51">
        <v>126620.74</v>
      </c>
      <c r="F93" s="50">
        <f t="shared" si="12"/>
        <v>-31520.78</v>
      </c>
      <c r="G93" s="51">
        <f t="shared" si="13"/>
        <v>-315.20999999999998</v>
      </c>
      <c r="H93" s="52">
        <f t="shared" si="14"/>
        <v>-0.1</v>
      </c>
      <c r="I93" s="51">
        <f t="shared" si="15"/>
        <v>-1793.53</v>
      </c>
      <c r="J93" s="52">
        <f t="shared" si="16"/>
        <v>-0.47</v>
      </c>
      <c r="K93" s="50">
        <v>7.33</v>
      </c>
      <c r="L93" s="50">
        <v>1.64</v>
      </c>
      <c r="M93" s="50">
        <f t="shared" si="17"/>
        <v>5.69</v>
      </c>
      <c r="N93" s="50">
        <v>9.6199999999999992</v>
      </c>
      <c r="O93" s="50">
        <v>9.1199999999999992</v>
      </c>
      <c r="P93" s="50">
        <v>7.23</v>
      </c>
      <c r="Q93" s="50">
        <v>10.23</v>
      </c>
      <c r="R93" s="50">
        <v>-679.2</v>
      </c>
      <c r="S93" s="50">
        <v>580.64</v>
      </c>
      <c r="T93" s="50">
        <v>154.61000000000001</v>
      </c>
      <c r="U93" s="50" t="s">
        <v>2472</v>
      </c>
      <c r="V93" s="50" t="s">
        <v>590</v>
      </c>
      <c r="W93" s="53" t="s">
        <v>266</v>
      </c>
    </row>
    <row r="94" spans="1:23" ht="15" customHeight="1" x14ac:dyDescent="0.25">
      <c r="A94" s="50" t="s">
        <v>2583</v>
      </c>
      <c r="B94" s="50" t="s">
        <v>2007</v>
      </c>
      <c r="C94" s="50">
        <v>100</v>
      </c>
      <c r="D94" s="51">
        <v>119435.09</v>
      </c>
      <c r="E94" s="51">
        <v>177135.24</v>
      </c>
      <c r="F94" s="50">
        <f t="shared" si="12"/>
        <v>-57700.15</v>
      </c>
      <c r="G94" s="51">
        <f t="shared" si="13"/>
        <v>-577</v>
      </c>
      <c r="H94" s="52">
        <f t="shared" si="14"/>
        <v>-0.18</v>
      </c>
      <c r="I94" s="51">
        <f t="shared" si="15"/>
        <v>-1829.09</v>
      </c>
      <c r="J94" s="52">
        <f t="shared" si="16"/>
        <v>-0.48</v>
      </c>
      <c r="K94" s="50">
        <v>6.51</v>
      </c>
      <c r="L94" s="50">
        <v>3.34</v>
      </c>
      <c r="M94" s="50">
        <f t="shared" si="17"/>
        <v>3.17</v>
      </c>
      <c r="N94" s="50">
        <v>9.48</v>
      </c>
      <c r="O94" s="50">
        <v>8.98</v>
      </c>
      <c r="P94" s="50">
        <v>7.65</v>
      </c>
      <c r="Q94" s="50">
        <v>10.42</v>
      </c>
      <c r="R94" s="50">
        <v>-1114.29</v>
      </c>
      <c r="S94" s="50">
        <v>1125.0999999999999</v>
      </c>
      <c r="T94" s="50">
        <v>264.32</v>
      </c>
      <c r="U94" s="50" t="s">
        <v>2460</v>
      </c>
      <c r="V94" s="50" t="s">
        <v>590</v>
      </c>
      <c r="W94" s="53" t="s">
        <v>266</v>
      </c>
    </row>
    <row r="95" spans="1:23" ht="15" customHeight="1" x14ac:dyDescent="0.25">
      <c r="A95" s="50" t="s">
        <v>2584</v>
      </c>
      <c r="B95" s="50" t="s">
        <v>1756</v>
      </c>
      <c r="C95" s="50">
        <v>-200</v>
      </c>
      <c r="D95" s="51">
        <v>175303.38</v>
      </c>
      <c r="E95" s="51">
        <v>177748.37</v>
      </c>
      <c r="F95" s="50">
        <f t="shared" si="12"/>
        <v>-2444.9899999999998</v>
      </c>
      <c r="G95" s="51">
        <f t="shared" si="13"/>
        <v>48.9</v>
      </c>
      <c r="H95" s="52">
        <f t="shared" si="14"/>
        <v>0.02</v>
      </c>
      <c r="I95" s="51">
        <f t="shared" si="15"/>
        <v>-62.1</v>
      </c>
      <c r="J95" s="52">
        <f t="shared" si="16"/>
        <v>-0.02</v>
      </c>
      <c r="K95" s="50">
        <v>2.59</v>
      </c>
      <c r="L95" s="50">
        <v>3.86</v>
      </c>
      <c r="M95" s="50">
        <f t="shared" si="17"/>
        <v>-1.27</v>
      </c>
      <c r="N95" s="50">
        <v>9.92</v>
      </c>
      <c r="O95" s="50">
        <v>9.42</v>
      </c>
      <c r="P95" s="50">
        <v>5.71</v>
      </c>
      <c r="Q95" s="50">
        <v>8.7899999999999991</v>
      </c>
      <c r="R95" s="50">
        <v>-49.6</v>
      </c>
      <c r="S95" s="50">
        <v>48.74</v>
      </c>
      <c r="T95" s="50">
        <v>-13.14</v>
      </c>
      <c r="U95" s="50" t="s">
        <v>2462</v>
      </c>
      <c r="V95" s="50" t="s">
        <v>590</v>
      </c>
      <c r="W95" s="53" t="s">
        <v>266</v>
      </c>
    </row>
    <row r="96" spans="1:23" ht="15" customHeight="1" x14ac:dyDescent="0.25">
      <c r="A96" s="50" t="s">
        <v>2585</v>
      </c>
      <c r="B96" s="50" t="s">
        <v>2229</v>
      </c>
      <c r="C96" s="50">
        <v>100</v>
      </c>
      <c r="D96" s="51">
        <v>134383.23000000001</v>
      </c>
      <c r="E96" s="51">
        <v>98908.51</v>
      </c>
      <c r="F96" s="50">
        <f t="shared" si="12"/>
        <v>35474.720000000001</v>
      </c>
      <c r="G96" s="51">
        <f t="shared" si="13"/>
        <v>354.75</v>
      </c>
      <c r="H96" s="52">
        <f t="shared" si="14"/>
        <v>0.11</v>
      </c>
      <c r="I96" s="51">
        <f t="shared" si="15"/>
        <v>280.25</v>
      </c>
      <c r="J96" s="52">
        <f t="shared" si="16"/>
        <v>7.0000000000000007E-2</v>
      </c>
      <c r="K96" s="50">
        <v>5.14</v>
      </c>
      <c r="L96" s="50">
        <v>4.3499999999999996</v>
      </c>
      <c r="M96" s="50">
        <f t="shared" si="17"/>
        <v>0.79</v>
      </c>
      <c r="N96" s="50">
        <v>9.61</v>
      </c>
      <c r="O96" s="50">
        <v>9.11</v>
      </c>
      <c r="P96" s="50">
        <v>6.54</v>
      </c>
      <c r="Q96" s="50">
        <v>8.52</v>
      </c>
      <c r="R96" s="50">
        <v>674.77</v>
      </c>
      <c r="S96" s="50">
        <v>-753.06</v>
      </c>
      <c r="T96" s="50">
        <v>211.05</v>
      </c>
      <c r="U96" s="50" t="s">
        <v>2460</v>
      </c>
      <c r="V96" s="50" t="s">
        <v>590</v>
      </c>
      <c r="W96" s="53" t="s">
        <v>266</v>
      </c>
    </row>
    <row r="97" spans="1:23" ht="15" customHeight="1" x14ac:dyDescent="0.25">
      <c r="A97" s="50" t="s">
        <v>2586</v>
      </c>
      <c r="B97" s="50" t="s">
        <v>875</v>
      </c>
      <c r="C97" s="50">
        <v>-100</v>
      </c>
      <c r="D97" s="51">
        <v>160161.51999999999</v>
      </c>
      <c r="E97" s="51">
        <v>107661.25</v>
      </c>
      <c r="F97" s="50">
        <f t="shared" si="12"/>
        <v>52500.27</v>
      </c>
      <c r="G97" s="51">
        <f t="shared" si="13"/>
        <v>-525</v>
      </c>
      <c r="H97" s="52">
        <f t="shared" si="14"/>
        <v>-0.16</v>
      </c>
      <c r="I97" s="51">
        <f t="shared" si="15"/>
        <v>-2273.2600000000002</v>
      </c>
      <c r="J97" s="52">
        <f t="shared" si="16"/>
        <v>-0.6</v>
      </c>
      <c r="K97" s="50">
        <v>5.61</v>
      </c>
      <c r="L97" s="50">
        <v>1.28</v>
      </c>
      <c r="M97" s="50">
        <f t="shared" si="17"/>
        <v>4.33</v>
      </c>
      <c r="N97" s="50">
        <v>9.1199999999999992</v>
      </c>
      <c r="O97" s="50">
        <v>8.6199999999999992</v>
      </c>
      <c r="P97" s="50">
        <v>6.93</v>
      </c>
      <c r="Q97" s="50">
        <v>11.34</v>
      </c>
      <c r="R97" s="50">
        <v>964.87</v>
      </c>
      <c r="S97" s="50">
        <v>-1149.77</v>
      </c>
      <c r="T97" s="50">
        <v>-384.32</v>
      </c>
      <c r="U97" s="50" t="s">
        <v>2460</v>
      </c>
      <c r="V97" s="50" t="s">
        <v>590</v>
      </c>
      <c r="W97" s="53" t="s">
        <v>266</v>
      </c>
    </row>
    <row r="98" spans="1:23" ht="15" customHeight="1" x14ac:dyDescent="0.25">
      <c r="A98" s="50" t="s">
        <v>2587</v>
      </c>
      <c r="B98" s="50" t="s">
        <v>2364</v>
      </c>
      <c r="C98" s="50">
        <v>100</v>
      </c>
      <c r="D98" s="51">
        <v>95155.91</v>
      </c>
      <c r="E98" s="51">
        <v>108238.67</v>
      </c>
      <c r="F98" s="50">
        <f t="shared" si="12"/>
        <v>-13082.76</v>
      </c>
      <c r="G98" s="51">
        <f t="shared" si="13"/>
        <v>-130.83000000000001</v>
      </c>
      <c r="H98" s="52">
        <f t="shared" si="14"/>
        <v>-0.04</v>
      </c>
      <c r="I98" s="51">
        <f t="shared" si="15"/>
        <v>-226.33</v>
      </c>
      <c r="J98" s="52">
        <f t="shared" si="16"/>
        <v>-0.06</v>
      </c>
      <c r="K98" s="50">
        <v>5.22</v>
      </c>
      <c r="L98" s="50">
        <v>3.49</v>
      </c>
      <c r="M98" s="50">
        <f t="shared" si="17"/>
        <v>1.73</v>
      </c>
      <c r="N98" s="50">
        <v>10.1</v>
      </c>
      <c r="O98" s="50">
        <v>9.6</v>
      </c>
      <c r="P98" s="50">
        <v>7.9</v>
      </c>
      <c r="Q98" s="50">
        <v>11.37</v>
      </c>
      <c r="R98" s="50">
        <v>-256.29000000000002</v>
      </c>
      <c r="S98" s="50">
        <v>284.75</v>
      </c>
      <c r="T98" s="50">
        <v>104.59</v>
      </c>
      <c r="U98" s="50" t="s">
        <v>2460</v>
      </c>
      <c r="V98" s="50" t="s">
        <v>590</v>
      </c>
      <c r="W98" s="53" t="s">
        <v>266</v>
      </c>
    </row>
    <row r="99" spans="1:23" ht="15" customHeight="1" x14ac:dyDescent="0.25">
      <c r="A99" s="50" t="s">
        <v>2588</v>
      </c>
      <c r="B99" s="50" t="s">
        <v>2589</v>
      </c>
      <c r="C99" s="50">
        <v>100</v>
      </c>
      <c r="D99" s="51">
        <v>173109.36</v>
      </c>
      <c r="E99" s="51">
        <v>91854.48</v>
      </c>
      <c r="F99" s="50">
        <f t="shared" ref="F99:F130" si="18">ROUND(D99-E99,2)</f>
        <v>81254.880000000005</v>
      </c>
      <c r="G99" s="51">
        <f t="shared" ref="G99:G130" si="19">ROUND(F99*C99/10000,2)</f>
        <v>812.55</v>
      </c>
      <c r="H99" s="52">
        <f t="shared" ref="H99:H130" si="20">ROUND(G99/320000*100,2)</f>
        <v>0.25</v>
      </c>
      <c r="I99" s="51">
        <f t="shared" ref="I99:I130" si="21">ROUND(F99*M99*C99/10000,2)</f>
        <v>2925.18</v>
      </c>
      <c r="J99" s="52">
        <f t="shared" ref="J99:J130" si="22">ROUND(I99/380000*100,2)</f>
        <v>0.77</v>
      </c>
      <c r="K99" s="50">
        <v>6.97</v>
      </c>
      <c r="L99" s="50">
        <v>3.37</v>
      </c>
      <c r="M99" s="50">
        <f t="shared" ref="M99:M130" si="23">ROUND(K99-L99,2)</f>
        <v>3.6</v>
      </c>
      <c r="N99" s="50">
        <v>9.83</v>
      </c>
      <c r="O99" s="50">
        <v>9.33</v>
      </c>
      <c r="P99" s="50">
        <v>6.69</v>
      </c>
      <c r="Q99" s="50">
        <v>9.39</v>
      </c>
      <c r="R99" s="50">
        <v>1722.69</v>
      </c>
      <c r="S99" s="50">
        <v>-1580.46</v>
      </c>
      <c r="T99" s="50">
        <v>-399.91</v>
      </c>
      <c r="U99" s="50" t="s">
        <v>2462</v>
      </c>
      <c r="V99" s="50" t="s">
        <v>590</v>
      </c>
      <c r="W99" s="53" t="s">
        <v>266</v>
      </c>
    </row>
    <row r="100" spans="1:23" ht="15" customHeight="1" x14ac:dyDescent="0.25">
      <c r="A100" s="50" t="s">
        <v>2590</v>
      </c>
      <c r="B100" s="50" t="s">
        <v>2591</v>
      </c>
      <c r="C100" s="50">
        <v>-100</v>
      </c>
      <c r="D100" s="51">
        <v>92016.57</v>
      </c>
      <c r="E100" s="51">
        <v>88219.91</v>
      </c>
      <c r="F100" s="50">
        <f t="shared" si="18"/>
        <v>3796.66</v>
      </c>
      <c r="G100" s="51">
        <f t="shared" si="19"/>
        <v>-37.97</v>
      </c>
      <c r="H100" s="52">
        <f t="shared" si="20"/>
        <v>-0.01</v>
      </c>
      <c r="I100" s="51">
        <f t="shared" si="21"/>
        <v>-96.06</v>
      </c>
      <c r="J100" s="52">
        <f t="shared" si="22"/>
        <v>-0.03</v>
      </c>
      <c r="K100" s="50">
        <v>6.31</v>
      </c>
      <c r="L100" s="50">
        <v>3.78</v>
      </c>
      <c r="M100" s="50">
        <f t="shared" si="23"/>
        <v>2.5299999999999998</v>
      </c>
      <c r="N100" s="50">
        <v>9.93</v>
      </c>
      <c r="O100" s="50">
        <v>9.43</v>
      </c>
      <c r="P100" s="50">
        <v>7.25</v>
      </c>
      <c r="Q100" s="50">
        <v>7.68</v>
      </c>
      <c r="R100" s="50">
        <v>81.37</v>
      </c>
      <c r="S100" s="50">
        <v>-72.569999999999993</v>
      </c>
      <c r="T100" s="50">
        <v>29.75</v>
      </c>
      <c r="U100" s="50" t="s">
        <v>2481</v>
      </c>
      <c r="V100" s="50" t="s">
        <v>590</v>
      </c>
      <c r="W100" s="53" t="s">
        <v>266</v>
      </c>
    </row>
    <row r="101" spans="1:23" ht="15" customHeight="1" x14ac:dyDescent="0.25">
      <c r="A101" s="50" t="s">
        <v>2592</v>
      </c>
      <c r="B101" s="50" t="s">
        <v>1338</v>
      </c>
      <c r="C101" s="50">
        <v>200</v>
      </c>
      <c r="D101" s="51">
        <v>188114.79</v>
      </c>
      <c r="E101" s="51">
        <v>176920.98</v>
      </c>
      <c r="F101" s="50">
        <f t="shared" si="18"/>
        <v>11193.81</v>
      </c>
      <c r="G101" s="51">
        <f t="shared" si="19"/>
        <v>223.88</v>
      </c>
      <c r="H101" s="52">
        <f t="shared" si="20"/>
        <v>7.0000000000000007E-2</v>
      </c>
      <c r="I101" s="51">
        <f t="shared" si="21"/>
        <v>1063.4100000000001</v>
      </c>
      <c r="J101" s="52">
        <f t="shared" si="22"/>
        <v>0.28000000000000003</v>
      </c>
      <c r="K101" s="50">
        <v>7.86</v>
      </c>
      <c r="L101" s="50">
        <v>3.11</v>
      </c>
      <c r="M101" s="50">
        <f t="shared" si="23"/>
        <v>4.75</v>
      </c>
      <c r="N101" s="50">
        <v>8.73</v>
      </c>
      <c r="O101" s="50">
        <v>8.23</v>
      </c>
      <c r="P101" s="50">
        <v>7.81</v>
      </c>
      <c r="Q101" s="50">
        <v>7</v>
      </c>
      <c r="R101" s="50">
        <v>233.2</v>
      </c>
      <c r="S101" s="50">
        <v>-231.4</v>
      </c>
      <c r="T101" s="50">
        <v>-54.12</v>
      </c>
      <c r="U101" s="50" t="s">
        <v>2472</v>
      </c>
      <c r="V101" s="50" t="s">
        <v>590</v>
      </c>
      <c r="W101" s="53" t="s">
        <v>266</v>
      </c>
    </row>
    <row r="102" spans="1:23" ht="15" customHeight="1" x14ac:dyDescent="0.25">
      <c r="A102" s="50" t="s">
        <v>2593</v>
      </c>
      <c r="B102" s="50" t="s">
        <v>2102</v>
      </c>
      <c r="C102" s="50">
        <v>200</v>
      </c>
      <c r="D102" s="51">
        <v>96836.39</v>
      </c>
      <c r="E102" s="51">
        <v>122902.53</v>
      </c>
      <c r="F102" s="50">
        <f t="shared" si="18"/>
        <v>-26066.14</v>
      </c>
      <c r="G102" s="51">
        <f t="shared" si="19"/>
        <v>-521.32000000000005</v>
      </c>
      <c r="H102" s="52">
        <f t="shared" si="20"/>
        <v>-0.16</v>
      </c>
      <c r="I102" s="51">
        <f t="shared" si="21"/>
        <v>995.73</v>
      </c>
      <c r="J102" s="52">
        <f t="shared" si="22"/>
        <v>0.26</v>
      </c>
      <c r="K102" s="50">
        <v>3.46</v>
      </c>
      <c r="L102" s="50">
        <v>5.37</v>
      </c>
      <c r="M102" s="50">
        <f t="shared" si="23"/>
        <v>-1.91</v>
      </c>
      <c r="N102" s="50">
        <v>10.16</v>
      </c>
      <c r="O102" s="50">
        <v>9.66</v>
      </c>
      <c r="P102" s="50">
        <v>7.94</v>
      </c>
      <c r="Q102" s="50">
        <v>8.76</v>
      </c>
      <c r="R102" s="50">
        <v>-536.54999999999995</v>
      </c>
      <c r="S102" s="50">
        <v>509.96</v>
      </c>
      <c r="T102" s="50">
        <v>-124.43</v>
      </c>
      <c r="U102" s="50" t="s">
        <v>2460</v>
      </c>
      <c r="V102" s="50" t="s">
        <v>590</v>
      </c>
      <c r="W102" s="53" t="s">
        <v>266</v>
      </c>
    </row>
    <row r="103" spans="1:23" ht="15" customHeight="1" x14ac:dyDescent="0.25">
      <c r="A103" s="50" t="s">
        <v>2594</v>
      </c>
      <c r="B103" s="50" t="s">
        <v>2595</v>
      </c>
      <c r="C103" s="50">
        <v>100</v>
      </c>
      <c r="D103" s="51">
        <v>195602.88</v>
      </c>
      <c r="E103" s="51">
        <v>100383.97</v>
      </c>
      <c r="F103" s="50">
        <f t="shared" si="18"/>
        <v>95218.91</v>
      </c>
      <c r="G103" s="51">
        <f t="shared" si="19"/>
        <v>952.19</v>
      </c>
      <c r="H103" s="52">
        <f t="shared" si="20"/>
        <v>0.3</v>
      </c>
      <c r="I103" s="51">
        <f t="shared" si="21"/>
        <v>5998.79</v>
      </c>
      <c r="J103" s="52">
        <f t="shared" si="22"/>
        <v>1.58</v>
      </c>
      <c r="K103" s="50">
        <v>7.86</v>
      </c>
      <c r="L103" s="50">
        <v>1.56</v>
      </c>
      <c r="M103" s="50">
        <f t="shared" si="23"/>
        <v>6.3</v>
      </c>
      <c r="N103" s="50">
        <v>9.76</v>
      </c>
      <c r="O103" s="50">
        <v>9.26</v>
      </c>
      <c r="P103" s="50">
        <v>7.83</v>
      </c>
      <c r="Q103" s="50">
        <v>7.68</v>
      </c>
      <c r="R103" s="50">
        <v>1768.18</v>
      </c>
      <c r="S103" s="50">
        <v>-1818.86</v>
      </c>
      <c r="T103" s="50">
        <v>-505.6</v>
      </c>
      <c r="U103" s="50" t="s">
        <v>2458</v>
      </c>
      <c r="V103" s="50" t="s">
        <v>590</v>
      </c>
      <c r="W103" s="53" t="s">
        <v>266</v>
      </c>
    </row>
    <row r="104" spans="1:23" ht="15" customHeight="1" x14ac:dyDescent="0.25">
      <c r="A104" s="50" t="s">
        <v>2596</v>
      </c>
      <c r="B104" s="50" t="s">
        <v>1557</v>
      </c>
      <c r="C104" s="50">
        <v>100</v>
      </c>
      <c r="D104" s="51">
        <v>142908.91</v>
      </c>
      <c r="E104" s="51">
        <v>154882.38</v>
      </c>
      <c r="F104" s="50">
        <f t="shared" si="18"/>
        <v>-11973.47</v>
      </c>
      <c r="G104" s="51">
        <f t="shared" si="19"/>
        <v>-119.73</v>
      </c>
      <c r="H104" s="52">
        <f t="shared" si="20"/>
        <v>-0.04</v>
      </c>
      <c r="I104" s="51">
        <f t="shared" si="21"/>
        <v>-484.93</v>
      </c>
      <c r="J104" s="52">
        <f t="shared" si="22"/>
        <v>-0.13</v>
      </c>
      <c r="K104" s="50">
        <v>6.09</v>
      </c>
      <c r="L104" s="50">
        <v>2.04</v>
      </c>
      <c r="M104" s="50">
        <f t="shared" si="23"/>
        <v>4.05</v>
      </c>
      <c r="N104" s="50">
        <v>9.25</v>
      </c>
      <c r="O104" s="50">
        <v>8.75</v>
      </c>
      <c r="P104" s="50">
        <v>7.47</v>
      </c>
      <c r="Q104" s="50">
        <v>9.44</v>
      </c>
      <c r="R104" s="50">
        <v>-222.88</v>
      </c>
      <c r="S104" s="50">
        <v>257.68</v>
      </c>
      <c r="T104" s="50">
        <v>-84.02</v>
      </c>
      <c r="U104" s="50" t="s">
        <v>2458</v>
      </c>
      <c r="V104" s="50" t="s">
        <v>590</v>
      </c>
      <c r="W104" s="53" t="s">
        <v>266</v>
      </c>
    </row>
    <row r="105" spans="1:23" ht="15" customHeight="1" x14ac:dyDescent="0.25">
      <c r="A105" s="50" t="s">
        <v>2597</v>
      </c>
      <c r="B105" s="50" t="s">
        <v>2381</v>
      </c>
      <c r="C105" s="50">
        <v>-200</v>
      </c>
      <c r="D105" s="51">
        <v>125780.21</v>
      </c>
      <c r="E105" s="51">
        <v>168022.84</v>
      </c>
      <c r="F105" s="50">
        <f t="shared" si="18"/>
        <v>-42242.63</v>
      </c>
      <c r="G105" s="51">
        <f t="shared" si="19"/>
        <v>844.85</v>
      </c>
      <c r="H105" s="52">
        <f t="shared" si="20"/>
        <v>0.26</v>
      </c>
      <c r="I105" s="51">
        <f t="shared" si="21"/>
        <v>67.59</v>
      </c>
      <c r="J105" s="52">
        <f t="shared" si="22"/>
        <v>0.02</v>
      </c>
      <c r="K105" s="50">
        <v>3.18</v>
      </c>
      <c r="L105" s="50">
        <v>3.1</v>
      </c>
      <c r="M105" s="50">
        <f t="shared" si="23"/>
        <v>0.08</v>
      </c>
      <c r="N105" s="50">
        <v>9.49</v>
      </c>
      <c r="O105" s="50">
        <v>8.99</v>
      </c>
      <c r="P105" s="50">
        <v>7.63</v>
      </c>
      <c r="Q105" s="50">
        <v>10.11</v>
      </c>
      <c r="R105" s="50">
        <v>-888.52</v>
      </c>
      <c r="S105" s="50">
        <v>798.32</v>
      </c>
      <c r="T105" s="50">
        <v>-186.38</v>
      </c>
      <c r="U105" s="50" t="s">
        <v>2458</v>
      </c>
      <c r="V105" s="50" t="s">
        <v>590</v>
      </c>
      <c r="W105" s="53" t="s">
        <v>266</v>
      </c>
    </row>
    <row r="106" spans="1:23" ht="15" customHeight="1" x14ac:dyDescent="0.25">
      <c r="A106" s="50" t="s">
        <v>2598</v>
      </c>
      <c r="B106" s="50" t="s">
        <v>2599</v>
      </c>
      <c r="C106" s="50">
        <v>300</v>
      </c>
      <c r="D106" s="51">
        <v>180405.09</v>
      </c>
      <c r="E106" s="51">
        <v>175956.89</v>
      </c>
      <c r="F106" s="50">
        <f t="shared" si="18"/>
        <v>4448.2</v>
      </c>
      <c r="G106" s="51">
        <f t="shared" si="19"/>
        <v>133.44999999999999</v>
      </c>
      <c r="H106" s="52">
        <f t="shared" si="20"/>
        <v>0.04</v>
      </c>
      <c r="I106" s="51">
        <f t="shared" si="21"/>
        <v>154.80000000000001</v>
      </c>
      <c r="J106" s="52">
        <f t="shared" si="22"/>
        <v>0.04</v>
      </c>
      <c r="K106" s="50">
        <v>5.03</v>
      </c>
      <c r="L106" s="50">
        <v>3.87</v>
      </c>
      <c r="M106" s="50">
        <f t="shared" si="23"/>
        <v>1.1599999999999999</v>
      </c>
      <c r="N106" s="50">
        <v>9.9700000000000006</v>
      </c>
      <c r="O106" s="50">
        <v>9.4700000000000006</v>
      </c>
      <c r="P106" s="50">
        <v>5.84</v>
      </c>
      <c r="Q106" s="50">
        <v>10.26</v>
      </c>
      <c r="R106" s="50">
        <v>96.17</v>
      </c>
      <c r="S106" s="50">
        <v>-91.46</v>
      </c>
      <c r="T106" s="50">
        <v>23.64</v>
      </c>
      <c r="U106" s="50" t="s">
        <v>2472</v>
      </c>
      <c r="V106" s="50" t="s">
        <v>590</v>
      </c>
      <c r="W106" s="53" t="s">
        <v>266</v>
      </c>
    </row>
    <row r="107" spans="1:23" ht="15" customHeight="1" x14ac:dyDescent="0.25">
      <c r="A107" s="50" t="s">
        <v>2600</v>
      </c>
      <c r="B107" s="50" t="s">
        <v>2601</v>
      </c>
      <c r="C107" s="50">
        <v>-100</v>
      </c>
      <c r="D107" s="51">
        <v>81551.13</v>
      </c>
      <c r="E107" s="51">
        <v>148440.51999999999</v>
      </c>
      <c r="F107" s="50">
        <f t="shared" si="18"/>
        <v>-66889.39</v>
      </c>
      <c r="G107" s="51">
        <f t="shared" si="19"/>
        <v>668.89</v>
      </c>
      <c r="H107" s="52">
        <f t="shared" si="20"/>
        <v>0.21</v>
      </c>
      <c r="I107" s="51">
        <f t="shared" si="21"/>
        <v>1183.94</v>
      </c>
      <c r="J107" s="52">
        <f t="shared" si="22"/>
        <v>0.31</v>
      </c>
      <c r="K107" s="50">
        <v>5.41</v>
      </c>
      <c r="L107" s="50">
        <v>3.64</v>
      </c>
      <c r="M107" s="50">
        <f t="shared" si="23"/>
        <v>1.77</v>
      </c>
      <c r="N107" s="50">
        <v>8.8800000000000008</v>
      </c>
      <c r="O107" s="50">
        <v>8.3800000000000008</v>
      </c>
      <c r="P107" s="50">
        <v>6.3</v>
      </c>
      <c r="Q107" s="50">
        <v>8.1999999999999993</v>
      </c>
      <c r="R107" s="50">
        <v>-1354.02</v>
      </c>
      <c r="S107" s="50">
        <v>1428.06</v>
      </c>
      <c r="T107" s="50">
        <v>-368.11</v>
      </c>
      <c r="U107" s="50" t="s">
        <v>2458</v>
      </c>
      <c r="V107" s="50" t="s">
        <v>590</v>
      </c>
      <c r="W107" s="53" t="s">
        <v>266</v>
      </c>
    </row>
    <row r="108" spans="1:23" ht="15" customHeight="1" x14ac:dyDescent="0.25">
      <c r="A108" s="50" t="s">
        <v>2602</v>
      </c>
      <c r="B108" s="50" t="s">
        <v>2603</v>
      </c>
      <c r="C108" s="50">
        <v>-100</v>
      </c>
      <c r="D108" s="51">
        <v>150841.16</v>
      </c>
      <c r="E108" s="51">
        <v>157296</v>
      </c>
      <c r="F108" s="50">
        <f t="shared" si="18"/>
        <v>-6454.84</v>
      </c>
      <c r="G108" s="51">
        <f t="shared" si="19"/>
        <v>64.55</v>
      </c>
      <c r="H108" s="52">
        <f t="shared" si="20"/>
        <v>0.02</v>
      </c>
      <c r="I108" s="51">
        <f t="shared" si="21"/>
        <v>298.86</v>
      </c>
      <c r="J108" s="52">
        <f t="shared" si="22"/>
        <v>0.08</v>
      </c>
      <c r="K108" s="50">
        <v>8.2200000000000006</v>
      </c>
      <c r="L108" s="50">
        <v>3.59</v>
      </c>
      <c r="M108" s="50">
        <f t="shared" si="23"/>
        <v>4.63</v>
      </c>
      <c r="N108" s="50">
        <v>8.6999999999999993</v>
      </c>
      <c r="O108" s="50">
        <v>8.1999999999999993</v>
      </c>
      <c r="P108" s="50">
        <v>7.29</v>
      </c>
      <c r="Q108" s="50">
        <v>8.6199999999999992</v>
      </c>
      <c r="R108" s="50">
        <v>-137.24</v>
      </c>
      <c r="S108" s="50">
        <v>134.72999999999999</v>
      </c>
      <c r="T108" s="50">
        <v>-26.85</v>
      </c>
      <c r="U108" s="50" t="s">
        <v>2481</v>
      </c>
      <c r="V108" s="50" t="s">
        <v>590</v>
      </c>
      <c r="W108" s="53" t="s">
        <v>266</v>
      </c>
    </row>
    <row r="109" spans="1:23" ht="15" customHeight="1" x14ac:dyDescent="0.25">
      <c r="A109" s="50" t="s">
        <v>2604</v>
      </c>
      <c r="B109" s="50" t="s">
        <v>2098</v>
      </c>
      <c r="C109" s="50">
        <v>300</v>
      </c>
      <c r="D109" s="51">
        <v>84473.15</v>
      </c>
      <c r="E109" s="51">
        <v>113856.2</v>
      </c>
      <c r="F109" s="50">
        <f t="shared" si="18"/>
        <v>-29383.05</v>
      </c>
      <c r="G109" s="51">
        <f t="shared" si="19"/>
        <v>-881.49</v>
      </c>
      <c r="H109" s="52">
        <f t="shared" si="20"/>
        <v>-0.28000000000000003</v>
      </c>
      <c r="I109" s="51">
        <f t="shared" si="21"/>
        <v>-2626.84</v>
      </c>
      <c r="J109" s="52">
        <f t="shared" si="22"/>
        <v>-0.69</v>
      </c>
      <c r="K109" s="50">
        <v>7.33</v>
      </c>
      <c r="L109" s="50">
        <v>4.3499999999999996</v>
      </c>
      <c r="M109" s="50">
        <f t="shared" si="23"/>
        <v>2.98</v>
      </c>
      <c r="N109" s="50">
        <v>9.23</v>
      </c>
      <c r="O109" s="50">
        <v>8.73</v>
      </c>
      <c r="P109" s="50">
        <v>7.72</v>
      </c>
      <c r="Q109" s="50">
        <v>7.97</v>
      </c>
      <c r="R109" s="50">
        <v>-531.73</v>
      </c>
      <c r="S109" s="50">
        <v>640.07000000000005</v>
      </c>
      <c r="T109" s="50">
        <v>-129.13999999999999</v>
      </c>
      <c r="U109" s="50" t="s">
        <v>2460</v>
      </c>
      <c r="V109" s="50" t="s">
        <v>590</v>
      </c>
      <c r="W109" s="53" t="s">
        <v>266</v>
      </c>
    </row>
    <row r="110" spans="1:23" ht="15" customHeight="1" x14ac:dyDescent="0.25">
      <c r="A110" s="50" t="s">
        <v>2605</v>
      </c>
      <c r="B110" s="50" t="s">
        <v>2606</v>
      </c>
      <c r="C110" s="50">
        <v>300</v>
      </c>
      <c r="D110" s="51">
        <v>181931.61</v>
      </c>
      <c r="E110" s="51">
        <v>97886.56</v>
      </c>
      <c r="F110" s="50">
        <f t="shared" si="18"/>
        <v>84045.05</v>
      </c>
      <c r="G110" s="51">
        <f t="shared" si="19"/>
        <v>2521.35</v>
      </c>
      <c r="H110" s="52">
        <f t="shared" si="20"/>
        <v>0.79</v>
      </c>
      <c r="I110" s="51">
        <f t="shared" si="21"/>
        <v>12253.77</v>
      </c>
      <c r="J110" s="52">
        <f t="shared" si="22"/>
        <v>3.22</v>
      </c>
      <c r="K110" s="50">
        <v>7.41</v>
      </c>
      <c r="L110" s="50">
        <v>2.5499999999999998</v>
      </c>
      <c r="M110" s="50">
        <f t="shared" si="23"/>
        <v>4.8600000000000003</v>
      </c>
      <c r="N110" s="50">
        <v>10.16</v>
      </c>
      <c r="O110" s="50">
        <v>9.66</v>
      </c>
      <c r="P110" s="50">
        <v>5.75</v>
      </c>
      <c r="Q110" s="50">
        <v>9.01</v>
      </c>
      <c r="R110" s="50">
        <v>1621.91</v>
      </c>
      <c r="S110" s="50">
        <v>-1747.84</v>
      </c>
      <c r="T110" s="50">
        <v>-549.59</v>
      </c>
      <c r="U110" s="50" t="s">
        <v>2462</v>
      </c>
      <c r="V110" s="50" t="s">
        <v>590</v>
      </c>
      <c r="W110" s="53" t="s">
        <v>266</v>
      </c>
    </row>
    <row r="111" spans="1:23" ht="15" customHeight="1" x14ac:dyDescent="0.25">
      <c r="A111" s="50" t="s">
        <v>2607</v>
      </c>
      <c r="B111" s="50" t="s">
        <v>1795</v>
      </c>
      <c r="C111" s="50">
        <v>300</v>
      </c>
      <c r="D111" s="51">
        <v>172497.07</v>
      </c>
      <c r="E111" s="51">
        <v>130200.55</v>
      </c>
      <c r="F111" s="50">
        <f t="shared" si="18"/>
        <v>42296.52</v>
      </c>
      <c r="G111" s="51">
        <f t="shared" si="19"/>
        <v>1268.9000000000001</v>
      </c>
      <c r="H111" s="52">
        <f t="shared" si="20"/>
        <v>0.4</v>
      </c>
      <c r="I111" s="51">
        <f t="shared" si="21"/>
        <v>2055.61</v>
      </c>
      <c r="J111" s="52">
        <f t="shared" si="22"/>
        <v>0.54</v>
      </c>
      <c r="K111" s="50">
        <v>4.43</v>
      </c>
      <c r="L111" s="50">
        <v>2.81</v>
      </c>
      <c r="M111" s="50">
        <f t="shared" si="23"/>
        <v>1.62</v>
      </c>
      <c r="N111" s="50">
        <v>9.09</v>
      </c>
      <c r="O111" s="50">
        <v>8.59</v>
      </c>
      <c r="P111" s="50">
        <v>7.45</v>
      </c>
      <c r="Q111" s="50">
        <v>10.8</v>
      </c>
      <c r="R111" s="50">
        <v>817.81</v>
      </c>
      <c r="S111" s="50">
        <v>-865.62</v>
      </c>
      <c r="T111" s="50">
        <v>-294.36</v>
      </c>
      <c r="U111" s="50" t="s">
        <v>2456</v>
      </c>
      <c r="V111" s="50" t="s">
        <v>590</v>
      </c>
      <c r="W111" s="53" t="s">
        <v>266</v>
      </c>
    </row>
    <row r="112" spans="1:23" ht="15" customHeight="1" x14ac:dyDescent="0.25">
      <c r="A112" s="50" t="s">
        <v>2608</v>
      </c>
      <c r="B112" s="50" t="s">
        <v>2609</v>
      </c>
      <c r="C112" s="50">
        <v>100</v>
      </c>
      <c r="D112" s="51">
        <v>92155.78</v>
      </c>
      <c r="E112" s="51">
        <v>149413.47</v>
      </c>
      <c r="F112" s="50">
        <f t="shared" si="18"/>
        <v>-57257.69</v>
      </c>
      <c r="G112" s="51">
        <f t="shared" si="19"/>
        <v>-572.58000000000004</v>
      </c>
      <c r="H112" s="52">
        <f t="shared" si="20"/>
        <v>-0.18</v>
      </c>
      <c r="I112" s="51">
        <f t="shared" si="21"/>
        <v>-2250.23</v>
      </c>
      <c r="J112" s="52">
        <f t="shared" si="22"/>
        <v>-0.59</v>
      </c>
      <c r="K112" s="50">
        <v>6.34</v>
      </c>
      <c r="L112" s="50">
        <v>2.41</v>
      </c>
      <c r="M112" s="50">
        <f t="shared" si="23"/>
        <v>3.93</v>
      </c>
      <c r="N112" s="50">
        <v>9.35</v>
      </c>
      <c r="O112" s="50">
        <v>8.85</v>
      </c>
      <c r="P112" s="50">
        <v>5.56</v>
      </c>
      <c r="Q112" s="50">
        <v>8.7200000000000006</v>
      </c>
      <c r="R112" s="50">
        <v>-1226.68</v>
      </c>
      <c r="S112" s="50">
        <v>1141.82</v>
      </c>
      <c r="T112" s="50">
        <v>-306.20999999999998</v>
      </c>
      <c r="U112" s="50" t="s">
        <v>2472</v>
      </c>
      <c r="V112" s="50" t="s">
        <v>590</v>
      </c>
      <c r="W112" s="53" t="s">
        <v>266</v>
      </c>
    </row>
    <row r="113" spans="1:23" ht="15" customHeight="1" x14ac:dyDescent="0.25">
      <c r="A113" s="50" t="s">
        <v>2610</v>
      </c>
      <c r="B113" s="50" t="s">
        <v>2345</v>
      </c>
      <c r="C113" s="50">
        <v>-100</v>
      </c>
      <c r="D113" s="51">
        <v>195117</v>
      </c>
      <c r="E113" s="51">
        <v>105503.58</v>
      </c>
      <c r="F113" s="50">
        <f t="shared" si="18"/>
        <v>89613.42</v>
      </c>
      <c r="G113" s="51">
        <f t="shared" si="19"/>
        <v>-896.13</v>
      </c>
      <c r="H113" s="52">
        <f t="shared" si="20"/>
        <v>-0.28000000000000003</v>
      </c>
      <c r="I113" s="51">
        <f t="shared" si="21"/>
        <v>403.26</v>
      </c>
      <c r="J113" s="52">
        <f t="shared" si="22"/>
        <v>0.11</v>
      </c>
      <c r="K113" s="50">
        <v>3.17</v>
      </c>
      <c r="L113" s="50">
        <v>3.62</v>
      </c>
      <c r="M113" s="50">
        <f t="shared" si="23"/>
        <v>-0.45</v>
      </c>
      <c r="N113" s="50">
        <v>10.050000000000001</v>
      </c>
      <c r="O113" s="50">
        <v>9.5500000000000007</v>
      </c>
      <c r="P113" s="50">
        <v>7.1</v>
      </c>
      <c r="Q113" s="50">
        <v>9.52</v>
      </c>
      <c r="R113" s="50">
        <v>1805.98</v>
      </c>
      <c r="S113" s="50">
        <v>-1755.7</v>
      </c>
      <c r="T113" s="50">
        <v>-607.80999999999995</v>
      </c>
      <c r="U113" s="50" t="s">
        <v>2465</v>
      </c>
      <c r="V113" s="50" t="s">
        <v>590</v>
      </c>
      <c r="W113" s="53" t="s">
        <v>266</v>
      </c>
    </row>
    <row r="114" spans="1:23" ht="15" customHeight="1" x14ac:dyDescent="0.25">
      <c r="A114" s="50" t="s">
        <v>2611</v>
      </c>
      <c r="B114" s="50" t="s">
        <v>1328</v>
      </c>
      <c r="C114" s="50">
        <v>-100</v>
      </c>
      <c r="D114" s="51">
        <v>165399.87</v>
      </c>
      <c r="E114" s="51">
        <v>170616.7</v>
      </c>
      <c r="F114" s="50">
        <f t="shared" si="18"/>
        <v>-5216.83</v>
      </c>
      <c r="G114" s="51">
        <f t="shared" si="19"/>
        <v>52.17</v>
      </c>
      <c r="H114" s="52">
        <f t="shared" si="20"/>
        <v>0.02</v>
      </c>
      <c r="I114" s="51">
        <f t="shared" si="21"/>
        <v>86.08</v>
      </c>
      <c r="J114" s="52">
        <f t="shared" si="22"/>
        <v>0.02</v>
      </c>
      <c r="K114" s="50">
        <v>6.48</v>
      </c>
      <c r="L114" s="50">
        <v>4.83</v>
      </c>
      <c r="M114" s="50">
        <f t="shared" si="23"/>
        <v>1.65</v>
      </c>
      <c r="N114" s="50">
        <v>8.75</v>
      </c>
      <c r="O114" s="50">
        <v>8.25</v>
      </c>
      <c r="P114" s="50">
        <v>6.02</v>
      </c>
      <c r="Q114" s="50">
        <v>8.59</v>
      </c>
      <c r="R114" s="50">
        <v>-113.13</v>
      </c>
      <c r="S114" s="50">
        <v>96.07</v>
      </c>
      <c r="T114" s="50">
        <v>-40.82</v>
      </c>
      <c r="U114" s="50" t="s">
        <v>2460</v>
      </c>
      <c r="V114" s="50" t="s">
        <v>590</v>
      </c>
      <c r="W114" s="53" t="s">
        <v>266</v>
      </c>
    </row>
    <row r="115" spans="1:23" ht="15" customHeight="1" x14ac:dyDescent="0.25">
      <c r="A115" s="50" t="s">
        <v>2612</v>
      </c>
      <c r="B115" s="50" t="s">
        <v>1348</v>
      </c>
      <c r="C115" s="50">
        <v>-100</v>
      </c>
      <c r="D115" s="51">
        <v>118860.36</v>
      </c>
      <c r="E115" s="51">
        <v>94730.73</v>
      </c>
      <c r="F115" s="50">
        <f t="shared" si="18"/>
        <v>24129.63</v>
      </c>
      <c r="G115" s="51">
        <f t="shared" si="19"/>
        <v>-241.3</v>
      </c>
      <c r="H115" s="52">
        <f t="shared" si="20"/>
        <v>-0.08</v>
      </c>
      <c r="I115" s="51">
        <f t="shared" si="21"/>
        <v>-1290.94</v>
      </c>
      <c r="J115" s="52">
        <f t="shared" si="22"/>
        <v>-0.34</v>
      </c>
      <c r="K115" s="50">
        <v>7.46</v>
      </c>
      <c r="L115" s="50">
        <v>2.11</v>
      </c>
      <c r="M115" s="50">
        <f t="shared" si="23"/>
        <v>5.35</v>
      </c>
      <c r="N115" s="50">
        <v>8.76</v>
      </c>
      <c r="O115" s="50">
        <v>8.26</v>
      </c>
      <c r="P115" s="50">
        <v>7.98</v>
      </c>
      <c r="Q115" s="50">
        <v>7.12</v>
      </c>
      <c r="R115" s="50">
        <v>514.76</v>
      </c>
      <c r="S115" s="50">
        <v>-529.24</v>
      </c>
      <c r="T115" s="50">
        <v>-120.2</v>
      </c>
      <c r="U115" s="50" t="s">
        <v>2474</v>
      </c>
      <c r="V115" s="50" t="s">
        <v>590</v>
      </c>
      <c r="W115" s="53" t="s">
        <v>266</v>
      </c>
    </row>
    <row r="116" spans="1:23" ht="15" customHeight="1" x14ac:dyDescent="0.25">
      <c r="A116" s="50" t="s">
        <v>2613</v>
      </c>
      <c r="B116" s="50" t="s">
        <v>2614</v>
      </c>
      <c r="C116" s="50">
        <v>100</v>
      </c>
      <c r="D116" s="51">
        <v>97445.2</v>
      </c>
      <c r="E116" s="51">
        <v>102647.24</v>
      </c>
      <c r="F116" s="50">
        <f t="shared" si="18"/>
        <v>-5202.04</v>
      </c>
      <c r="G116" s="51">
        <f t="shared" si="19"/>
        <v>-52.02</v>
      </c>
      <c r="H116" s="52">
        <f t="shared" si="20"/>
        <v>-0.02</v>
      </c>
      <c r="I116" s="51">
        <f t="shared" si="21"/>
        <v>-178.43</v>
      </c>
      <c r="J116" s="52">
        <f t="shared" si="22"/>
        <v>-0.05</v>
      </c>
      <c r="K116" s="50">
        <v>8.2899999999999991</v>
      </c>
      <c r="L116" s="50">
        <v>4.8600000000000003</v>
      </c>
      <c r="M116" s="50">
        <f t="shared" si="23"/>
        <v>3.43</v>
      </c>
      <c r="N116" s="50">
        <v>9.32</v>
      </c>
      <c r="O116" s="50">
        <v>8.82</v>
      </c>
      <c r="P116" s="50">
        <v>6.32</v>
      </c>
      <c r="Q116" s="50">
        <v>9.5</v>
      </c>
      <c r="R116" s="50">
        <v>-102.22</v>
      </c>
      <c r="S116" s="50">
        <v>111.28</v>
      </c>
      <c r="T116" s="50">
        <v>-32.9</v>
      </c>
      <c r="U116" s="50" t="s">
        <v>2474</v>
      </c>
      <c r="V116" s="50" t="s">
        <v>590</v>
      </c>
      <c r="W116" s="53" t="s">
        <v>266</v>
      </c>
    </row>
    <row r="117" spans="1:23" ht="15" customHeight="1" x14ac:dyDescent="0.25">
      <c r="A117" s="50" t="s">
        <v>2615</v>
      </c>
      <c r="B117" s="50" t="s">
        <v>2495</v>
      </c>
      <c r="C117" s="50">
        <v>200</v>
      </c>
      <c r="D117" s="51">
        <v>176411.13</v>
      </c>
      <c r="E117" s="51">
        <v>98991.31</v>
      </c>
      <c r="F117" s="50">
        <f t="shared" si="18"/>
        <v>77419.820000000007</v>
      </c>
      <c r="G117" s="51">
        <f t="shared" si="19"/>
        <v>1548.4</v>
      </c>
      <c r="H117" s="52">
        <f t="shared" si="20"/>
        <v>0.48</v>
      </c>
      <c r="I117" s="51">
        <f t="shared" si="21"/>
        <v>-510.97</v>
      </c>
      <c r="J117" s="52">
        <f t="shared" si="22"/>
        <v>-0.13</v>
      </c>
      <c r="K117" s="50">
        <v>4.72</v>
      </c>
      <c r="L117" s="50">
        <v>5.05</v>
      </c>
      <c r="M117" s="50">
        <f t="shared" si="23"/>
        <v>-0.33</v>
      </c>
      <c r="N117" s="50">
        <v>10.09</v>
      </c>
      <c r="O117" s="50">
        <v>9.59</v>
      </c>
      <c r="P117" s="50">
        <v>5.96</v>
      </c>
      <c r="Q117" s="50">
        <v>8.61</v>
      </c>
      <c r="R117" s="50">
        <v>1493.17</v>
      </c>
      <c r="S117" s="50">
        <v>-1649.8</v>
      </c>
      <c r="T117" s="50">
        <v>-527.21</v>
      </c>
      <c r="U117" s="50" t="s">
        <v>2460</v>
      </c>
      <c r="V117" s="50" t="s">
        <v>590</v>
      </c>
      <c r="W117" s="53" t="s">
        <v>266</v>
      </c>
    </row>
    <row r="118" spans="1:23" ht="15" customHeight="1" x14ac:dyDescent="0.25">
      <c r="A118" s="50" t="s">
        <v>2616</v>
      </c>
      <c r="B118" s="50" t="s">
        <v>1218</v>
      </c>
      <c r="C118" s="50">
        <v>300</v>
      </c>
      <c r="D118" s="51">
        <v>165002.47</v>
      </c>
      <c r="E118" s="51">
        <v>128889.59</v>
      </c>
      <c r="F118" s="50">
        <f t="shared" si="18"/>
        <v>36112.879999999997</v>
      </c>
      <c r="G118" s="51">
        <f t="shared" si="19"/>
        <v>1083.3900000000001</v>
      </c>
      <c r="H118" s="52">
        <f t="shared" si="20"/>
        <v>0.34</v>
      </c>
      <c r="I118" s="51">
        <f t="shared" si="21"/>
        <v>-1722.58</v>
      </c>
      <c r="J118" s="52">
        <f t="shared" si="22"/>
        <v>-0.45</v>
      </c>
      <c r="K118" s="50">
        <v>3.13</v>
      </c>
      <c r="L118" s="50">
        <v>4.72</v>
      </c>
      <c r="M118" s="50">
        <f t="shared" si="23"/>
        <v>-1.59</v>
      </c>
      <c r="N118" s="50">
        <v>8.89</v>
      </c>
      <c r="O118" s="50">
        <v>8.39</v>
      </c>
      <c r="P118" s="50">
        <v>6.05</v>
      </c>
      <c r="Q118" s="50">
        <v>10.16</v>
      </c>
      <c r="R118" s="50">
        <v>768.64</v>
      </c>
      <c r="S118" s="50">
        <v>-682.38</v>
      </c>
      <c r="T118" s="50">
        <v>-183.33</v>
      </c>
      <c r="U118" s="50" t="s">
        <v>2465</v>
      </c>
      <c r="V118" s="50" t="s">
        <v>590</v>
      </c>
      <c r="W118" s="53" t="s">
        <v>266</v>
      </c>
    </row>
    <row r="119" spans="1:23" ht="15" customHeight="1" x14ac:dyDescent="0.25">
      <c r="A119" s="50" t="s">
        <v>2617</v>
      </c>
      <c r="B119" s="50" t="s">
        <v>2098</v>
      </c>
      <c r="C119" s="50">
        <v>300</v>
      </c>
      <c r="D119" s="51">
        <v>139655.95000000001</v>
      </c>
      <c r="E119" s="51">
        <v>117980.27</v>
      </c>
      <c r="F119" s="50">
        <f t="shared" si="18"/>
        <v>21675.68</v>
      </c>
      <c r="G119" s="51">
        <f t="shared" si="19"/>
        <v>650.27</v>
      </c>
      <c r="H119" s="52">
        <f t="shared" si="20"/>
        <v>0.2</v>
      </c>
      <c r="I119" s="51">
        <f t="shared" si="21"/>
        <v>4194.24</v>
      </c>
      <c r="J119" s="52">
        <f t="shared" si="22"/>
        <v>1.1000000000000001</v>
      </c>
      <c r="K119" s="50">
        <v>8.2200000000000006</v>
      </c>
      <c r="L119" s="50">
        <v>1.77</v>
      </c>
      <c r="M119" s="50">
        <f t="shared" si="23"/>
        <v>6.45</v>
      </c>
      <c r="N119" s="50">
        <v>9.4499999999999993</v>
      </c>
      <c r="O119" s="50">
        <v>8.9499999999999993</v>
      </c>
      <c r="P119" s="50">
        <v>6.68</v>
      </c>
      <c r="Q119" s="50">
        <v>7.26</v>
      </c>
      <c r="R119" s="50">
        <v>431.49</v>
      </c>
      <c r="S119" s="50">
        <v>-451.4</v>
      </c>
      <c r="T119" s="50">
        <v>92.23</v>
      </c>
      <c r="U119" s="50" t="s">
        <v>2470</v>
      </c>
      <c r="V119" s="50" t="s">
        <v>590</v>
      </c>
      <c r="W119" s="53" t="s">
        <v>266</v>
      </c>
    </row>
    <row r="120" spans="1:23" ht="15" customHeight="1" x14ac:dyDescent="0.25">
      <c r="A120" s="50" t="s">
        <v>2618</v>
      </c>
      <c r="B120" s="50" t="s">
        <v>1965</v>
      </c>
      <c r="C120" s="50">
        <v>100</v>
      </c>
      <c r="D120" s="51">
        <v>148370.44</v>
      </c>
      <c r="E120" s="51">
        <v>174208.62</v>
      </c>
      <c r="F120" s="50">
        <f t="shared" si="18"/>
        <v>-25838.18</v>
      </c>
      <c r="G120" s="51">
        <f t="shared" si="19"/>
        <v>-258.38</v>
      </c>
      <c r="H120" s="52">
        <f t="shared" si="20"/>
        <v>-0.08</v>
      </c>
      <c r="I120" s="51">
        <f t="shared" si="21"/>
        <v>-687.3</v>
      </c>
      <c r="J120" s="52">
        <f t="shared" si="22"/>
        <v>-0.18</v>
      </c>
      <c r="K120" s="50">
        <v>6.87</v>
      </c>
      <c r="L120" s="50">
        <v>4.21</v>
      </c>
      <c r="M120" s="50">
        <f t="shared" si="23"/>
        <v>2.66</v>
      </c>
      <c r="N120" s="50">
        <v>9.33</v>
      </c>
      <c r="O120" s="50">
        <v>8.83</v>
      </c>
      <c r="P120" s="50">
        <v>7.11</v>
      </c>
      <c r="Q120" s="50">
        <v>11.24</v>
      </c>
      <c r="R120" s="50">
        <v>-487.33</v>
      </c>
      <c r="S120" s="50">
        <v>511.81</v>
      </c>
      <c r="T120" s="50">
        <v>-159</v>
      </c>
      <c r="U120" s="50" t="s">
        <v>2481</v>
      </c>
      <c r="V120" s="50" t="s">
        <v>590</v>
      </c>
      <c r="W120" s="53" t="s">
        <v>266</v>
      </c>
    </row>
    <row r="121" spans="1:23" ht="15" customHeight="1" x14ac:dyDescent="0.25">
      <c r="A121" s="50" t="s">
        <v>2619</v>
      </c>
      <c r="B121" s="50" t="s">
        <v>2083</v>
      </c>
      <c r="C121" s="50">
        <v>100</v>
      </c>
      <c r="D121" s="51">
        <v>148382.88</v>
      </c>
      <c r="E121" s="51">
        <v>166356.56</v>
      </c>
      <c r="F121" s="50">
        <f t="shared" si="18"/>
        <v>-17973.68</v>
      </c>
      <c r="G121" s="51">
        <f t="shared" si="19"/>
        <v>-179.74</v>
      </c>
      <c r="H121" s="52">
        <f t="shared" si="20"/>
        <v>-0.06</v>
      </c>
      <c r="I121" s="51">
        <f t="shared" si="21"/>
        <v>-1173.68</v>
      </c>
      <c r="J121" s="52">
        <f t="shared" si="22"/>
        <v>-0.31</v>
      </c>
      <c r="K121" s="50">
        <v>8.18</v>
      </c>
      <c r="L121" s="50">
        <v>1.65</v>
      </c>
      <c r="M121" s="50">
        <f t="shared" si="23"/>
        <v>6.53</v>
      </c>
      <c r="N121" s="50">
        <v>9.42</v>
      </c>
      <c r="O121" s="50">
        <v>8.92</v>
      </c>
      <c r="P121" s="50">
        <v>7.04</v>
      </c>
      <c r="Q121" s="50">
        <v>8.42</v>
      </c>
      <c r="R121" s="50">
        <v>-393.33</v>
      </c>
      <c r="S121" s="50">
        <v>327.33</v>
      </c>
      <c r="T121" s="50">
        <v>126.14</v>
      </c>
      <c r="U121" s="50" t="s">
        <v>2462</v>
      </c>
      <c r="V121" s="50" t="s">
        <v>590</v>
      </c>
      <c r="W121" s="53" t="s">
        <v>266</v>
      </c>
    </row>
    <row r="122" spans="1:23" ht="15" customHeight="1" x14ac:dyDescent="0.25">
      <c r="A122" s="50" t="s">
        <v>2620</v>
      </c>
      <c r="B122" s="50" t="s">
        <v>2595</v>
      </c>
      <c r="C122" s="50">
        <v>-100</v>
      </c>
      <c r="D122" s="51">
        <v>143572.64000000001</v>
      </c>
      <c r="E122" s="51">
        <v>150341.84</v>
      </c>
      <c r="F122" s="50">
        <f t="shared" si="18"/>
        <v>-6769.2</v>
      </c>
      <c r="G122" s="51">
        <f t="shared" si="19"/>
        <v>67.69</v>
      </c>
      <c r="H122" s="52">
        <f t="shared" si="20"/>
        <v>0.02</v>
      </c>
      <c r="I122" s="51">
        <f t="shared" si="21"/>
        <v>323.57</v>
      </c>
      <c r="J122" s="52">
        <f t="shared" si="22"/>
        <v>0.09</v>
      </c>
      <c r="K122" s="50">
        <v>6.9</v>
      </c>
      <c r="L122" s="50">
        <v>2.12</v>
      </c>
      <c r="M122" s="50">
        <f t="shared" si="23"/>
        <v>4.78</v>
      </c>
      <c r="N122" s="50">
        <v>9.52</v>
      </c>
      <c r="O122" s="50">
        <v>9.02</v>
      </c>
      <c r="P122" s="50">
        <v>7.28</v>
      </c>
      <c r="Q122" s="50">
        <v>7.81</v>
      </c>
      <c r="R122" s="50">
        <v>-122.64</v>
      </c>
      <c r="S122" s="50">
        <v>147</v>
      </c>
      <c r="T122" s="50">
        <v>-46.81</v>
      </c>
      <c r="U122" s="50" t="s">
        <v>2460</v>
      </c>
      <c r="V122" s="50" t="s">
        <v>590</v>
      </c>
      <c r="W122" s="53" t="s">
        <v>266</v>
      </c>
    </row>
    <row r="123" spans="1:23" ht="15" customHeight="1" x14ac:dyDescent="0.25">
      <c r="A123" s="50" t="s">
        <v>2621</v>
      </c>
      <c r="B123" s="50" t="s">
        <v>1480</v>
      </c>
      <c r="C123" s="50">
        <v>-100</v>
      </c>
      <c r="D123" s="51">
        <v>193537.66</v>
      </c>
      <c r="E123" s="51">
        <v>133140.32</v>
      </c>
      <c r="F123" s="50">
        <f t="shared" si="18"/>
        <v>60397.34</v>
      </c>
      <c r="G123" s="51">
        <f t="shared" si="19"/>
        <v>-603.97</v>
      </c>
      <c r="H123" s="52">
        <f t="shared" si="20"/>
        <v>-0.19</v>
      </c>
      <c r="I123" s="51">
        <f t="shared" si="21"/>
        <v>-3291.66</v>
      </c>
      <c r="J123" s="52">
        <f t="shared" si="22"/>
        <v>-0.87</v>
      </c>
      <c r="K123" s="50">
        <v>8.19</v>
      </c>
      <c r="L123" s="50">
        <v>2.74</v>
      </c>
      <c r="M123" s="50">
        <f t="shared" si="23"/>
        <v>5.45</v>
      </c>
      <c r="N123" s="50">
        <v>9.19</v>
      </c>
      <c r="O123" s="50">
        <v>8.69</v>
      </c>
      <c r="P123" s="50">
        <v>7.09</v>
      </c>
      <c r="Q123" s="50">
        <v>7.62</v>
      </c>
      <c r="R123" s="50">
        <v>1131.3599999999999</v>
      </c>
      <c r="S123" s="50">
        <v>-1162.33</v>
      </c>
      <c r="T123" s="50">
        <v>284.45</v>
      </c>
      <c r="U123" s="50" t="s">
        <v>2470</v>
      </c>
      <c r="V123" s="50" t="s">
        <v>590</v>
      </c>
      <c r="W123" s="53" t="s">
        <v>266</v>
      </c>
    </row>
    <row r="124" spans="1:23" ht="15" customHeight="1" x14ac:dyDescent="0.25">
      <c r="A124" s="50" t="s">
        <v>2622</v>
      </c>
      <c r="B124" s="50" t="s">
        <v>1310</v>
      </c>
      <c r="C124" s="50">
        <v>300</v>
      </c>
      <c r="D124" s="51">
        <v>90888.14</v>
      </c>
      <c r="E124" s="51">
        <v>98655.61</v>
      </c>
      <c r="F124" s="50">
        <f t="shared" si="18"/>
        <v>-7767.47</v>
      </c>
      <c r="G124" s="51">
        <f t="shared" si="19"/>
        <v>-233.02</v>
      </c>
      <c r="H124" s="52">
        <f t="shared" si="20"/>
        <v>-7.0000000000000007E-2</v>
      </c>
      <c r="I124" s="51">
        <f t="shared" si="21"/>
        <v>-260.99</v>
      </c>
      <c r="J124" s="52">
        <f t="shared" si="22"/>
        <v>-7.0000000000000007E-2</v>
      </c>
      <c r="K124" s="50">
        <v>3.7</v>
      </c>
      <c r="L124" s="50">
        <v>2.58</v>
      </c>
      <c r="M124" s="50">
        <f t="shared" si="23"/>
        <v>1.1200000000000001</v>
      </c>
      <c r="N124" s="50">
        <v>9.6</v>
      </c>
      <c r="O124" s="50">
        <v>9.1</v>
      </c>
      <c r="P124" s="50">
        <v>5.24</v>
      </c>
      <c r="Q124" s="50">
        <v>9.0299999999999994</v>
      </c>
      <c r="R124" s="50">
        <v>-156.09</v>
      </c>
      <c r="S124" s="50">
        <v>140.44999999999999</v>
      </c>
      <c r="T124" s="50">
        <v>49.9</v>
      </c>
      <c r="U124" s="50" t="s">
        <v>2456</v>
      </c>
      <c r="V124" s="50" t="s">
        <v>590</v>
      </c>
      <c r="W124" s="53" t="s">
        <v>266</v>
      </c>
    </row>
    <row r="125" spans="1:23" ht="15" customHeight="1" x14ac:dyDescent="0.25">
      <c r="A125" s="50" t="s">
        <v>2623</v>
      </c>
      <c r="B125" s="50" t="s">
        <v>948</v>
      </c>
      <c r="C125" s="50">
        <v>200</v>
      </c>
      <c r="D125" s="51">
        <v>91458.84</v>
      </c>
      <c r="E125" s="51">
        <v>70190.179999999993</v>
      </c>
      <c r="F125" s="50">
        <f t="shared" si="18"/>
        <v>21268.66</v>
      </c>
      <c r="G125" s="51">
        <f t="shared" si="19"/>
        <v>425.37</v>
      </c>
      <c r="H125" s="52">
        <f t="shared" si="20"/>
        <v>0.13</v>
      </c>
      <c r="I125" s="51">
        <f t="shared" si="21"/>
        <v>3126.49</v>
      </c>
      <c r="J125" s="52">
        <f t="shared" si="22"/>
        <v>0.82</v>
      </c>
      <c r="K125" s="50">
        <v>8.41</v>
      </c>
      <c r="L125" s="50">
        <v>1.06</v>
      </c>
      <c r="M125" s="50">
        <f t="shared" si="23"/>
        <v>7.35</v>
      </c>
      <c r="N125" s="50">
        <v>9.06</v>
      </c>
      <c r="O125" s="50">
        <v>8.56</v>
      </c>
      <c r="P125" s="50">
        <v>5.92</v>
      </c>
      <c r="Q125" s="50">
        <v>10.6</v>
      </c>
      <c r="R125" s="50">
        <v>455.95</v>
      </c>
      <c r="S125" s="50">
        <v>-464.14</v>
      </c>
      <c r="T125" s="50">
        <v>101.11</v>
      </c>
      <c r="U125" s="50" t="s">
        <v>2470</v>
      </c>
      <c r="V125" s="50" t="s">
        <v>590</v>
      </c>
      <c r="W125" s="53" t="s">
        <v>266</v>
      </c>
    </row>
    <row r="126" spans="1:23" ht="15" customHeight="1" x14ac:dyDescent="0.25">
      <c r="A126" s="50" t="s">
        <v>2624</v>
      </c>
      <c r="B126" s="50" t="s">
        <v>1672</v>
      </c>
      <c r="C126" s="50">
        <v>300</v>
      </c>
      <c r="D126" s="51">
        <v>106204.86</v>
      </c>
      <c r="E126" s="51">
        <v>107977.28</v>
      </c>
      <c r="F126" s="50">
        <f t="shared" si="18"/>
        <v>-1772.42</v>
      </c>
      <c r="G126" s="51">
        <f t="shared" si="19"/>
        <v>-53.17</v>
      </c>
      <c r="H126" s="52">
        <f t="shared" si="20"/>
        <v>-0.02</v>
      </c>
      <c r="I126" s="51">
        <f t="shared" si="21"/>
        <v>-139.31</v>
      </c>
      <c r="J126" s="52">
        <f t="shared" si="22"/>
        <v>-0.04</v>
      </c>
      <c r="K126" s="50">
        <v>7.73</v>
      </c>
      <c r="L126" s="50">
        <v>5.1100000000000003</v>
      </c>
      <c r="M126" s="50">
        <f t="shared" si="23"/>
        <v>2.62</v>
      </c>
      <c r="N126" s="50">
        <v>9.52</v>
      </c>
      <c r="O126" s="50">
        <v>9.02</v>
      </c>
      <c r="P126" s="50">
        <v>6.72</v>
      </c>
      <c r="Q126" s="50">
        <v>11.01</v>
      </c>
      <c r="R126" s="50">
        <v>-35.5</v>
      </c>
      <c r="S126" s="50">
        <v>37.68</v>
      </c>
      <c r="T126" s="50">
        <v>10.25</v>
      </c>
      <c r="U126" s="50" t="s">
        <v>2460</v>
      </c>
      <c r="V126" s="50" t="s">
        <v>590</v>
      </c>
      <c r="W126" s="53" t="s">
        <v>266</v>
      </c>
    </row>
    <row r="127" spans="1:23" ht="15" customHeight="1" x14ac:dyDescent="0.25">
      <c r="A127" s="50" t="s">
        <v>2625</v>
      </c>
      <c r="B127" s="50" t="s">
        <v>1572</v>
      </c>
      <c r="C127" s="50">
        <v>-100</v>
      </c>
      <c r="D127" s="51">
        <v>176864.58</v>
      </c>
      <c r="E127" s="51">
        <v>104283.19</v>
      </c>
      <c r="F127" s="50">
        <f t="shared" si="18"/>
        <v>72581.39</v>
      </c>
      <c r="G127" s="51">
        <f t="shared" si="19"/>
        <v>-725.81</v>
      </c>
      <c r="H127" s="52">
        <f t="shared" si="20"/>
        <v>-0.23</v>
      </c>
      <c r="I127" s="51">
        <f t="shared" si="21"/>
        <v>-1219.3699999999999</v>
      </c>
      <c r="J127" s="52">
        <f t="shared" si="22"/>
        <v>-0.32</v>
      </c>
      <c r="K127" s="50">
        <v>4.25</v>
      </c>
      <c r="L127" s="50">
        <v>2.57</v>
      </c>
      <c r="M127" s="50">
        <f t="shared" si="23"/>
        <v>1.68</v>
      </c>
      <c r="N127" s="50">
        <v>8.81</v>
      </c>
      <c r="O127" s="50">
        <v>8.31</v>
      </c>
      <c r="P127" s="50">
        <v>6.56</v>
      </c>
      <c r="Q127" s="50">
        <v>11.05</v>
      </c>
      <c r="R127" s="50">
        <v>1362.54</v>
      </c>
      <c r="S127" s="50">
        <v>-1351.54</v>
      </c>
      <c r="T127" s="50">
        <v>468.35</v>
      </c>
      <c r="U127" s="50" t="s">
        <v>2458</v>
      </c>
      <c r="V127" s="50" t="s">
        <v>590</v>
      </c>
      <c r="W127" s="53" t="s">
        <v>266</v>
      </c>
    </row>
    <row r="128" spans="1:23" ht="15" customHeight="1" x14ac:dyDescent="0.25">
      <c r="A128" s="50" t="s">
        <v>2626</v>
      </c>
      <c r="B128" s="50" t="s">
        <v>898</v>
      </c>
      <c r="C128" s="50">
        <v>300</v>
      </c>
      <c r="D128" s="51">
        <v>179812.41</v>
      </c>
      <c r="E128" s="51">
        <v>156246.89000000001</v>
      </c>
      <c r="F128" s="50">
        <f t="shared" si="18"/>
        <v>23565.52</v>
      </c>
      <c r="G128" s="51">
        <f t="shared" si="19"/>
        <v>706.97</v>
      </c>
      <c r="H128" s="52">
        <f t="shared" si="20"/>
        <v>0.22</v>
      </c>
      <c r="I128" s="51">
        <f t="shared" si="21"/>
        <v>2933.91</v>
      </c>
      <c r="J128" s="52">
        <f t="shared" si="22"/>
        <v>0.77</v>
      </c>
      <c r="K128" s="50">
        <v>8.16</v>
      </c>
      <c r="L128" s="50">
        <v>4.01</v>
      </c>
      <c r="M128" s="50">
        <f t="shared" si="23"/>
        <v>4.1500000000000004</v>
      </c>
      <c r="N128" s="50">
        <v>8.61</v>
      </c>
      <c r="O128" s="50">
        <v>8.11</v>
      </c>
      <c r="P128" s="50">
        <v>5.74</v>
      </c>
      <c r="Q128" s="50">
        <v>7.64</v>
      </c>
      <c r="R128" s="50">
        <v>441.93</v>
      </c>
      <c r="S128" s="50">
        <v>-462.29</v>
      </c>
      <c r="T128" s="50">
        <v>128.04</v>
      </c>
      <c r="U128" s="50" t="s">
        <v>2458</v>
      </c>
      <c r="V128" s="50" t="s">
        <v>590</v>
      </c>
      <c r="W128" s="53" t="s">
        <v>266</v>
      </c>
    </row>
    <row r="129" spans="1:23" ht="15" customHeight="1" x14ac:dyDescent="0.25">
      <c r="A129" s="50" t="s">
        <v>2627</v>
      </c>
      <c r="B129" s="50" t="s">
        <v>2007</v>
      </c>
      <c r="C129" s="50">
        <v>-100</v>
      </c>
      <c r="D129" s="51">
        <v>181732.9</v>
      </c>
      <c r="E129" s="51">
        <v>80004.88</v>
      </c>
      <c r="F129" s="50">
        <f t="shared" si="18"/>
        <v>101728.02</v>
      </c>
      <c r="G129" s="51">
        <f t="shared" si="19"/>
        <v>-1017.28</v>
      </c>
      <c r="H129" s="52">
        <f t="shared" si="20"/>
        <v>-0.32</v>
      </c>
      <c r="I129" s="51">
        <f t="shared" si="21"/>
        <v>-1352.98</v>
      </c>
      <c r="J129" s="52">
        <f t="shared" si="22"/>
        <v>-0.36</v>
      </c>
      <c r="K129" s="50">
        <v>6.43</v>
      </c>
      <c r="L129" s="50">
        <v>5.0999999999999996</v>
      </c>
      <c r="M129" s="50">
        <f t="shared" si="23"/>
        <v>1.33</v>
      </c>
      <c r="N129" s="50">
        <v>9.4600000000000009</v>
      </c>
      <c r="O129" s="50">
        <v>8.9600000000000009</v>
      </c>
      <c r="P129" s="50">
        <v>7.11</v>
      </c>
      <c r="Q129" s="50">
        <v>9.35</v>
      </c>
      <c r="R129" s="50">
        <v>2092.83</v>
      </c>
      <c r="S129" s="50">
        <v>-1946.08</v>
      </c>
      <c r="T129" s="50">
        <v>-462.04</v>
      </c>
      <c r="U129" s="50" t="s">
        <v>2465</v>
      </c>
      <c r="V129" s="50" t="s">
        <v>590</v>
      </c>
      <c r="W129" s="53" t="s">
        <v>266</v>
      </c>
    </row>
    <row r="130" spans="1:23" ht="15" customHeight="1" x14ac:dyDescent="0.25">
      <c r="A130" s="50" t="s">
        <v>2628</v>
      </c>
      <c r="B130" s="50" t="s">
        <v>2629</v>
      </c>
      <c r="C130" s="50">
        <v>200</v>
      </c>
      <c r="D130" s="51">
        <v>128508.57</v>
      </c>
      <c r="E130" s="51">
        <v>111477.36</v>
      </c>
      <c r="F130" s="50">
        <f t="shared" si="18"/>
        <v>17031.21</v>
      </c>
      <c r="G130" s="51">
        <f t="shared" si="19"/>
        <v>340.62</v>
      </c>
      <c r="H130" s="52">
        <f t="shared" si="20"/>
        <v>0.11</v>
      </c>
      <c r="I130" s="51">
        <f t="shared" si="21"/>
        <v>759.59</v>
      </c>
      <c r="J130" s="52">
        <f t="shared" si="22"/>
        <v>0.2</v>
      </c>
      <c r="K130" s="50">
        <v>5.44</v>
      </c>
      <c r="L130" s="50">
        <v>3.21</v>
      </c>
      <c r="M130" s="50">
        <f t="shared" si="23"/>
        <v>2.23</v>
      </c>
      <c r="N130" s="50">
        <v>9.0500000000000007</v>
      </c>
      <c r="O130" s="50">
        <v>8.5500000000000007</v>
      </c>
      <c r="P130" s="50">
        <v>6.45</v>
      </c>
      <c r="Q130" s="50">
        <v>8.75</v>
      </c>
      <c r="R130" s="50">
        <v>374.16</v>
      </c>
      <c r="S130" s="50">
        <v>-359.07</v>
      </c>
      <c r="T130" s="50">
        <v>-120.64</v>
      </c>
      <c r="U130" s="50" t="s">
        <v>2458</v>
      </c>
      <c r="V130" s="50" t="s">
        <v>590</v>
      </c>
      <c r="W130" s="53" t="s">
        <v>266</v>
      </c>
    </row>
    <row r="131" spans="1:23" ht="15" customHeight="1" x14ac:dyDescent="0.25">
      <c r="A131" s="50" t="s">
        <v>2630</v>
      </c>
      <c r="B131" s="50" t="s">
        <v>2337</v>
      </c>
      <c r="C131" s="50">
        <v>-200</v>
      </c>
      <c r="D131" s="51">
        <v>102569.47</v>
      </c>
      <c r="E131" s="51">
        <v>79810.62</v>
      </c>
      <c r="F131" s="50">
        <f t="shared" ref="F131:F162" si="24">ROUND(D131-E131,2)</f>
        <v>22758.85</v>
      </c>
      <c r="G131" s="51">
        <f t="shared" ref="G131:G162" si="25">ROUND(F131*C131/10000,2)</f>
        <v>-455.18</v>
      </c>
      <c r="H131" s="52">
        <f t="shared" ref="H131:H162" si="26">ROUND(G131/320000*100,2)</f>
        <v>-0.14000000000000001</v>
      </c>
      <c r="I131" s="51">
        <f t="shared" ref="I131:I162" si="27">ROUND(F131*M131*C131/10000,2)</f>
        <v>-1584.02</v>
      </c>
      <c r="J131" s="52">
        <f t="shared" ref="J131:J162" si="28">ROUND(I131/380000*100,2)</f>
        <v>-0.42</v>
      </c>
      <c r="K131" s="50">
        <v>7.85</v>
      </c>
      <c r="L131" s="50">
        <v>4.37</v>
      </c>
      <c r="M131" s="50">
        <f t="shared" ref="M131:M162" si="29">ROUND(K131-L131,2)</f>
        <v>3.48</v>
      </c>
      <c r="N131" s="50">
        <v>9.4700000000000006</v>
      </c>
      <c r="O131" s="50">
        <v>8.9700000000000006</v>
      </c>
      <c r="P131" s="50">
        <v>5.52</v>
      </c>
      <c r="Q131" s="50">
        <v>8.41</v>
      </c>
      <c r="R131" s="50">
        <v>458.3</v>
      </c>
      <c r="S131" s="50">
        <v>-413.96</v>
      </c>
      <c r="T131" s="50">
        <v>-118.61</v>
      </c>
      <c r="U131" s="50" t="s">
        <v>2462</v>
      </c>
      <c r="V131" s="50" t="s">
        <v>590</v>
      </c>
      <c r="W131" s="53" t="s">
        <v>266</v>
      </c>
    </row>
    <row r="132" spans="1:23" ht="15" customHeight="1" x14ac:dyDescent="0.25">
      <c r="A132" s="50" t="s">
        <v>2631</v>
      </c>
      <c r="B132" s="50" t="s">
        <v>1283</v>
      </c>
      <c r="C132" s="50">
        <v>300</v>
      </c>
      <c r="D132" s="51">
        <v>86292.23</v>
      </c>
      <c r="E132" s="51">
        <v>160793.37</v>
      </c>
      <c r="F132" s="50">
        <f t="shared" si="24"/>
        <v>-74501.14</v>
      </c>
      <c r="G132" s="51">
        <f t="shared" si="25"/>
        <v>-2235.0300000000002</v>
      </c>
      <c r="H132" s="52">
        <f t="shared" si="26"/>
        <v>-0.7</v>
      </c>
      <c r="I132" s="51">
        <f t="shared" si="27"/>
        <v>-7643.82</v>
      </c>
      <c r="J132" s="52">
        <f t="shared" si="28"/>
        <v>-2.0099999999999998</v>
      </c>
      <c r="K132" s="50">
        <v>7.74</v>
      </c>
      <c r="L132" s="50">
        <v>4.32</v>
      </c>
      <c r="M132" s="50">
        <f t="shared" si="29"/>
        <v>3.42</v>
      </c>
      <c r="N132" s="50">
        <v>9.39</v>
      </c>
      <c r="O132" s="50">
        <v>8.89</v>
      </c>
      <c r="P132" s="50">
        <v>5.53</v>
      </c>
      <c r="Q132" s="50">
        <v>8.67</v>
      </c>
      <c r="R132" s="50">
        <v>-1612.4</v>
      </c>
      <c r="S132" s="50">
        <v>1370.42</v>
      </c>
      <c r="T132" s="50">
        <v>581.1</v>
      </c>
      <c r="U132" s="50" t="s">
        <v>2462</v>
      </c>
      <c r="V132" s="50" t="s">
        <v>590</v>
      </c>
      <c r="W132" s="53" t="s">
        <v>266</v>
      </c>
    </row>
    <row r="133" spans="1:23" ht="15" customHeight="1" x14ac:dyDescent="0.25">
      <c r="A133" s="50" t="s">
        <v>2632</v>
      </c>
      <c r="B133" s="50" t="s">
        <v>1340</v>
      </c>
      <c r="C133" s="50">
        <v>-100</v>
      </c>
      <c r="D133" s="51">
        <v>165684.15</v>
      </c>
      <c r="E133" s="51">
        <v>124480.27</v>
      </c>
      <c r="F133" s="50">
        <f t="shared" si="24"/>
        <v>41203.879999999997</v>
      </c>
      <c r="G133" s="51">
        <f t="shared" si="25"/>
        <v>-412.04</v>
      </c>
      <c r="H133" s="52">
        <f t="shared" si="26"/>
        <v>-0.13</v>
      </c>
      <c r="I133" s="51">
        <f t="shared" si="27"/>
        <v>-894.12</v>
      </c>
      <c r="J133" s="52">
        <f t="shared" si="28"/>
        <v>-0.24</v>
      </c>
      <c r="K133" s="50">
        <v>5.93</v>
      </c>
      <c r="L133" s="50">
        <v>3.76</v>
      </c>
      <c r="M133" s="50">
        <f t="shared" si="29"/>
        <v>2.17</v>
      </c>
      <c r="N133" s="50">
        <v>8.58</v>
      </c>
      <c r="O133" s="50">
        <v>8.08</v>
      </c>
      <c r="P133" s="50">
        <v>6.14</v>
      </c>
      <c r="Q133" s="50">
        <v>11.05</v>
      </c>
      <c r="R133" s="50">
        <v>894.01</v>
      </c>
      <c r="S133" s="50">
        <v>-742.45</v>
      </c>
      <c r="T133" s="50">
        <v>204.44</v>
      </c>
      <c r="U133" s="50" t="s">
        <v>2456</v>
      </c>
      <c r="V133" s="50" t="s">
        <v>590</v>
      </c>
      <c r="W133" s="53" t="s">
        <v>266</v>
      </c>
    </row>
    <row r="134" spans="1:23" ht="15" customHeight="1" x14ac:dyDescent="0.25">
      <c r="A134" s="50" t="s">
        <v>2633</v>
      </c>
      <c r="B134" s="50" t="s">
        <v>749</v>
      </c>
      <c r="C134" s="50">
        <v>200</v>
      </c>
      <c r="D134" s="51">
        <v>179188.67</v>
      </c>
      <c r="E134" s="51">
        <v>110896.22</v>
      </c>
      <c r="F134" s="50">
        <f t="shared" si="24"/>
        <v>68292.45</v>
      </c>
      <c r="G134" s="51">
        <f t="shared" si="25"/>
        <v>1365.85</v>
      </c>
      <c r="H134" s="52">
        <f t="shared" si="26"/>
        <v>0.43</v>
      </c>
      <c r="I134" s="51">
        <f t="shared" si="27"/>
        <v>8645.82</v>
      </c>
      <c r="J134" s="52">
        <f t="shared" si="28"/>
        <v>2.2799999999999998</v>
      </c>
      <c r="K134" s="50">
        <v>7.53</v>
      </c>
      <c r="L134" s="50">
        <v>1.2</v>
      </c>
      <c r="M134" s="50">
        <f t="shared" si="29"/>
        <v>6.33</v>
      </c>
      <c r="N134" s="50">
        <v>8.74</v>
      </c>
      <c r="O134" s="50">
        <v>8.24</v>
      </c>
      <c r="P134" s="50">
        <v>5.74</v>
      </c>
      <c r="Q134" s="50">
        <v>10.01</v>
      </c>
      <c r="R134" s="50">
        <v>1415.13</v>
      </c>
      <c r="S134" s="50">
        <v>-1423.26</v>
      </c>
      <c r="T134" s="50">
        <v>519.59</v>
      </c>
      <c r="U134" s="50" t="s">
        <v>2481</v>
      </c>
      <c r="V134" s="50" t="s">
        <v>590</v>
      </c>
      <c r="W134" s="53" t="s">
        <v>266</v>
      </c>
    </row>
    <row r="135" spans="1:23" ht="15" customHeight="1" x14ac:dyDescent="0.25">
      <c r="A135" s="50" t="s">
        <v>2634</v>
      </c>
      <c r="B135" s="50" t="s">
        <v>1335</v>
      </c>
      <c r="C135" s="50">
        <v>100</v>
      </c>
      <c r="D135" s="51">
        <v>129104.41</v>
      </c>
      <c r="E135" s="51">
        <v>71125.009999999995</v>
      </c>
      <c r="F135" s="50">
        <f t="shared" si="24"/>
        <v>57979.4</v>
      </c>
      <c r="G135" s="51">
        <f t="shared" si="25"/>
        <v>579.79</v>
      </c>
      <c r="H135" s="52">
        <f t="shared" si="26"/>
        <v>0.18</v>
      </c>
      <c r="I135" s="51">
        <f t="shared" si="27"/>
        <v>2748.22</v>
      </c>
      <c r="J135" s="52">
        <f t="shared" si="28"/>
        <v>0.72</v>
      </c>
      <c r="K135" s="50">
        <v>7.44</v>
      </c>
      <c r="L135" s="50">
        <v>2.7</v>
      </c>
      <c r="M135" s="50">
        <f t="shared" si="29"/>
        <v>4.74</v>
      </c>
      <c r="N135" s="50">
        <v>9.93</v>
      </c>
      <c r="O135" s="50">
        <v>9.43</v>
      </c>
      <c r="P135" s="50">
        <v>5.57</v>
      </c>
      <c r="Q135" s="50">
        <v>10.51</v>
      </c>
      <c r="R135" s="50">
        <v>1182.81</v>
      </c>
      <c r="S135" s="50">
        <v>-1188.93</v>
      </c>
      <c r="T135" s="50">
        <v>323.63</v>
      </c>
      <c r="U135" s="50" t="s">
        <v>2472</v>
      </c>
      <c r="V135" s="50" t="s">
        <v>590</v>
      </c>
      <c r="W135" s="53" t="s">
        <v>266</v>
      </c>
    </row>
    <row r="136" spans="1:23" ht="15" customHeight="1" x14ac:dyDescent="0.25">
      <c r="A136" s="50" t="s">
        <v>2635</v>
      </c>
      <c r="B136" s="50" t="s">
        <v>2312</v>
      </c>
      <c r="C136" s="50">
        <v>100</v>
      </c>
      <c r="D136" s="51">
        <v>88462.92</v>
      </c>
      <c r="E136" s="51">
        <v>82581.84</v>
      </c>
      <c r="F136" s="50">
        <f t="shared" si="24"/>
        <v>5881.08</v>
      </c>
      <c r="G136" s="51">
        <f t="shared" si="25"/>
        <v>58.81</v>
      </c>
      <c r="H136" s="52">
        <f t="shared" si="26"/>
        <v>0.02</v>
      </c>
      <c r="I136" s="51">
        <f t="shared" si="27"/>
        <v>-65.28</v>
      </c>
      <c r="J136" s="52">
        <f t="shared" si="28"/>
        <v>-0.02</v>
      </c>
      <c r="K136" s="50">
        <v>3.45</v>
      </c>
      <c r="L136" s="50">
        <v>4.5599999999999996</v>
      </c>
      <c r="M136" s="50">
        <f t="shared" si="29"/>
        <v>-1.1100000000000001</v>
      </c>
      <c r="N136" s="50">
        <v>8.61</v>
      </c>
      <c r="O136" s="50">
        <v>8.11</v>
      </c>
      <c r="P136" s="50">
        <v>6.61</v>
      </c>
      <c r="Q136" s="50">
        <v>7.75</v>
      </c>
      <c r="R136" s="50">
        <v>128.33000000000001</v>
      </c>
      <c r="S136" s="50">
        <v>-122.68</v>
      </c>
      <c r="T136" s="50">
        <v>39.869999999999997</v>
      </c>
      <c r="U136" s="50" t="s">
        <v>2472</v>
      </c>
      <c r="V136" s="50" t="s">
        <v>590</v>
      </c>
      <c r="W136" s="53" t="s">
        <v>266</v>
      </c>
    </row>
    <row r="137" spans="1:23" ht="15" customHeight="1" x14ac:dyDescent="0.25">
      <c r="A137" s="50" t="s">
        <v>2636</v>
      </c>
      <c r="B137" s="50" t="s">
        <v>2103</v>
      </c>
      <c r="C137" s="50">
        <v>100</v>
      </c>
      <c r="D137" s="51">
        <v>114164.58</v>
      </c>
      <c r="E137" s="51">
        <v>132711.92000000001</v>
      </c>
      <c r="F137" s="50">
        <f t="shared" si="24"/>
        <v>-18547.34</v>
      </c>
      <c r="G137" s="51">
        <f t="shared" si="25"/>
        <v>-185.47</v>
      </c>
      <c r="H137" s="52">
        <f t="shared" si="26"/>
        <v>-0.06</v>
      </c>
      <c r="I137" s="51">
        <f t="shared" si="27"/>
        <v>-298.61</v>
      </c>
      <c r="J137" s="52">
        <f t="shared" si="28"/>
        <v>-0.08</v>
      </c>
      <c r="K137" s="50">
        <v>3.15</v>
      </c>
      <c r="L137" s="50">
        <v>1.54</v>
      </c>
      <c r="M137" s="50">
        <f t="shared" si="29"/>
        <v>1.61</v>
      </c>
      <c r="N137" s="50">
        <v>9.9</v>
      </c>
      <c r="O137" s="50">
        <v>9.4</v>
      </c>
      <c r="P137" s="50">
        <v>7.65</v>
      </c>
      <c r="Q137" s="50">
        <v>11.28</v>
      </c>
      <c r="R137" s="50">
        <v>-396.65</v>
      </c>
      <c r="S137" s="50">
        <v>348.75</v>
      </c>
      <c r="T137" s="50">
        <v>112.64</v>
      </c>
      <c r="U137" s="50" t="s">
        <v>2465</v>
      </c>
      <c r="V137" s="50" t="s">
        <v>590</v>
      </c>
      <c r="W137" s="53" t="s">
        <v>266</v>
      </c>
    </row>
    <row r="138" spans="1:23" ht="15" customHeight="1" x14ac:dyDescent="0.25">
      <c r="A138" s="50" t="s">
        <v>2637</v>
      </c>
      <c r="B138" s="50" t="s">
        <v>1894</v>
      </c>
      <c r="C138" s="50">
        <v>300</v>
      </c>
      <c r="D138" s="51">
        <v>93121.27</v>
      </c>
      <c r="E138" s="51">
        <v>95150.96</v>
      </c>
      <c r="F138" s="50">
        <f t="shared" si="24"/>
        <v>-2029.69</v>
      </c>
      <c r="G138" s="51">
        <f t="shared" si="25"/>
        <v>-60.89</v>
      </c>
      <c r="H138" s="52">
        <f t="shared" si="26"/>
        <v>-0.02</v>
      </c>
      <c r="I138" s="51">
        <f t="shared" si="27"/>
        <v>-345.25</v>
      </c>
      <c r="J138" s="52">
        <f t="shared" si="28"/>
        <v>-0.09</v>
      </c>
      <c r="K138" s="50">
        <v>7.5</v>
      </c>
      <c r="L138" s="50">
        <v>1.83</v>
      </c>
      <c r="M138" s="50">
        <f t="shared" si="29"/>
        <v>5.67</v>
      </c>
      <c r="N138" s="50">
        <v>9.8000000000000007</v>
      </c>
      <c r="O138" s="50">
        <v>9.3000000000000007</v>
      </c>
      <c r="P138" s="50">
        <v>7.42</v>
      </c>
      <c r="Q138" s="50">
        <v>8.09</v>
      </c>
      <c r="R138" s="50">
        <v>-40.090000000000003</v>
      </c>
      <c r="S138" s="50">
        <v>37.69</v>
      </c>
      <c r="T138" s="50">
        <v>12.97</v>
      </c>
      <c r="U138" s="50" t="s">
        <v>2470</v>
      </c>
      <c r="V138" s="50" t="s">
        <v>590</v>
      </c>
      <c r="W138" s="53" t="s">
        <v>266</v>
      </c>
    </row>
    <row r="139" spans="1:23" ht="15" customHeight="1" x14ac:dyDescent="0.25">
      <c r="A139" s="50" t="s">
        <v>2638</v>
      </c>
      <c r="B139" s="50" t="s">
        <v>1957</v>
      </c>
      <c r="C139" s="50">
        <v>300</v>
      </c>
      <c r="D139" s="51">
        <v>172014.82</v>
      </c>
      <c r="E139" s="51">
        <v>90786.64</v>
      </c>
      <c r="F139" s="50">
        <f t="shared" si="24"/>
        <v>81228.179999999993</v>
      </c>
      <c r="G139" s="51">
        <f t="shared" si="25"/>
        <v>2436.85</v>
      </c>
      <c r="H139" s="52">
        <f t="shared" si="26"/>
        <v>0.76</v>
      </c>
      <c r="I139" s="51">
        <f t="shared" si="27"/>
        <v>3241</v>
      </c>
      <c r="J139" s="52">
        <f t="shared" si="28"/>
        <v>0.85</v>
      </c>
      <c r="K139" s="50">
        <v>3.76</v>
      </c>
      <c r="L139" s="50">
        <v>2.4300000000000002</v>
      </c>
      <c r="M139" s="50">
        <f t="shared" si="29"/>
        <v>1.33</v>
      </c>
      <c r="N139" s="50">
        <v>9.4700000000000006</v>
      </c>
      <c r="O139" s="50">
        <v>8.9700000000000006</v>
      </c>
      <c r="P139" s="50">
        <v>7.85</v>
      </c>
      <c r="Q139" s="50">
        <v>8.5399999999999991</v>
      </c>
      <c r="R139" s="50">
        <v>1761.62</v>
      </c>
      <c r="S139" s="50">
        <v>-1575.86</v>
      </c>
      <c r="T139" s="50">
        <v>-390.11</v>
      </c>
      <c r="U139" s="50" t="s">
        <v>2472</v>
      </c>
      <c r="V139" s="50" t="s">
        <v>590</v>
      </c>
      <c r="W139" s="53" t="s">
        <v>266</v>
      </c>
    </row>
    <row r="140" spans="1:23" ht="15" customHeight="1" x14ac:dyDescent="0.25">
      <c r="A140" s="50" t="s">
        <v>2639</v>
      </c>
      <c r="B140" s="50" t="s">
        <v>2455</v>
      </c>
      <c r="C140" s="50">
        <v>200</v>
      </c>
      <c r="D140" s="51">
        <v>98371.7</v>
      </c>
      <c r="E140" s="51">
        <v>102098.62</v>
      </c>
      <c r="F140" s="50">
        <f t="shared" si="24"/>
        <v>-3726.92</v>
      </c>
      <c r="G140" s="51">
        <f t="shared" si="25"/>
        <v>-74.540000000000006</v>
      </c>
      <c r="H140" s="52">
        <f t="shared" si="26"/>
        <v>-0.02</v>
      </c>
      <c r="I140" s="51">
        <f t="shared" si="27"/>
        <v>-78.27</v>
      </c>
      <c r="J140" s="52">
        <f t="shared" si="28"/>
        <v>-0.02</v>
      </c>
      <c r="K140" s="50">
        <v>2.88</v>
      </c>
      <c r="L140" s="50">
        <v>1.83</v>
      </c>
      <c r="M140" s="50">
        <f t="shared" si="29"/>
        <v>1.05</v>
      </c>
      <c r="N140" s="50">
        <v>8.83</v>
      </c>
      <c r="O140" s="50">
        <v>8.33</v>
      </c>
      <c r="P140" s="50">
        <v>6.97</v>
      </c>
      <c r="Q140" s="50">
        <v>8.9700000000000006</v>
      </c>
      <c r="R140" s="50">
        <v>-68.12</v>
      </c>
      <c r="S140" s="50">
        <v>70.75</v>
      </c>
      <c r="T140" s="50">
        <v>22.79</v>
      </c>
      <c r="U140" s="50" t="s">
        <v>2458</v>
      </c>
      <c r="V140" s="50" t="s">
        <v>590</v>
      </c>
      <c r="W140" s="53" t="s">
        <v>266</v>
      </c>
    </row>
    <row r="141" spans="1:23" ht="15" customHeight="1" x14ac:dyDescent="0.25">
      <c r="A141" s="50" t="s">
        <v>2640</v>
      </c>
      <c r="B141" s="50" t="s">
        <v>1350</v>
      </c>
      <c r="C141" s="50">
        <v>300</v>
      </c>
      <c r="D141" s="51">
        <v>195701.18</v>
      </c>
      <c r="E141" s="51">
        <v>76238.44</v>
      </c>
      <c r="F141" s="50">
        <f t="shared" si="24"/>
        <v>119462.74</v>
      </c>
      <c r="G141" s="51">
        <f t="shared" si="25"/>
        <v>3583.88</v>
      </c>
      <c r="H141" s="52">
        <f t="shared" si="26"/>
        <v>1.1200000000000001</v>
      </c>
      <c r="I141" s="51">
        <f t="shared" si="27"/>
        <v>13511.24</v>
      </c>
      <c r="J141" s="52">
        <f t="shared" si="28"/>
        <v>3.56</v>
      </c>
      <c r="K141" s="50">
        <v>6.61</v>
      </c>
      <c r="L141" s="50">
        <v>2.84</v>
      </c>
      <c r="M141" s="50">
        <f t="shared" si="29"/>
        <v>3.77</v>
      </c>
      <c r="N141" s="50">
        <v>9.41</v>
      </c>
      <c r="O141" s="50">
        <v>8.91</v>
      </c>
      <c r="P141" s="50">
        <v>6.86</v>
      </c>
      <c r="Q141" s="50">
        <v>7.76</v>
      </c>
      <c r="R141" s="50">
        <v>2327.31</v>
      </c>
      <c r="S141" s="50">
        <v>-2218.89</v>
      </c>
      <c r="T141" s="50">
        <v>-527.45000000000005</v>
      </c>
      <c r="U141" s="50" t="s">
        <v>2470</v>
      </c>
      <c r="V141" s="50" t="s">
        <v>590</v>
      </c>
      <c r="W141" s="53" t="s">
        <v>266</v>
      </c>
    </row>
    <row r="142" spans="1:23" ht="15" customHeight="1" x14ac:dyDescent="0.25">
      <c r="A142" s="50" t="s">
        <v>2641</v>
      </c>
      <c r="B142" s="50" t="s">
        <v>2075</v>
      </c>
      <c r="C142" s="50">
        <v>200</v>
      </c>
      <c r="D142" s="51">
        <v>80410.509999999995</v>
      </c>
      <c r="E142" s="51">
        <v>76425.929999999993</v>
      </c>
      <c r="F142" s="50">
        <f t="shared" si="24"/>
        <v>3984.58</v>
      </c>
      <c r="G142" s="51">
        <f t="shared" si="25"/>
        <v>79.69</v>
      </c>
      <c r="H142" s="52">
        <f t="shared" si="26"/>
        <v>0.02</v>
      </c>
      <c r="I142" s="51">
        <f t="shared" si="27"/>
        <v>102.01</v>
      </c>
      <c r="J142" s="52">
        <f t="shared" si="28"/>
        <v>0.03</v>
      </c>
      <c r="K142" s="50">
        <v>4.83</v>
      </c>
      <c r="L142" s="50">
        <v>3.55</v>
      </c>
      <c r="M142" s="50">
        <f t="shared" si="29"/>
        <v>1.28</v>
      </c>
      <c r="N142" s="50">
        <v>9.9600000000000009</v>
      </c>
      <c r="O142" s="50">
        <v>9.4600000000000009</v>
      </c>
      <c r="P142" s="50">
        <v>7.29</v>
      </c>
      <c r="Q142" s="50">
        <v>7.16</v>
      </c>
      <c r="R142" s="50">
        <v>72.900000000000006</v>
      </c>
      <c r="S142" s="50">
        <v>-82.06</v>
      </c>
      <c r="T142" s="50">
        <v>30.46</v>
      </c>
      <c r="U142" s="50" t="s">
        <v>2465</v>
      </c>
      <c r="V142" s="50" t="s">
        <v>590</v>
      </c>
      <c r="W142" s="53" t="s">
        <v>266</v>
      </c>
    </row>
    <row r="143" spans="1:23" ht="15" customHeight="1" x14ac:dyDescent="0.25">
      <c r="A143" s="50" t="s">
        <v>2642</v>
      </c>
      <c r="B143" s="50" t="s">
        <v>1176</v>
      </c>
      <c r="C143" s="50">
        <v>200</v>
      </c>
      <c r="D143" s="51">
        <v>133960.54</v>
      </c>
      <c r="E143" s="51">
        <v>152287.63</v>
      </c>
      <c r="F143" s="50">
        <f t="shared" si="24"/>
        <v>-18327.09</v>
      </c>
      <c r="G143" s="51">
        <f t="shared" si="25"/>
        <v>-366.54</v>
      </c>
      <c r="H143" s="52">
        <f t="shared" si="26"/>
        <v>-0.11</v>
      </c>
      <c r="I143" s="51">
        <f t="shared" si="27"/>
        <v>-1040.98</v>
      </c>
      <c r="J143" s="52">
        <f t="shared" si="28"/>
        <v>-0.27</v>
      </c>
      <c r="K143" s="50">
        <v>6.6</v>
      </c>
      <c r="L143" s="50">
        <v>3.76</v>
      </c>
      <c r="M143" s="50">
        <f t="shared" si="29"/>
        <v>2.84</v>
      </c>
      <c r="N143" s="50">
        <v>9.09</v>
      </c>
      <c r="O143" s="50">
        <v>8.59</v>
      </c>
      <c r="P143" s="50">
        <v>7.96</v>
      </c>
      <c r="Q143" s="50">
        <v>9.0500000000000007</v>
      </c>
      <c r="R143" s="50">
        <v>-363.19</v>
      </c>
      <c r="S143" s="50">
        <v>394.36</v>
      </c>
      <c r="T143" s="50">
        <v>-89.72</v>
      </c>
      <c r="U143" s="50" t="s">
        <v>2460</v>
      </c>
      <c r="V143" s="50" t="s">
        <v>590</v>
      </c>
      <c r="W143" s="53" t="s">
        <v>266</v>
      </c>
    </row>
    <row r="144" spans="1:23" ht="15" customHeight="1" x14ac:dyDescent="0.25">
      <c r="A144" s="50" t="s">
        <v>2643</v>
      </c>
      <c r="B144" s="50" t="s">
        <v>2644</v>
      </c>
      <c r="C144" s="50">
        <v>-100</v>
      </c>
      <c r="D144" s="51">
        <v>195564.76</v>
      </c>
      <c r="E144" s="51">
        <v>112729.7</v>
      </c>
      <c r="F144" s="50">
        <f t="shared" si="24"/>
        <v>82835.06</v>
      </c>
      <c r="G144" s="51">
        <f t="shared" si="25"/>
        <v>-828.35</v>
      </c>
      <c r="H144" s="52">
        <f t="shared" si="26"/>
        <v>-0.26</v>
      </c>
      <c r="I144" s="51">
        <f t="shared" si="27"/>
        <v>-1921.77</v>
      </c>
      <c r="J144" s="52">
        <f t="shared" si="28"/>
        <v>-0.51</v>
      </c>
      <c r="K144" s="50">
        <v>4.04</v>
      </c>
      <c r="L144" s="50">
        <v>1.72</v>
      </c>
      <c r="M144" s="50">
        <f t="shared" si="29"/>
        <v>2.3199999999999998</v>
      </c>
      <c r="N144" s="50">
        <v>9.76</v>
      </c>
      <c r="O144" s="50">
        <v>9.26</v>
      </c>
      <c r="P144" s="50">
        <v>6.3</v>
      </c>
      <c r="Q144" s="50">
        <v>8.35</v>
      </c>
      <c r="R144" s="50">
        <v>1643.43</v>
      </c>
      <c r="S144" s="50">
        <v>-1726.51</v>
      </c>
      <c r="T144" s="50">
        <v>-510.76</v>
      </c>
      <c r="U144" s="50" t="s">
        <v>2462</v>
      </c>
      <c r="V144" s="50" t="s">
        <v>590</v>
      </c>
      <c r="W144" s="53" t="s">
        <v>266</v>
      </c>
    </row>
    <row r="145" spans="1:23" ht="15" customHeight="1" x14ac:dyDescent="0.25">
      <c r="A145" s="50" t="s">
        <v>2645</v>
      </c>
      <c r="B145" s="50" t="s">
        <v>1509</v>
      </c>
      <c r="C145" s="50">
        <v>-100</v>
      </c>
      <c r="D145" s="51">
        <v>180816.24</v>
      </c>
      <c r="E145" s="51">
        <v>108823.55</v>
      </c>
      <c r="F145" s="50">
        <f t="shared" si="24"/>
        <v>71992.69</v>
      </c>
      <c r="G145" s="51">
        <f t="shared" si="25"/>
        <v>-719.93</v>
      </c>
      <c r="H145" s="52">
        <f t="shared" si="26"/>
        <v>-0.22</v>
      </c>
      <c r="I145" s="51">
        <f t="shared" si="27"/>
        <v>-3779.62</v>
      </c>
      <c r="J145" s="52">
        <f t="shared" si="28"/>
        <v>-0.99</v>
      </c>
      <c r="K145" s="50">
        <v>8.15</v>
      </c>
      <c r="L145" s="50">
        <v>2.9</v>
      </c>
      <c r="M145" s="50">
        <f t="shared" si="29"/>
        <v>5.25</v>
      </c>
      <c r="N145" s="50">
        <v>9.2100000000000009</v>
      </c>
      <c r="O145" s="50">
        <v>8.7100000000000009</v>
      </c>
      <c r="P145" s="50">
        <v>7.2</v>
      </c>
      <c r="Q145" s="50">
        <v>9</v>
      </c>
      <c r="R145" s="50">
        <v>1429.35</v>
      </c>
      <c r="S145" s="50">
        <v>-1393.15</v>
      </c>
      <c r="T145" s="50">
        <v>-479.58</v>
      </c>
      <c r="U145" s="50" t="s">
        <v>2481</v>
      </c>
      <c r="V145" s="50" t="s">
        <v>590</v>
      </c>
      <c r="W145" s="53" t="s">
        <v>266</v>
      </c>
    </row>
    <row r="146" spans="1:23" ht="15" customHeight="1" x14ac:dyDescent="0.25">
      <c r="A146" s="50" t="s">
        <v>2646</v>
      </c>
      <c r="B146" s="50" t="s">
        <v>2204</v>
      </c>
      <c r="C146" s="50">
        <v>100</v>
      </c>
      <c r="D146" s="51">
        <v>109520.85</v>
      </c>
      <c r="E146" s="51">
        <v>148384.88</v>
      </c>
      <c r="F146" s="50">
        <f t="shared" si="24"/>
        <v>-38864.03</v>
      </c>
      <c r="G146" s="51">
        <f t="shared" si="25"/>
        <v>-388.64</v>
      </c>
      <c r="H146" s="52">
        <f t="shared" si="26"/>
        <v>-0.12</v>
      </c>
      <c r="I146" s="51">
        <f t="shared" si="27"/>
        <v>-248.73</v>
      </c>
      <c r="J146" s="52">
        <f t="shared" si="28"/>
        <v>-7.0000000000000007E-2</v>
      </c>
      <c r="K146" s="50">
        <v>5.91</v>
      </c>
      <c r="L146" s="50">
        <v>5.27</v>
      </c>
      <c r="M146" s="50">
        <f t="shared" si="29"/>
        <v>0.64</v>
      </c>
      <c r="N146" s="50">
        <v>9.74</v>
      </c>
      <c r="O146" s="50">
        <v>9.24</v>
      </c>
      <c r="P146" s="50">
        <v>7.35</v>
      </c>
      <c r="Q146" s="50">
        <v>8.64</v>
      </c>
      <c r="R146" s="50">
        <v>-784.77</v>
      </c>
      <c r="S146" s="50">
        <v>818.32</v>
      </c>
      <c r="T146" s="50">
        <v>-218.91</v>
      </c>
      <c r="U146" s="50" t="s">
        <v>2458</v>
      </c>
      <c r="V146" s="50" t="s">
        <v>590</v>
      </c>
      <c r="W146" s="53" t="s">
        <v>266</v>
      </c>
    </row>
    <row r="147" spans="1:23" ht="15" customHeight="1" x14ac:dyDescent="0.25">
      <c r="A147" s="50" t="s">
        <v>2647</v>
      </c>
      <c r="B147" s="50" t="s">
        <v>2326</v>
      </c>
      <c r="C147" s="50">
        <v>200</v>
      </c>
      <c r="D147" s="51">
        <v>96959.78</v>
      </c>
      <c r="E147" s="51">
        <v>81951.520000000004</v>
      </c>
      <c r="F147" s="50">
        <f t="shared" si="24"/>
        <v>15008.26</v>
      </c>
      <c r="G147" s="51">
        <f t="shared" si="25"/>
        <v>300.17</v>
      </c>
      <c r="H147" s="52">
        <f t="shared" si="26"/>
        <v>0.09</v>
      </c>
      <c r="I147" s="51">
        <f t="shared" si="27"/>
        <v>1218.67</v>
      </c>
      <c r="J147" s="52">
        <f t="shared" si="28"/>
        <v>0.32</v>
      </c>
      <c r="K147" s="50">
        <v>6.41</v>
      </c>
      <c r="L147" s="50">
        <v>2.35</v>
      </c>
      <c r="M147" s="50">
        <f t="shared" si="29"/>
        <v>4.0599999999999996</v>
      </c>
      <c r="N147" s="50">
        <v>9.92</v>
      </c>
      <c r="O147" s="50">
        <v>9.42</v>
      </c>
      <c r="P147" s="50">
        <v>7.32</v>
      </c>
      <c r="Q147" s="50">
        <v>9.81</v>
      </c>
      <c r="R147" s="50">
        <v>282.12</v>
      </c>
      <c r="S147" s="50">
        <v>-290.42</v>
      </c>
      <c r="T147" s="50">
        <v>113.46</v>
      </c>
      <c r="U147" s="50" t="s">
        <v>2462</v>
      </c>
      <c r="V147" s="50" t="s">
        <v>590</v>
      </c>
      <c r="W147" s="53" t="s">
        <v>266</v>
      </c>
    </row>
    <row r="148" spans="1:23" ht="15" customHeight="1" x14ac:dyDescent="0.25">
      <c r="A148" s="50" t="s">
        <v>2648</v>
      </c>
      <c r="B148" s="50" t="s">
        <v>1846</v>
      </c>
      <c r="C148" s="50">
        <v>200</v>
      </c>
      <c r="D148" s="51">
        <v>101637.83</v>
      </c>
      <c r="E148" s="51">
        <v>118727.84</v>
      </c>
      <c r="F148" s="50">
        <f t="shared" si="24"/>
        <v>-17090.009999999998</v>
      </c>
      <c r="G148" s="51">
        <f t="shared" si="25"/>
        <v>-341.8</v>
      </c>
      <c r="H148" s="52">
        <f t="shared" si="26"/>
        <v>-0.11</v>
      </c>
      <c r="I148" s="51">
        <f t="shared" si="27"/>
        <v>-1339.86</v>
      </c>
      <c r="J148" s="52">
        <f t="shared" si="28"/>
        <v>-0.35</v>
      </c>
      <c r="K148" s="50">
        <v>6.66</v>
      </c>
      <c r="L148" s="50">
        <v>2.74</v>
      </c>
      <c r="M148" s="50">
        <f t="shared" si="29"/>
        <v>3.92</v>
      </c>
      <c r="N148" s="50">
        <v>9.6300000000000008</v>
      </c>
      <c r="O148" s="50">
        <v>9.1300000000000008</v>
      </c>
      <c r="P148" s="50">
        <v>5.82</v>
      </c>
      <c r="Q148" s="50">
        <v>10.36</v>
      </c>
      <c r="R148" s="50">
        <v>-351.46</v>
      </c>
      <c r="S148" s="50">
        <v>346.93</v>
      </c>
      <c r="T148" s="50">
        <v>123.11</v>
      </c>
      <c r="U148" s="50" t="s">
        <v>2460</v>
      </c>
      <c r="V148" s="50" t="s">
        <v>590</v>
      </c>
      <c r="W148" s="53" t="s">
        <v>266</v>
      </c>
    </row>
    <row r="149" spans="1:23" ht="15" customHeight="1" x14ac:dyDescent="0.25">
      <c r="A149" s="50" t="s">
        <v>2649</v>
      </c>
      <c r="B149" s="50" t="s">
        <v>960</v>
      </c>
      <c r="C149" s="50">
        <v>200</v>
      </c>
      <c r="D149" s="51">
        <v>136229.57</v>
      </c>
      <c r="E149" s="51">
        <v>165483.31</v>
      </c>
      <c r="F149" s="50">
        <f t="shared" si="24"/>
        <v>-29253.74</v>
      </c>
      <c r="G149" s="51">
        <f t="shared" si="25"/>
        <v>-585.07000000000005</v>
      </c>
      <c r="H149" s="52">
        <f t="shared" si="26"/>
        <v>-0.18</v>
      </c>
      <c r="I149" s="51">
        <f t="shared" si="27"/>
        <v>1117.49</v>
      </c>
      <c r="J149" s="52">
        <f t="shared" si="28"/>
        <v>0.28999999999999998</v>
      </c>
      <c r="K149" s="50">
        <v>3.28</v>
      </c>
      <c r="L149" s="50">
        <v>5.19</v>
      </c>
      <c r="M149" s="50">
        <f t="shared" si="29"/>
        <v>-1.91</v>
      </c>
      <c r="N149" s="50">
        <v>9.0399999999999991</v>
      </c>
      <c r="O149" s="50">
        <v>8.5399999999999991</v>
      </c>
      <c r="P149" s="50">
        <v>7.8</v>
      </c>
      <c r="Q149" s="50">
        <v>9.76</v>
      </c>
      <c r="R149" s="50">
        <v>-605.69000000000005</v>
      </c>
      <c r="S149" s="50">
        <v>618.65</v>
      </c>
      <c r="T149" s="50">
        <v>127.05</v>
      </c>
      <c r="U149" s="50" t="s">
        <v>2462</v>
      </c>
      <c r="V149" s="50" t="s">
        <v>590</v>
      </c>
      <c r="W149" s="53" t="s">
        <v>266</v>
      </c>
    </row>
    <row r="150" spans="1:23" ht="15" customHeight="1" x14ac:dyDescent="0.25">
      <c r="A150" s="50" t="s">
        <v>2650</v>
      </c>
      <c r="B150" s="50" t="s">
        <v>2651</v>
      </c>
      <c r="C150" s="50">
        <v>200</v>
      </c>
      <c r="D150" s="51">
        <v>182312.11</v>
      </c>
      <c r="E150" s="51">
        <v>104462.33</v>
      </c>
      <c r="F150" s="50">
        <f t="shared" si="24"/>
        <v>77849.78</v>
      </c>
      <c r="G150" s="51">
        <f t="shared" si="25"/>
        <v>1557</v>
      </c>
      <c r="H150" s="52">
        <f t="shared" si="26"/>
        <v>0.49</v>
      </c>
      <c r="I150" s="51">
        <f t="shared" si="27"/>
        <v>9341.9699999999993</v>
      </c>
      <c r="J150" s="52">
        <f t="shared" si="28"/>
        <v>2.46</v>
      </c>
      <c r="K150" s="50">
        <v>7.91</v>
      </c>
      <c r="L150" s="50">
        <v>1.91</v>
      </c>
      <c r="M150" s="50">
        <f t="shared" si="29"/>
        <v>6</v>
      </c>
      <c r="N150" s="50">
        <v>8.76</v>
      </c>
      <c r="O150" s="50">
        <v>8.26</v>
      </c>
      <c r="P150" s="50">
        <v>5.64</v>
      </c>
      <c r="Q150" s="50">
        <v>10.78</v>
      </c>
      <c r="R150" s="50">
        <v>1595.37</v>
      </c>
      <c r="S150" s="50">
        <v>-1499.54</v>
      </c>
      <c r="T150" s="50">
        <v>593.05999999999995</v>
      </c>
      <c r="U150" s="50" t="s">
        <v>2470</v>
      </c>
      <c r="V150" s="50" t="s">
        <v>590</v>
      </c>
      <c r="W150" s="53" t="s">
        <v>266</v>
      </c>
    </row>
    <row r="151" spans="1:23" ht="15" customHeight="1" x14ac:dyDescent="0.25">
      <c r="A151" s="50" t="s">
        <v>2652</v>
      </c>
      <c r="B151" s="50" t="s">
        <v>1034</v>
      </c>
      <c r="C151" s="50">
        <v>200</v>
      </c>
      <c r="D151" s="51">
        <v>164432.39000000001</v>
      </c>
      <c r="E151" s="51">
        <v>101871.52</v>
      </c>
      <c r="F151" s="50">
        <f t="shared" si="24"/>
        <v>62560.87</v>
      </c>
      <c r="G151" s="51">
        <f t="shared" si="25"/>
        <v>1251.22</v>
      </c>
      <c r="H151" s="52">
        <f t="shared" si="26"/>
        <v>0.39</v>
      </c>
      <c r="I151" s="51">
        <f t="shared" si="27"/>
        <v>-525.51</v>
      </c>
      <c r="J151" s="52">
        <f t="shared" si="28"/>
        <v>-0.14000000000000001</v>
      </c>
      <c r="K151" s="50">
        <v>3.11</v>
      </c>
      <c r="L151" s="50">
        <v>3.53</v>
      </c>
      <c r="M151" s="50">
        <f t="shared" si="29"/>
        <v>-0.42</v>
      </c>
      <c r="N151" s="50">
        <v>10.029999999999999</v>
      </c>
      <c r="O151" s="50">
        <v>9.5299999999999994</v>
      </c>
      <c r="P151" s="50">
        <v>5.46</v>
      </c>
      <c r="Q151" s="50">
        <v>8.8699999999999992</v>
      </c>
      <c r="R151" s="50">
        <v>1353.88</v>
      </c>
      <c r="S151" s="50">
        <v>-1228.6199999999999</v>
      </c>
      <c r="T151" s="50">
        <v>390.8</v>
      </c>
      <c r="U151" s="50" t="s">
        <v>2465</v>
      </c>
      <c r="V151" s="50" t="s">
        <v>590</v>
      </c>
      <c r="W151" s="53" t="s">
        <v>266</v>
      </c>
    </row>
    <row r="152" spans="1:23" ht="15" customHeight="1" x14ac:dyDescent="0.25">
      <c r="A152" s="50" t="s">
        <v>2653</v>
      </c>
      <c r="B152" s="50" t="s">
        <v>2216</v>
      </c>
      <c r="C152" s="50">
        <v>100</v>
      </c>
      <c r="D152" s="51">
        <v>197134.97</v>
      </c>
      <c r="E152" s="51">
        <v>143025.60000000001</v>
      </c>
      <c r="F152" s="50">
        <f t="shared" si="24"/>
        <v>54109.37</v>
      </c>
      <c r="G152" s="51">
        <f t="shared" si="25"/>
        <v>541.09</v>
      </c>
      <c r="H152" s="52">
        <f t="shared" si="26"/>
        <v>0.17</v>
      </c>
      <c r="I152" s="51">
        <f t="shared" si="27"/>
        <v>205.62</v>
      </c>
      <c r="J152" s="52">
        <f t="shared" si="28"/>
        <v>0.05</v>
      </c>
      <c r="K152" s="50">
        <v>3.38</v>
      </c>
      <c r="L152" s="50">
        <v>3</v>
      </c>
      <c r="M152" s="50">
        <f t="shared" si="29"/>
        <v>0.38</v>
      </c>
      <c r="N152" s="50">
        <v>9.7799999999999994</v>
      </c>
      <c r="O152" s="50">
        <v>9.2799999999999994</v>
      </c>
      <c r="P152" s="50">
        <v>5.41</v>
      </c>
      <c r="Q152" s="50">
        <v>8.7100000000000009</v>
      </c>
      <c r="R152" s="50">
        <v>1077.18</v>
      </c>
      <c r="S152" s="50">
        <v>-1140.01</v>
      </c>
      <c r="T152" s="50">
        <v>343.31</v>
      </c>
      <c r="U152" s="50" t="s">
        <v>2481</v>
      </c>
      <c r="V152" s="50" t="s">
        <v>590</v>
      </c>
      <c r="W152" s="53" t="s">
        <v>266</v>
      </c>
    </row>
    <row r="153" spans="1:23" ht="15" customHeight="1" x14ac:dyDescent="0.25">
      <c r="A153" s="50" t="s">
        <v>2654</v>
      </c>
      <c r="B153" s="50" t="s">
        <v>2655</v>
      </c>
      <c r="C153" s="50">
        <v>-100</v>
      </c>
      <c r="D153" s="51">
        <v>133680.01</v>
      </c>
      <c r="E153" s="51">
        <v>72184.23</v>
      </c>
      <c r="F153" s="50">
        <f t="shared" si="24"/>
        <v>61495.78</v>
      </c>
      <c r="G153" s="51">
        <f t="shared" si="25"/>
        <v>-614.96</v>
      </c>
      <c r="H153" s="52">
        <f t="shared" si="26"/>
        <v>-0.19</v>
      </c>
      <c r="I153" s="51">
        <f t="shared" si="27"/>
        <v>-879.39</v>
      </c>
      <c r="J153" s="52">
        <f t="shared" si="28"/>
        <v>-0.23</v>
      </c>
      <c r="K153" s="50">
        <v>5.45</v>
      </c>
      <c r="L153" s="50">
        <v>4.0199999999999996</v>
      </c>
      <c r="M153" s="50">
        <f t="shared" si="29"/>
        <v>1.43</v>
      </c>
      <c r="N153" s="50">
        <v>9.08</v>
      </c>
      <c r="O153" s="50">
        <v>8.58</v>
      </c>
      <c r="P153" s="50">
        <v>6.02</v>
      </c>
      <c r="Q153" s="50">
        <v>7.38</v>
      </c>
      <c r="R153" s="50">
        <v>1123.8699999999999</v>
      </c>
      <c r="S153" s="50">
        <v>-1140.1199999999999</v>
      </c>
      <c r="T153" s="50">
        <v>319.8</v>
      </c>
      <c r="U153" s="50" t="s">
        <v>2470</v>
      </c>
      <c r="V153" s="50" t="s">
        <v>590</v>
      </c>
      <c r="W153" s="53" t="s">
        <v>266</v>
      </c>
    </row>
    <row r="154" spans="1:23" ht="15" customHeight="1" x14ac:dyDescent="0.25">
      <c r="A154" s="50" t="s">
        <v>2656</v>
      </c>
      <c r="B154" s="50" t="s">
        <v>2657</v>
      </c>
      <c r="C154" s="50">
        <v>-100</v>
      </c>
      <c r="D154" s="51">
        <v>199147.62</v>
      </c>
      <c r="E154" s="51">
        <v>157006.43</v>
      </c>
      <c r="F154" s="50">
        <f t="shared" si="24"/>
        <v>42141.19</v>
      </c>
      <c r="G154" s="51">
        <f t="shared" si="25"/>
        <v>-421.41</v>
      </c>
      <c r="H154" s="52">
        <f t="shared" si="26"/>
        <v>-0.13</v>
      </c>
      <c r="I154" s="51">
        <f t="shared" si="27"/>
        <v>-497.27</v>
      </c>
      <c r="J154" s="52">
        <f t="shared" si="28"/>
        <v>-0.13</v>
      </c>
      <c r="K154" s="50">
        <v>6.51</v>
      </c>
      <c r="L154" s="50">
        <v>5.33</v>
      </c>
      <c r="M154" s="50">
        <f t="shared" si="29"/>
        <v>1.18</v>
      </c>
      <c r="N154" s="50">
        <v>9.0500000000000007</v>
      </c>
      <c r="O154" s="50">
        <v>8.5500000000000007</v>
      </c>
      <c r="P154" s="50">
        <v>7.13</v>
      </c>
      <c r="Q154" s="50">
        <v>11.27</v>
      </c>
      <c r="R154" s="50">
        <v>818.33</v>
      </c>
      <c r="S154" s="50">
        <v>-924.34</v>
      </c>
      <c r="T154" s="50">
        <v>251.96</v>
      </c>
      <c r="U154" s="50" t="s">
        <v>2456</v>
      </c>
      <c r="V154" s="50" t="s">
        <v>590</v>
      </c>
      <c r="W154" s="53" t="s">
        <v>266</v>
      </c>
    </row>
    <row r="155" spans="1:23" ht="15" customHeight="1" x14ac:dyDescent="0.25">
      <c r="A155" s="50" t="s">
        <v>2658</v>
      </c>
      <c r="B155" s="50" t="s">
        <v>2659</v>
      </c>
      <c r="C155" s="50">
        <v>200</v>
      </c>
      <c r="D155" s="51">
        <v>182150.34</v>
      </c>
      <c r="E155" s="51">
        <v>91122.55</v>
      </c>
      <c r="F155" s="50">
        <f t="shared" si="24"/>
        <v>91027.79</v>
      </c>
      <c r="G155" s="51">
        <f t="shared" si="25"/>
        <v>1820.56</v>
      </c>
      <c r="H155" s="52">
        <f t="shared" si="26"/>
        <v>0.56999999999999995</v>
      </c>
      <c r="I155" s="51">
        <f t="shared" si="27"/>
        <v>1529.27</v>
      </c>
      <c r="J155" s="52">
        <f t="shared" si="28"/>
        <v>0.4</v>
      </c>
      <c r="K155" s="50">
        <v>4.18</v>
      </c>
      <c r="L155" s="50">
        <v>3.34</v>
      </c>
      <c r="M155" s="50">
        <f t="shared" si="29"/>
        <v>0.84</v>
      </c>
      <c r="N155" s="50">
        <v>10.06</v>
      </c>
      <c r="O155" s="50">
        <v>9.56</v>
      </c>
      <c r="P155" s="50">
        <v>6.47</v>
      </c>
      <c r="Q155" s="50">
        <v>11.08</v>
      </c>
      <c r="R155" s="50">
        <v>1874.96</v>
      </c>
      <c r="S155" s="50">
        <v>-1893.57</v>
      </c>
      <c r="T155" s="50">
        <v>459.91</v>
      </c>
      <c r="U155" s="50" t="s">
        <v>2462</v>
      </c>
      <c r="V155" s="50" t="s">
        <v>590</v>
      </c>
      <c r="W155" s="53" t="s">
        <v>266</v>
      </c>
    </row>
    <row r="156" spans="1:23" ht="15" customHeight="1" x14ac:dyDescent="0.25">
      <c r="A156" s="50" t="s">
        <v>2660</v>
      </c>
      <c r="B156" s="50" t="s">
        <v>846</v>
      </c>
      <c r="C156" s="50">
        <v>-200</v>
      </c>
      <c r="D156" s="51">
        <v>112740.39</v>
      </c>
      <c r="E156" s="51">
        <v>179460.64</v>
      </c>
      <c r="F156" s="50">
        <f t="shared" si="24"/>
        <v>-66720.25</v>
      </c>
      <c r="G156" s="51">
        <f t="shared" si="25"/>
        <v>1334.41</v>
      </c>
      <c r="H156" s="52">
        <f t="shared" si="26"/>
        <v>0.42</v>
      </c>
      <c r="I156" s="51">
        <f t="shared" si="27"/>
        <v>3295.98</v>
      </c>
      <c r="J156" s="52">
        <f t="shared" si="28"/>
        <v>0.87</v>
      </c>
      <c r="K156" s="50">
        <v>6.44</v>
      </c>
      <c r="L156" s="50">
        <v>3.97</v>
      </c>
      <c r="M156" s="50">
        <f t="shared" si="29"/>
        <v>2.4700000000000002</v>
      </c>
      <c r="N156" s="50">
        <v>9.07</v>
      </c>
      <c r="O156" s="50">
        <v>8.57</v>
      </c>
      <c r="P156" s="50">
        <v>5.09</v>
      </c>
      <c r="Q156" s="50">
        <v>10.92</v>
      </c>
      <c r="R156" s="50">
        <v>-1397.03</v>
      </c>
      <c r="S156" s="50">
        <v>1206.0899999999999</v>
      </c>
      <c r="T156" s="50">
        <v>-368.47</v>
      </c>
      <c r="U156" s="50" t="s">
        <v>2462</v>
      </c>
      <c r="V156" s="50" t="s">
        <v>590</v>
      </c>
      <c r="W156" s="53" t="s">
        <v>266</v>
      </c>
    </row>
    <row r="157" spans="1:23" ht="15" customHeight="1" x14ac:dyDescent="0.25">
      <c r="A157" s="50" t="s">
        <v>2661</v>
      </c>
      <c r="B157" s="50" t="s">
        <v>779</v>
      </c>
      <c r="C157" s="50">
        <v>200</v>
      </c>
      <c r="D157" s="51">
        <v>84317.98</v>
      </c>
      <c r="E157" s="51">
        <v>143909.43</v>
      </c>
      <c r="F157" s="50">
        <f t="shared" si="24"/>
        <v>-59591.45</v>
      </c>
      <c r="G157" s="51">
        <f t="shared" si="25"/>
        <v>-1191.83</v>
      </c>
      <c r="H157" s="52">
        <f t="shared" si="26"/>
        <v>-0.37</v>
      </c>
      <c r="I157" s="51">
        <f t="shared" si="27"/>
        <v>-4969.93</v>
      </c>
      <c r="J157" s="52">
        <f t="shared" si="28"/>
        <v>-1.31</v>
      </c>
      <c r="K157" s="50">
        <v>6.68</v>
      </c>
      <c r="L157" s="50">
        <v>2.5099999999999998</v>
      </c>
      <c r="M157" s="50">
        <f t="shared" si="29"/>
        <v>4.17</v>
      </c>
      <c r="N157" s="50">
        <v>9.8699999999999992</v>
      </c>
      <c r="O157" s="50">
        <v>9.3699999999999992</v>
      </c>
      <c r="P157" s="50">
        <v>7.56</v>
      </c>
      <c r="Q157" s="50">
        <v>10.53</v>
      </c>
      <c r="R157" s="50">
        <v>-1241.24</v>
      </c>
      <c r="S157" s="50">
        <v>1104.19</v>
      </c>
      <c r="T157" s="50">
        <v>-320.89999999999998</v>
      </c>
      <c r="U157" s="50" t="s">
        <v>2481</v>
      </c>
      <c r="V157" s="50" t="s">
        <v>590</v>
      </c>
      <c r="W157" s="53" t="s">
        <v>266</v>
      </c>
    </row>
    <row r="158" spans="1:23" ht="15" customHeight="1" x14ac:dyDescent="0.25">
      <c r="A158" s="50" t="s">
        <v>2662</v>
      </c>
      <c r="B158" s="50" t="s">
        <v>1820</v>
      </c>
      <c r="C158" s="50">
        <v>100</v>
      </c>
      <c r="D158" s="51">
        <v>138659.65</v>
      </c>
      <c r="E158" s="51">
        <v>99333.98</v>
      </c>
      <c r="F158" s="50">
        <f t="shared" si="24"/>
        <v>39325.67</v>
      </c>
      <c r="G158" s="51">
        <f t="shared" si="25"/>
        <v>393.26</v>
      </c>
      <c r="H158" s="52">
        <f t="shared" si="26"/>
        <v>0.12</v>
      </c>
      <c r="I158" s="51">
        <f t="shared" si="27"/>
        <v>1120.78</v>
      </c>
      <c r="J158" s="52">
        <f t="shared" si="28"/>
        <v>0.28999999999999998</v>
      </c>
      <c r="K158" s="50">
        <v>7.98</v>
      </c>
      <c r="L158" s="50">
        <v>5.13</v>
      </c>
      <c r="M158" s="50">
        <f t="shared" si="29"/>
        <v>2.85</v>
      </c>
      <c r="N158" s="50">
        <v>8.64</v>
      </c>
      <c r="O158" s="50">
        <v>8.14</v>
      </c>
      <c r="P158" s="50">
        <v>7</v>
      </c>
      <c r="Q158" s="50">
        <v>8.43</v>
      </c>
      <c r="R158" s="50">
        <v>848.78</v>
      </c>
      <c r="S158" s="50">
        <v>-711.48</v>
      </c>
      <c r="T158" s="50">
        <v>-177.52</v>
      </c>
      <c r="U158" s="50" t="s">
        <v>2465</v>
      </c>
      <c r="V158" s="50" t="s">
        <v>590</v>
      </c>
      <c r="W158" s="53" t="s">
        <v>266</v>
      </c>
    </row>
    <row r="159" spans="1:23" ht="15" customHeight="1" x14ac:dyDescent="0.25">
      <c r="A159" s="50" t="s">
        <v>2663</v>
      </c>
      <c r="B159" s="50" t="s">
        <v>1382</v>
      </c>
      <c r="C159" s="50">
        <v>-100</v>
      </c>
      <c r="D159" s="51">
        <v>101252.87</v>
      </c>
      <c r="E159" s="51">
        <v>77145.509999999995</v>
      </c>
      <c r="F159" s="50">
        <f t="shared" si="24"/>
        <v>24107.360000000001</v>
      </c>
      <c r="G159" s="51">
        <f t="shared" si="25"/>
        <v>-241.07</v>
      </c>
      <c r="H159" s="52">
        <f t="shared" si="26"/>
        <v>-0.08</v>
      </c>
      <c r="I159" s="51">
        <f t="shared" si="27"/>
        <v>-930.54</v>
      </c>
      <c r="J159" s="52">
        <f t="shared" si="28"/>
        <v>-0.24</v>
      </c>
      <c r="K159" s="50">
        <v>5.93</v>
      </c>
      <c r="L159" s="50">
        <v>2.0699999999999998</v>
      </c>
      <c r="M159" s="50">
        <f t="shared" si="29"/>
        <v>3.86</v>
      </c>
      <c r="N159" s="50">
        <v>8.65</v>
      </c>
      <c r="O159" s="50">
        <v>8.15</v>
      </c>
      <c r="P159" s="50">
        <v>5.23</v>
      </c>
      <c r="Q159" s="50">
        <v>10.25</v>
      </c>
      <c r="R159" s="50">
        <v>517.84</v>
      </c>
      <c r="S159" s="50">
        <v>-493.47</v>
      </c>
      <c r="T159" s="50">
        <v>111.5</v>
      </c>
      <c r="U159" s="50" t="s">
        <v>2470</v>
      </c>
      <c r="V159" s="50" t="s">
        <v>590</v>
      </c>
      <c r="W159" s="53" t="s">
        <v>266</v>
      </c>
    </row>
    <row r="160" spans="1:23" ht="15" customHeight="1" x14ac:dyDescent="0.25">
      <c r="A160" s="50" t="s">
        <v>2664</v>
      </c>
      <c r="B160" s="50" t="s">
        <v>1768</v>
      </c>
      <c r="C160" s="50">
        <v>200</v>
      </c>
      <c r="D160" s="51">
        <v>174335.8</v>
      </c>
      <c r="E160" s="51">
        <v>81641.600000000006</v>
      </c>
      <c r="F160" s="50">
        <f t="shared" si="24"/>
        <v>92694.2</v>
      </c>
      <c r="G160" s="51">
        <f t="shared" si="25"/>
        <v>1853.88</v>
      </c>
      <c r="H160" s="52">
        <f t="shared" si="26"/>
        <v>0.57999999999999996</v>
      </c>
      <c r="I160" s="51">
        <f t="shared" si="27"/>
        <v>-1742.65</v>
      </c>
      <c r="J160" s="52">
        <f t="shared" si="28"/>
        <v>-0.46</v>
      </c>
      <c r="K160" s="50">
        <v>3.23</v>
      </c>
      <c r="L160" s="50">
        <v>4.17</v>
      </c>
      <c r="M160" s="50">
        <f t="shared" si="29"/>
        <v>-0.94</v>
      </c>
      <c r="N160" s="50">
        <v>8.84</v>
      </c>
      <c r="O160" s="50">
        <v>8.34</v>
      </c>
      <c r="P160" s="50">
        <v>7.24</v>
      </c>
      <c r="Q160" s="50">
        <v>7.37</v>
      </c>
      <c r="R160" s="50">
        <v>1934.81</v>
      </c>
      <c r="S160" s="50">
        <v>-1702.45</v>
      </c>
      <c r="T160" s="50">
        <v>-531.30999999999995</v>
      </c>
      <c r="U160" s="50" t="s">
        <v>2456</v>
      </c>
      <c r="V160" s="50" t="s">
        <v>590</v>
      </c>
      <c r="W160" s="53" t="s">
        <v>266</v>
      </c>
    </row>
    <row r="161" spans="1:23" ht="15" customHeight="1" x14ac:dyDescent="0.25">
      <c r="A161" s="50" t="s">
        <v>2665</v>
      </c>
      <c r="B161" s="50" t="s">
        <v>2666</v>
      </c>
      <c r="C161" s="50">
        <v>-200</v>
      </c>
      <c r="D161" s="51">
        <v>166037.5</v>
      </c>
      <c r="E161" s="51">
        <v>112559.1</v>
      </c>
      <c r="F161" s="50">
        <f t="shared" si="24"/>
        <v>53478.400000000001</v>
      </c>
      <c r="G161" s="51">
        <f t="shared" si="25"/>
        <v>-1069.57</v>
      </c>
      <c r="H161" s="52">
        <f t="shared" si="26"/>
        <v>-0.33</v>
      </c>
      <c r="I161" s="51">
        <f t="shared" si="27"/>
        <v>-4684.71</v>
      </c>
      <c r="J161" s="52">
        <f t="shared" si="28"/>
        <v>-1.23</v>
      </c>
      <c r="K161" s="50">
        <v>6.25</v>
      </c>
      <c r="L161" s="50">
        <v>1.87</v>
      </c>
      <c r="M161" s="50">
        <f t="shared" si="29"/>
        <v>4.38</v>
      </c>
      <c r="N161" s="50">
        <v>9.89</v>
      </c>
      <c r="O161" s="50">
        <v>9.39</v>
      </c>
      <c r="P161" s="50">
        <v>7.12</v>
      </c>
      <c r="Q161" s="50">
        <v>9.23</v>
      </c>
      <c r="R161" s="50">
        <v>1062.98</v>
      </c>
      <c r="S161" s="50">
        <v>-1119.0999999999999</v>
      </c>
      <c r="T161" s="50">
        <v>-340.51</v>
      </c>
      <c r="U161" s="50" t="s">
        <v>2460</v>
      </c>
      <c r="V161" s="50" t="s">
        <v>590</v>
      </c>
      <c r="W161" s="53" t="s">
        <v>266</v>
      </c>
    </row>
    <row r="162" spans="1:23" ht="15" customHeight="1" x14ac:dyDescent="0.25">
      <c r="A162" s="50" t="s">
        <v>2667</v>
      </c>
      <c r="B162" s="50" t="s">
        <v>2300</v>
      </c>
      <c r="C162" s="50">
        <v>-100</v>
      </c>
      <c r="D162" s="51">
        <v>140910.13</v>
      </c>
      <c r="E162" s="51">
        <v>78751.41</v>
      </c>
      <c r="F162" s="50">
        <f t="shared" si="24"/>
        <v>62158.720000000001</v>
      </c>
      <c r="G162" s="51">
        <f t="shared" si="25"/>
        <v>-621.59</v>
      </c>
      <c r="H162" s="52">
        <f t="shared" si="26"/>
        <v>-0.19</v>
      </c>
      <c r="I162" s="51">
        <f t="shared" si="27"/>
        <v>-3835.19</v>
      </c>
      <c r="J162" s="52">
        <f t="shared" si="28"/>
        <v>-1.01</v>
      </c>
      <c r="K162" s="50">
        <v>8.35</v>
      </c>
      <c r="L162" s="50">
        <v>2.1800000000000002</v>
      </c>
      <c r="M162" s="50">
        <f t="shared" si="29"/>
        <v>6.17</v>
      </c>
      <c r="N162" s="50">
        <v>9.99</v>
      </c>
      <c r="O162" s="50">
        <v>9.49</v>
      </c>
      <c r="P162" s="50">
        <v>6.73</v>
      </c>
      <c r="Q162" s="50">
        <v>7.85</v>
      </c>
      <c r="R162" s="50">
        <v>1293.6099999999999</v>
      </c>
      <c r="S162" s="50">
        <v>-1137.7</v>
      </c>
      <c r="T162" s="50">
        <v>295.14</v>
      </c>
      <c r="U162" s="50" t="s">
        <v>2456</v>
      </c>
      <c r="V162" s="50" t="s">
        <v>590</v>
      </c>
      <c r="W162" s="53" t="s">
        <v>266</v>
      </c>
    </row>
    <row r="163" spans="1:23" ht="15" customHeight="1" x14ac:dyDescent="0.25">
      <c r="A163" s="50" t="s">
        <v>2668</v>
      </c>
      <c r="B163" s="50" t="s">
        <v>2669</v>
      </c>
      <c r="C163" s="50">
        <v>-100</v>
      </c>
      <c r="D163" s="51">
        <v>127360.16</v>
      </c>
      <c r="E163" s="51">
        <v>161964.44</v>
      </c>
      <c r="F163" s="50">
        <f t="shared" ref="F163:F194" si="30">ROUND(D163-E163,2)</f>
        <v>-34604.28</v>
      </c>
      <c r="G163" s="51">
        <f t="shared" ref="G163:G194" si="31">ROUND(F163*C163/10000,2)</f>
        <v>346.04</v>
      </c>
      <c r="H163" s="52">
        <f t="shared" ref="H163:H194" si="32">ROUND(G163/320000*100,2)</f>
        <v>0.11</v>
      </c>
      <c r="I163" s="51">
        <f t="shared" ref="I163:I194" si="33">ROUND(F163*M163*C163/10000,2)</f>
        <v>491.38</v>
      </c>
      <c r="J163" s="52">
        <f t="shared" ref="J163:J194" si="34">ROUND(I163/380000*100,2)</f>
        <v>0.13</v>
      </c>
      <c r="K163" s="50">
        <v>4.28</v>
      </c>
      <c r="L163" s="50">
        <v>2.86</v>
      </c>
      <c r="M163" s="50">
        <f t="shared" ref="M163:M194" si="35">ROUND(K163-L163,2)</f>
        <v>1.42</v>
      </c>
      <c r="N163" s="50">
        <v>9.59</v>
      </c>
      <c r="O163" s="50">
        <v>9.09</v>
      </c>
      <c r="P163" s="50">
        <v>5.65</v>
      </c>
      <c r="Q163" s="50">
        <v>8.1300000000000008</v>
      </c>
      <c r="R163" s="50">
        <v>-724.67</v>
      </c>
      <c r="S163" s="50">
        <v>696.31</v>
      </c>
      <c r="T163" s="50">
        <v>-229.06</v>
      </c>
      <c r="U163" s="50" t="s">
        <v>2470</v>
      </c>
      <c r="V163" s="50" t="s">
        <v>590</v>
      </c>
      <c r="W163" s="53" t="s">
        <v>266</v>
      </c>
    </row>
    <row r="164" spans="1:23" ht="15" customHeight="1" x14ac:dyDescent="0.25">
      <c r="A164" s="50" t="s">
        <v>2670</v>
      </c>
      <c r="B164" s="50" t="s">
        <v>2671</v>
      </c>
      <c r="C164" s="50">
        <v>-100</v>
      </c>
      <c r="D164" s="51">
        <v>87758.399999999994</v>
      </c>
      <c r="E164" s="51">
        <v>76906.13</v>
      </c>
      <c r="F164" s="50">
        <f t="shared" si="30"/>
        <v>10852.27</v>
      </c>
      <c r="G164" s="51">
        <f t="shared" si="31"/>
        <v>-108.52</v>
      </c>
      <c r="H164" s="52">
        <f t="shared" si="32"/>
        <v>-0.03</v>
      </c>
      <c r="I164" s="51">
        <f t="shared" si="33"/>
        <v>-29.3</v>
      </c>
      <c r="J164" s="52">
        <f t="shared" si="34"/>
        <v>-0.01</v>
      </c>
      <c r="K164" s="50">
        <v>4.57</v>
      </c>
      <c r="L164" s="50">
        <v>4.3</v>
      </c>
      <c r="M164" s="50">
        <f t="shared" si="35"/>
        <v>0.27</v>
      </c>
      <c r="N164" s="50">
        <v>9.5500000000000007</v>
      </c>
      <c r="O164" s="50">
        <v>9.0500000000000007</v>
      </c>
      <c r="P164" s="50">
        <v>7.45</v>
      </c>
      <c r="Q164" s="50">
        <v>7.36</v>
      </c>
      <c r="R164" s="50">
        <v>195.86</v>
      </c>
      <c r="S164" s="50">
        <v>-227.65</v>
      </c>
      <c r="T164" s="50">
        <v>47.24</v>
      </c>
      <c r="U164" s="50" t="s">
        <v>2458</v>
      </c>
      <c r="V164" s="50" t="s">
        <v>590</v>
      </c>
      <c r="W164" s="53" t="s">
        <v>266</v>
      </c>
    </row>
    <row r="165" spans="1:23" ht="15" customHeight="1" x14ac:dyDescent="0.25">
      <c r="A165" s="50" t="s">
        <v>2672</v>
      </c>
      <c r="B165" s="50" t="s">
        <v>1967</v>
      </c>
      <c r="C165" s="50">
        <v>-100</v>
      </c>
      <c r="D165" s="51">
        <v>148304.14000000001</v>
      </c>
      <c r="E165" s="51">
        <v>149986.38</v>
      </c>
      <c r="F165" s="50">
        <f t="shared" si="30"/>
        <v>-1682.24</v>
      </c>
      <c r="G165" s="51">
        <f t="shared" si="31"/>
        <v>16.82</v>
      </c>
      <c r="H165" s="52">
        <f t="shared" si="32"/>
        <v>0.01</v>
      </c>
      <c r="I165" s="51">
        <f t="shared" si="33"/>
        <v>30.28</v>
      </c>
      <c r="J165" s="52">
        <f t="shared" si="34"/>
        <v>0.01</v>
      </c>
      <c r="K165" s="50">
        <v>4.41</v>
      </c>
      <c r="L165" s="50">
        <v>2.61</v>
      </c>
      <c r="M165" s="50">
        <f t="shared" si="35"/>
        <v>1.8</v>
      </c>
      <c r="N165" s="50">
        <v>9.8800000000000008</v>
      </c>
      <c r="O165" s="50">
        <v>9.3800000000000008</v>
      </c>
      <c r="P165" s="50">
        <v>6.11</v>
      </c>
      <c r="Q165" s="50">
        <v>8.35</v>
      </c>
      <c r="R165" s="50">
        <v>-32.39</v>
      </c>
      <c r="S165" s="50">
        <v>37</v>
      </c>
      <c r="T165" s="50">
        <v>8.01</v>
      </c>
      <c r="U165" s="50" t="s">
        <v>2458</v>
      </c>
      <c r="V165" s="50" t="s">
        <v>590</v>
      </c>
      <c r="W165" s="53" t="s">
        <v>266</v>
      </c>
    </row>
    <row r="166" spans="1:23" ht="15" customHeight="1" x14ac:dyDescent="0.25">
      <c r="A166" s="50" t="s">
        <v>2673</v>
      </c>
      <c r="B166" s="50" t="s">
        <v>2603</v>
      </c>
      <c r="C166" s="50">
        <v>200</v>
      </c>
      <c r="D166" s="51">
        <v>129167.89</v>
      </c>
      <c r="E166" s="51">
        <v>166797.21</v>
      </c>
      <c r="F166" s="50">
        <f t="shared" si="30"/>
        <v>-37629.32</v>
      </c>
      <c r="G166" s="51">
        <f t="shared" si="31"/>
        <v>-752.59</v>
      </c>
      <c r="H166" s="52">
        <f t="shared" si="32"/>
        <v>-0.24</v>
      </c>
      <c r="I166" s="51">
        <f t="shared" si="33"/>
        <v>97.84</v>
      </c>
      <c r="J166" s="52">
        <f t="shared" si="34"/>
        <v>0.03</v>
      </c>
      <c r="K166" s="50">
        <v>4.45</v>
      </c>
      <c r="L166" s="50">
        <v>4.58</v>
      </c>
      <c r="M166" s="50">
        <f t="shared" si="35"/>
        <v>-0.13</v>
      </c>
      <c r="N166" s="50">
        <v>10.11</v>
      </c>
      <c r="O166" s="50">
        <v>9.61</v>
      </c>
      <c r="P166" s="50">
        <v>6.21</v>
      </c>
      <c r="Q166" s="50">
        <v>10.91</v>
      </c>
      <c r="R166" s="50">
        <v>-745.39</v>
      </c>
      <c r="S166" s="50">
        <v>698.71</v>
      </c>
      <c r="T166" s="50">
        <v>-263.49</v>
      </c>
      <c r="U166" s="50" t="s">
        <v>2458</v>
      </c>
      <c r="V166" s="50" t="s">
        <v>590</v>
      </c>
      <c r="W166" s="53" t="s">
        <v>266</v>
      </c>
    </row>
    <row r="167" spans="1:23" ht="15" customHeight="1" x14ac:dyDescent="0.25">
      <c r="A167" s="50" t="s">
        <v>2674</v>
      </c>
      <c r="B167" s="50" t="s">
        <v>2675</v>
      </c>
      <c r="C167" s="50">
        <v>-100</v>
      </c>
      <c r="D167" s="51">
        <v>174591.84</v>
      </c>
      <c r="E167" s="51">
        <v>111960.31</v>
      </c>
      <c r="F167" s="50">
        <f t="shared" si="30"/>
        <v>62631.53</v>
      </c>
      <c r="G167" s="51">
        <f t="shared" si="31"/>
        <v>-626.32000000000005</v>
      </c>
      <c r="H167" s="52">
        <f t="shared" si="32"/>
        <v>-0.2</v>
      </c>
      <c r="I167" s="51">
        <f t="shared" si="33"/>
        <v>-3789.21</v>
      </c>
      <c r="J167" s="52">
        <f t="shared" si="34"/>
        <v>-1</v>
      </c>
      <c r="K167" s="50">
        <v>7.72</v>
      </c>
      <c r="L167" s="50">
        <v>1.67</v>
      </c>
      <c r="M167" s="50">
        <f t="shared" si="35"/>
        <v>6.05</v>
      </c>
      <c r="N167" s="50">
        <v>9.1199999999999992</v>
      </c>
      <c r="O167" s="50">
        <v>8.6199999999999992</v>
      </c>
      <c r="P167" s="50">
        <v>6.3</v>
      </c>
      <c r="Q167" s="50">
        <v>10.68</v>
      </c>
      <c r="R167" s="50">
        <v>1165.21</v>
      </c>
      <c r="S167" s="50">
        <v>-1364.38</v>
      </c>
      <c r="T167" s="50">
        <v>-304.89</v>
      </c>
      <c r="U167" s="50" t="s">
        <v>2460</v>
      </c>
      <c r="V167" s="50" t="s">
        <v>590</v>
      </c>
      <c r="W167" s="53" t="s">
        <v>266</v>
      </c>
    </row>
    <row r="168" spans="1:23" ht="15" customHeight="1" x14ac:dyDescent="0.25">
      <c r="A168" s="50" t="s">
        <v>2676</v>
      </c>
      <c r="B168" s="50" t="s">
        <v>2455</v>
      </c>
      <c r="C168" s="50">
        <v>300</v>
      </c>
      <c r="D168" s="51">
        <v>97987.98</v>
      </c>
      <c r="E168" s="51">
        <v>107104.67</v>
      </c>
      <c r="F168" s="50">
        <f t="shared" si="30"/>
        <v>-9116.69</v>
      </c>
      <c r="G168" s="51">
        <f t="shared" si="31"/>
        <v>-273.5</v>
      </c>
      <c r="H168" s="52">
        <f t="shared" si="32"/>
        <v>-0.09</v>
      </c>
      <c r="I168" s="51">
        <f t="shared" si="33"/>
        <v>38.29</v>
      </c>
      <c r="J168" s="52">
        <f t="shared" si="34"/>
        <v>0.01</v>
      </c>
      <c r="K168" s="50">
        <v>2.63</v>
      </c>
      <c r="L168" s="50">
        <v>2.77</v>
      </c>
      <c r="M168" s="50">
        <f t="shared" si="35"/>
        <v>-0.14000000000000001</v>
      </c>
      <c r="N168" s="50">
        <v>9.02</v>
      </c>
      <c r="O168" s="50">
        <v>8.52</v>
      </c>
      <c r="P168" s="50">
        <v>7.87</v>
      </c>
      <c r="Q168" s="50">
        <v>9.4700000000000006</v>
      </c>
      <c r="R168" s="50">
        <v>-171.03</v>
      </c>
      <c r="S168" s="50">
        <v>186.23</v>
      </c>
      <c r="T168" s="50">
        <v>-54.67</v>
      </c>
      <c r="U168" s="50" t="s">
        <v>2474</v>
      </c>
      <c r="V168" s="50" t="s">
        <v>590</v>
      </c>
      <c r="W168" s="53" t="s">
        <v>266</v>
      </c>
    </row>
    <row r="169" spans="1:23" ht="15" customHeight="1" x14ac:dyDescent="0.25">
      <c r="A169" s="50" t="s">
        <v>2677</v>
      </c>
      <c r="B169" s="50" t="s">
        <v>1474</v>
      </c>
      <c r="C169" s="50">
        <v>300</v>
      </c>
      <c r="D169" s="51">
        <v>196291.99</v>
      </c>
      <c r="E169" s="51">
        <v>76573.649999999994</v>
      </c>
      <c r="F169" s="50">
        <f t="shared" si="30"/>
        <v>119718.34</v>
      </c>
      <c r="G169" s="51">
        <f t="shared" si="31"/>
        <v>3591.55</v>
      </c>
      <c r="H169" s="52">
        <f t="shared" si="32"/>
        <v>1.1200000000000001</v>
      </c>
      <c r="I169" s="51">
        <f t="shared" si="33"/>
        <v>25033.1</v>
      </c>
      <c r="J169" s="52">
        <f t="shared" si="34"/>
        <v>6.59</v>
      </c>
      <c r="K169" s="50">
        <v>8.27</v>
      </c>
      <c r="L169" s="50">
        <v>1.3</v>
      </c>
      <c r="M169" s="50">
        <f t="shared" si="35"/>
        <v>6.97</v>
      </c>
      <c r="N169" s="50">
        <v>9.0500000000000007</v>
      </c>
      <c r="O169" s="50">
        <v>8.5500000000000007</v>
      </c>
      <c r="P169" s="50">
        <v>6.43</v>
      </c>
      <c r="Q169" s="50">
        <v>8.3000000000000007</v>
      </c>
      <c r="R169" s="50">
        <v>2403.35</v>
      </c>
      <c r="S169" s="50">
        <v>-2391.6</v>
      </c>
      <c r="T169" s="50">
        <v>582.5</v>
      </c>
      <c r="U169" s="50" t="s">
        <v>2474</v>
      </c>
      <c r="V169" s="50" t="s">
        <v>590</v>
      </c>
      <c r="W169" s="53" t="s">
        <v>266</v>
      </c>
    </row>
    <row r="170" spans="1:23" ht="15" customHeight="1" x14ac:dyDescent="0.25">
      <c r="A170" s="50" t="s">
        <v>2678</v>
      </c>
      <c r="B170" s="50" t="s">
        <v>2679</v>
      </c>
      <c r="C170" s="50">
        <v>100</v>
      </c>
      <c r="D170" s="51">
        <v>155781.03</v>
      </c>
      <c r="E170" s="51">
        <v>107243.86</v>
      </c>
      <c r="F170" s="50">
        <f t="shared" si="30"/>
        <v>48537.17</v>
      </c>
      <c r="G170" s="51">
        <f t="shared" si="31"/>
        <v>485.37</v>
      </c>
      <c r="H170" s="52">
        <f t="shared" si="32"/>
        <v>0.15</v>
      </c>
      <c r="I170" s="51">
        <f t="shared" si="33"/>
        <v>281.52</v>
      </c>
      <c r="J170" s="52">
        <f t="shared" si="34"/>
        <v>7.0000000000000007E-2</v>
      </c>
      <c r="K170" s="50">
        <v>4.3600000000000003</v>
      </c>
      <c r="L170" s="50">
        <v>3.78</v>
      </c>
      <c r="M170" s="50">
        <f t="shared" si="35"/>
        <v>0.57999999999999996</v>
      </c>
      <c r="N170" s="50">
        <v>9.5399999999999991</v>
      </c>
      <c r="O170" s="50">
        <v>9.0399999999999991</v>
      </c>
      <c r="P170" s="50">
        <v>6.8</v>
      </c>
      <c r="Q170" s="50">
        <v>9.3800000000000008</v>
      </c>
      <c r="R170" s="50">
        <v>1014.38</v>
      </c>
      <c r="S170" s="50">
        <v>-1030.3699999999999</v>
      </c>
      <c r="T170" s="50">
        <v>361.91</v>
      </c>
      <c r="U170" s="50" t="s">
        <v>2470</v>
      </c>
      <c r="V170" s="50" t="s">
        <v>590</v>
      </c>
      <c r="W170" s="53" t="s">
        <v>266</v>
      </c>
    </row>
    <row r="171" spans="1:23" ht="15" customHeight="1" x14ac:dyDescent="0.25">
      <c r="A171" s="50" t="s">
        <v>2680</v>
      </c>
      <c r="B171" s="50" t="s">
        <v>1519</v>
      </c>
      <c r="C171" s="50">
        <v>300</v>
      </c>
      <c r="D171" s="51">
        <v>87575</v>
      </c>
      <c r="E171" s="51">
        <v>119178.6</v>
      </c>
      <c r="F171" s="50">
        <f t="shared" si="30"/>
        <v>-31603.599999999999</v>
      </c>
      <c r="G171" s="51">
        <f t="shared" si="31"/>
        <v>-948.11</v>
      </c>
      <c r="H171" s="52">
        <f t="shared" si="32"/>
        <v>-0.3</v>
      </c>
      <c r="I171" s="51">
        <f t="shared" si="33"/>
        <v>-2901.21</v>
      </c>
      <c r="J171" s="52">
        <f t="shared" si="34"/>
        <v>-0.76</v>
      </c>
      <c r="K171" s="50">
        <v>5</v>
      </c>
      <c r="L171" s="50">
        <v>1.94</v>
      </c>
      <c r="M171" s="50">
        <f t="shared" si="35"/>
        <v>3.06</v>
      </c>
      <c r="N171" s="50">
        <v>9.0500000000000007</v>
      </c>
      <c r="O171" s="50">
        <v>8.5500000000000007</v>
      </c>
      <c r="P171" s="50">
        <v>5.7</v>
      </c>
      <c r="Q171" s="50">
        <v>10.92</v>
      </c>
      <c r="R171" s="50">
        <v>-649</v>
      </c>
      <c r="S171" s="50">
        <v>682.87</v>
      </c>
      <c r="T171" s="50">
        <v>-186.61</v>
      </c>
      <c r="U171" s="50" t="s">
        <v>2470</v>
      </c>
      <c r="V171" s="50" t="s">
        <v>590</v>
      </c>
      <c r="W171" s="53" t="s">
        <v>266</v>
      </c>
    </row>
    <row r="172" spans="1:23" ht="15" customHeight="1" x14ac:dyDescent="0.25">
      <c r="A172" s="50" t="s">
        <v>2681</v>
      </c>
      <c r="B172" s="50" t="s">
        <v>1203</v>
      </c>
      <c r="C172" s="50">
        <v>200</v>
      </c>
      <c r="D172" s="51">
        <v>149266.38</v>
      </c>
      <c r="E172" s="51">
        <v>106416.68</v>
      </c>
      <c r="F172" s="50">
        <f t="shared" si="30"/>
        <v>42849.7</v>
      </c>
      <c r="G172" s="51">
        <f t="shared" si="31"/>
        <v>856.99</v>
      </c>
      <c r="H172" s="52">
        <f t="shared" si="32"/>
        <v>0.27</v>
      </c>
      <c r="I172" s="51">
        <f t="shared" si="33"/>
        <v>1799.69</v>
      </c>
      <c r="J172" s="52">
        <f t="shared" si="34"/>
        <v>0.47</v>
      </c>
      <c r="K172" s="50">
        <v>3.67</v>
      </c>
      <c r="L172" s="50">
        <v>1.57</v>
      </c>
      <c r="M172" s="50">
        <f t="shared" si="35"/>
        <v>2.1</v>
      </c>
      <c r="N172" s="50">
        <v>9.0500000000000007</v>
      </c>
      <c r="O172" s="50">
        <v>8.5500000000000007</v>
      </c>
      <c r="P172" s="50">
        <v>6.9</v>
      </c>
      <c r="Q172" s="50">
        <v>11.37</v>
      </c>
      <c r="R172" s="50">
        <v>892.66</v>
      </c>
      <c r="S172" s="50">
        <v>-875.74</v>
      </c>
      <c r="T172" s="50">
        <v>-310.8</v>
      </c>
      <c r="U172" s="50" t="s">
        <v>2474</v>
      </c>
      <c r="V172" s="50" t="s">
        <v>590</v>
      </c>
      <c r="W172" s="53" t="s">
        <v>266</v>
      </c>
    </row>
    <row r="173" spans="1:23" ht="15" customHeight="1" x14ac:dyDescent="0.25">
      <c r="A173" s="50" t="s">
        <v>2682</v>
      </c>
      <c r="B173" s="50" t="s">
        <v>854</v>
      </c>
      <c r="C173" s="50">
        <v>300</v>
      </c>
      <c r="D173" s="51">
        <v>186866.85</v>
      </c>
      <c r="E173" s="51">
        <v>104480.61</v>
      </c>
      <c r="F173" s="50">
        <f t="shared" si="30"/>
        <v>82386.240000000005</v>
      </c>
      <c r="G173" s="51">
        <f t="shared" si="31"/>
        <v>2471.59</v>
      </c>
      <c r="H173" s="52">
        <f t="shared" si="32"/>
        <v>0.77</v>
      </c>
      <c r="I173" s="51">
        <f t="shared" si="33"/>
        <v>12481.52</v>
      </c>
      <c r="J173" s="52">
        <f t="shared" si="34"/>
        <v>3.28</v>
      </c>
      <c r="K173" s="50">
        <v>7.78</v>
      </c>
      <c r="L173" s="50">
        <v>2.73</v>
      </c>
      <c r="M173" s="50">
        <f t="shared" si="35"/>
        <v>5.05</v>
      </c>
      <c r="N173" s="50">
        <v>8.75</v>
      </c>
      <c r="O173" s="50">
        <v>8.25</v>
      </c>
      <c r="P173" s="50">
        <v>5.96</v>
      </c>
      <c r="Q173" s="50">
        <v>9.3800000000000008</v>
      </c>
      <c r="R173" s="50">
        <v>1681.54</v>
      </c>
      <c r="S173" s="50">
        <v>-1776.55</v>
      </c>
      <c r="T173" s="50">
        <v>645.34</v>
      </c>
      <c r="U173" s="50" t="s">
        <v>2458</v>
      </c>
      <c r="V173" s="50" t="s">
        <v>590</v>
      </c>
      <c r="W173" s="53" t="s">
        <v>266</v>
      </c>
    </row>
    <row r="174" spans="1:23" ht="15" customHeight="1" x14ac:dyDescent="0.25">
      <c r="A174" s="50" t="s">
        <v>2683</v>
      </c>
      <c r="B174" s="50" t="s">
        <v>2684</v>
      </c>
      <c r="C174" s="50">
        <v>300</v>
      </c>
      <c r="D174" s="51">
        <v>126749.18</v>
      </c>
      <c r="E174" s="51">
        <v>91249.99</v>
      </c>
      <c r="F174" s="50">
        <f t="shared" si="30"/>
        <v>35499.19</v>
      </c>
      <c r="G174" s="51">
        <f t="shared" si="31"/>
        <v>1064.98</v>
      </c>
      <c r="H174" s="52">
        <f t="shared" si="32"/>
        <v>0.33</v>
      </c>
      <c r="I174" s="51">
        <f t="shared" si="33"/>
        <v>3109.73</v>
      </c>
      <c r="J174" s="52">
        <f t="shared" si="34"/>
        <v>0.82</v>
      </c>
      <c r="K174" s="50">
        <v>7.12</v>
      </c>
      <c r="L174" s="50">
        <v>4.2</v>
      </c>
      <c r="M174" s="50">
        <f t="shared" si="35"/>
        <v>2.92</v>
      </c>
      <c r="N174" s="50">
        <v>9.1199999999999992</v>
      </c>
      <c r="O174" s="50">
        <v>8.6199999999999992</v>
      </c>
      <c r="P174" s="50">
        <v>7.33</v>
      </c>
      <c r="Q174" s="50">
        <v>9.1300000000000008</v>
      </c>
      <c r="R174" s="50">
        <v>728.88</v>
      </c>
      <c r="S174" s="50">
        <v>-685.45</v>
      </c>
      <c r="T174" s="50">
        <v>259.12</v>
      </c>
      <c r="U174" s="50" t="s">
        <v>2474</v>
      </c>
      <c r="V174" s="50" t="s">
        <v>590</v>
      </c>
      <c r="W174" s="53" t="s">
        <v>266</v>
      </c>
    </row>
    <row r="175" spans="1:23" ht="15" customHeight="1" x14ac:dyDescent="0.25">
      <c r="A175" s="50" t="s">
        <v>2685</v>
      </c>
      <c r="B175" s="50" t="s">
        <v>831</v>
      </c>
      <c r="C175" s="50">
        <v>-100</v>
      </c>
      <c r="D175" s="51">
        <v>174042.11</v>
      </c>
      <c r="E175" s="51">
        <v>175233.44</v>
      </c>
      <c r="F175" s="50">
        <f t="shared" si="30"/>
        <v>-1191.33</v>
      </c>
      <c r="G175" s="51">
        <f t="shared" si="31"/>
        <v>11.91</v>
      </c>
      <c r="H175" s="52">
        <f t="shared" si="32"/>
        <v>0</v>
      </c>
      <c r="I175" s="51">
        <f t="shared" si="33"/>
        <v>35.74</v>
      </c>
      <c r="J175" s="52">
        <f t="shared" si="34"/>
        <v>0.01</v>
      </c>
      <c r="K175" s="50">
        <v>5.41</v>
      </c>
      <c r="L175" s="50">
        <v>2.41</v>
      </c>
      <c r="M175" s="50">
        <f t="shared" si="35"/>
        <v>3</v>
      </c>
      <c r="N175" s="50">
        <v>10</v>
      </c>
      <c r="O175" s="50">
        <v>9.5</v>
      </c>
      <c r="P175" s="50">
        <v>5.6</v>
      </c>
      <c r="Q175" s="50">
        <v>10.65</v>
      </c>
      <c r="R175" s="50">
        <v>-26.01</v>
      </c>
      <c r="S175" s="50">
        <v>24.29</v>
      </c>
      <c r="T175" s="50">
        <v>5.34</v>
      </c>
      <c r="U175" s="50" t="s">
        <v>2474</v>
      </c>
      <c r="V175" s="50" t="s">
        <v>590</v>
      </c>
      <c r="W175" s="53" t="s">
        <v>266</v>
      </c>
    </row>
    <row r="176" spans="1:23" ht="15" customHeight="1" x14ac:dyDescent="0.25">
      <c r="A176" s="50" t="s">
        <v>2686</v>
      </c>
      <c r="B176" s="50" t="s">
        <v>1476</v>
      </c>
      <c r="C176" s="50">
        <v>300</v>
      </c>
      <c r="D176" s="51">
        <v>175861.82</v>
      </c>
      <c r="E176" s="51">
        <v>101070.19</v>
      </c>
      <c r="F176" s="50">
        <f t="shared" si="30"/>
        <v>74791.63</v>
      </c>
      <c r="G176" s="51">
        <f t="shared" si="31"/>
        <v>2243.75</v>
      </c>
      <c r="H176" s="52">
        <f t="shared" si="32"/>
        <v>0.7</v>
      </c>
      <c r="I176" s="51">
        <f t="shared" si="33"/>
        <v>9737.8700000000008</v>
      </c>
      <c r="J176" s="52">
        <f t="shared" si="34"/>
        <v>2.56</v>
      </c>
      <c r="K176" s="50">
        <v>7.24</v>
      </c>
      <c r="L176" s="50">
        <v>2.9</v>
      </c>
      <c r="M176" s="50">
        <f t="shared" si="35"/>
        <v>4.34</v>
      </c>
      <c r="N176" s="50">
        <v>9.89</v>
      </c>
      <c r="O176" s="50">
        <v>9.39</v>
      </c>
      <c r="P176" s="50">
        <v>5.03</v>
      </c>
      <c r="Q176" s="50">
        <v>8.17</v>
      </c>
      <c r="R176" s="50">
        <v>1434.83</v>
      </c>
      <c r="S176" s="50">
        <v>-1354.87</v>
      </c>
      <c r="T176" s="50">
        <v>491.83</v>
      </c>
      <c r="U176" s="50" t="s">
        <v>2460</v>
      </c>
      <c r="V176" s="50" t="s">
        <v>590</v>
      </c>
      <c r="W176" s="53" t="s">
        <v>266</v>
      </c>
    </row>
    <row r="177" spans="1:23" ht="15" customHeight="1" x14ac:dyDescent="0.25">
      <c r="A177" s="50" t="s">
        <v>2687</v>
      </c>
      <c r="B177" s="50" t="s">
        <v>2688</v>
      </c>
      <c r="C177" s="50">
        <v>200</v>
      </c>
      <c r="D177" s="51">
        <v>135792.74</v>
      </c>
      <c r="E177" s="51">
        <v>170078.73</v>
      </c>
      <c r="F177" s="50">
        <f t="shared" si="30"/>
        <v>-34285.99</v>
      </c>
      <c r="G177" s="51">
        <f t="shared" si="31"/>
        <v>-685.72</v>
      </c>
      <c r="H177" s="52">
        <f t="shared" si="32"/>
        <v>-0.21</v>
      </c>
      <c r="I177" s="51">
        <f t="shared" si="33"/>
        <v>294.86</v>
      </c>
      <c r="J177" s="52">
        <f t="shared" si="34"/>
        <v>0.08</v>
      </c>
      <c r="K177" s="50">
        <v>3.39</v>
      </c>
      <c r="L177" s="50">
        <v>3.82</v>
      </c>
      <c r="M177" s="50">
        <f t="shared" si="35"/>
        <v>-0.43</v>
      </c>
      <c r="N177" s="50">
        <v>9.44</v>
      </c>
      <c r="O177" s="50">
        <v>8.94</v>
      </c>
      <c r="P177" s="50">
        <v>6.78</v>
      </c>
      <c r="Q177" s="50">
        <v>10.41</v>
      </c>
      <c r="R177" s="50">
        <v>-745.64</v>
      </c>
      <c r="S177" s="50">
        <v>679.68</v>
      </c>
      <c r="T177" s="50">
        <v>-164.27</v>
      </c>
      <c r="U177" s="50" t="s">
        <v>2456</v>
      </c>
      <c r="V177" s="50" t="s">
        <v>590</v>
      </c>
      <c r="W177" s="53" t="s">
        <v>266</v>
      </c>
    </row>
    <row r="178" spans="1:23" ht="15" customHeight="1" x14ac:dyDescent="0.25">
      <c r="A178" s="50" t="s">
        <v>2689</v>
      </c>
      <c r="B178" s="50" t="s">
        <v>2257</v>
      </c>
      <c r="C178" s="50">
        <v>-100</v>
      </c>
      <c r="D178" s="51">
        <v>150377.64000000001</v>
      </c>
      <c r="E178" s="51">
        <v>105508.41</v>
      </c>
      <c r="F178" s="50">
        <f t="shared" si="30"/>
        <v>44869.23</v>
      </c>
      <c r="G178" s="51">
        <f t="shared" si="31"/>
        <v>-448.69</v>
      </c>
      <c r="H178" s="52">
        <f t="shared" si="32"/>
        <v>-0.14000000000000001</v>
      </c>
      <c r="I178" s="51">
        <f t="shared" si="33"/>
        <v>-610.22</v>
      </c>
      <c r="J178" s="52">
        <f t="shared" si="34"/>
        <v>-0.16</v>
      </c>
      <c r="K178" s="50">
        <v>2.6</v>
      </c>
      <c r="L178" s="50">
        <v>1.24</v>
      </c>
      <c r="M178" s="50">
        <f t="shared" si="35"/>
        <v>1.36</v>
      </c>
      <c r="N178" s="50">
        <v>9.06</v>
      </c>
      <c r="O178" s="50">
        <v>8.56</v>
      </c>
      <c r="P178" s="50">
        <v>6.43</v>
      </c>
      <c r="Q178" s="50">
        <v>7.64</v>
      </c>
      <c r="R178" s="50">
        <v>906.38</v>
      </c>
      <c r="S178" s="50">
        <v>-920.52</v>
      </c>
      <c r="T178" s="50">
        <v>295.48</v>
      </c>
      <c r="U178" s="50" t="s">
        <v>2481</v>
      </c>
      <c r="V178" s="50" t="s">
        <v>590</v>
      </c>
      <c r="W178" s="53" t="s">
        <v>266</v>
      </c>
    </row>
    <row r="179" spans="1:23" ht="15" customHeight="1" x14ac:dyDescent="0.25">
      <c r="A179" s="50" t="s">
        <v>2690</v>
      </c>
      <c r="B179" s="50" t="s">
        <v>2691</v>
      </c>
      <c r="C179" s="50">
        <v>200</v>
      </c>
      <c r="D179" s="51">
        <v>153569.85</v>
      </c>
      <c r="E179" s="51">
        <v>153658.47</v>
      </c>
      <c r="F179" s="50">
        <f t="shared" si="30"/>
        <v>-88.62</v>
      </c>
      <c r="G179" s="51">
        <f t="shared" si="31"/>
        <v>-1.77</v>
      </c>
      <c r="H179" s="52">
        <f t="shared" si="32"/>
        <v>0</v>
      </c>
      <c r="I179" s="51">
        <f t="shared" si="33"/>
        <v>-6.91</v>
      </c>
      <c r="J179" s="52">
        <f t="shared" si="34"/>
        <v>0</v>
      </c>
      <c r="K179" s="50">
        <v>6.36</v>
      </c>
      <c r="L179" s="50">
        <v>2.46</v>
      </c>
      <c r="M179" s="50">
        <f t="shared" si="35"/>
        <v>3.9</v>
      </c>
      <c r="N179" s="50">
        <v>9.7899999999999991</v>
      </c>
      <c r="O179" s="50">
        <v>9.2899999999999991</v>
      </c>
      <c r="P179" s="50">
        <v>5.12</v>
      </c>
      <c r="Q179" s="50">
        <v>9.3000000000000007</v>
      </c>
      <c r="R179" s="50">
        <v>-1.77</v>
      </c>
      <c r="S179" s="50">
        <v>1.92</v>
      </c>
      <c r="T179" s="50">
        <v>0.4</v>
      </c>
      <c r="U179" s="50" t="s">
        <v>2460</v>
      </c>
      <c r="V179" s="50" t="s">
        <v>590</v>
      </c>
      <c r="W179" s="53" t="s">
        <v>266</v>
      </c>
    </row>
    <row r="180" spans="1:23" ht="15" customHeight="1" x14ac:dyDescent="0.25">
      <c r="A180" s="50" t="s">
        <v>2692</v>
      </c>
      <c r="B180" s="50" t="s">
        <v>1955</v>
      </c>
      <c r="C180" s="50">
        <v>-100</v>
      </c>
      <c r="D180" s="51">
        <v>192814.73</v>
      </c>
      <c r="E180" s="51">
        <v>95851.5</v>
      </c>
      <c r="F180" s="50">
        <f t="shared" si="30"/>
        <v>96963.23</v>
      </c>
      <c r="G180" s="51">
        <f t="shared" si="31"/>
        <v>-969.63</v>
      </c>
      <c r="H180" s="52">
        <f t="shared" si="32"/>
        <v>-0.3</v>
      </c>
      <c r="I180" s="51">
        <f t="shared" si="33"/>
        <v>-1599.89</v>
      </c>
      <c r="J180" s="52">
        <f t="shared" si="34"/>
        <v>-0.42</v>
      </c>
      <c r="K180" s="50">
        <v>7.03</v>
      </c>
      <c r="L180" s="50">
        <v>5.38</v>
      </c>
      <c r="M180" s="50">
        <f t="shared" si="35"/>
        <v>1.65</v>
      </c>
      <c r="N180" s="50">
        <v>9.07</v>
      </c>
      <c r="O180" s="50">
        <v>8.57</v>
      </c>
      <c r="P180" s="50">
        <v>6.24</v>
      </c>
      <c r="Q180" s="50">
        <v>10.38</v>
      </c>
      <c r="R180" s="50">
        <v>1900.7</v>
      </c>
      <c r="S180" s="50">
        <v>-1769.44</v>
      </c>
      <c r="T180" s="50">
        <v>549.34</v>
      </c>
      <c r="U180" s="50" t="s">
        <v>2458</v>
      </c>
      <c r="V180" s="50" t="s">
        <v>590</v>
      </c>
      <c r="W180" s="53" t="s">
        <v>266</v>
      </c>
    </row>
    <row r="181" spans="1:23" ht="15" customHeight="1" x14ac:dyDescent="0.25">
      <c r="A181" s="50" t="s">
        <v>2693</v>
      </c>
      <c r="B181" s="50" t="s">
        <v>2694</v>
      </c>
      <c r="C181" s="50">
        <v>300</v>
      </c>
      <c r="D181" s="51">
        <v>178741.51</v>
      </c>
      <c r="E181" s="51">
        <v>159580.06</v>
      </c>
      <c r="F181" s="50">
        <f t="shared" si="30"/>
        <v>19161.45</v>
      </c>
      <c r="G181" s="51">
        <f t="shared" si="31"/>
        <v>574.84</v>
      </c>
      <c r="H181" s="52">
        <f t="shared" si="32"/>
        <v>0.18</v>
      </c>
      <c r="I181" s="51">
        <f t="shared" si="33"/>
        <v>2109.6799999999998</v>
      </c>
      <c r="J181" s="52">
        <f t="shared" si="34"/>
        <v>0.56000000000000005</v>
      </c>
      <c r="K181" s="50">
        <v>5.19</v>
      </c>
      <c r="L181" s="50">
        <v>1.52</v>
      </c>
      <c r="M181" s="50">
        <f t="shared" si="35"/>
        <v>3.67</v>
      </c>
      <c r="N181" s="50">
        <v>10.050000000000001</v>
      </c>
      <c r="O181" s="50">
        <v>9.5500000000000007</v>
      </c>
      <c r="P181" s="50">
        <v>5.78</v>
      </c>
      <c r="Q181" s="50">
        <v>8.08</v>
      </c>
      <c r="R181" s="50">
        <v>346.76</v>
      </c>
      <c r="S181" s="50">
        <v>-394.18</v>
      </c>
      <c r="T181" s="50">
        <v>130.09</v>
      </c>
      <c r="U181" s="50" t="s">
        <v>2465</v>
      </c>
      <c r="V181" s="50" t="s">
        <v>590</v>
      </c>
      <c r="W181" s="53" t="s">
        <v>266</v>
      </c>
    </row>
    <row r="182" spans="1:23" ht="15" customHeight="1" x14ac:dyDescent="0.25">
      <c r="A182" s="50" t="s">
        <v>2695</v>
      </c>
      <c r="B182" s="50" t="s">
        <v>2603</v>
      </c>
      <c r="C182" s="50">
        <v>-200</v>
      </c>
      <c r="D182" s="51">
        <v>106280.11</v>
      </c>
      <c r="E182" s="51">
        <v>95593.22</v>
      </c>
      <c r="F182" s="50">
        <f t="shared" si="30"/>
        <v>10686.89</v>
      </c>
      <c r="G182" s="51">
        <f t="shared" si="31"/>
        <v>-213.74</v>
      </c>
      <c r="H182" s="52">
        <f t="shared" si="32"/>
        <v>-7.0000000000000007E-2</v>
      </c>
      <c r="I182" s="51">
        <f t="shared" si="33"/>
        <v>320.61</v>
      </c>
      <c r="J182" s="52">
        <f t="shared" si="34"/>
        <v>0.08</v>
      </c>
      <c r="K182" s="50">
        <v>3.42</v>
      </c>
      <c r="L182" s="50">
        <v>4.92</v>
      </c>
      <c r="M182" s="50">
        <f t="shared" si="35"/>
        <v>-1.5</v>
      </c>
      <c r="N182" s="50">
        <v>9.35</v>
      </c>
      <c r="O182" s="50">
        <v>8.85</v>
      </c>
      <c r="P182" s="50">
        <v>5.97</v>
      </c>
      <c r="Q182" s="50">
        <v>10.4</v>
      </c>
      <c r="R182" s="50">
        <v>193.19</v>
      </c>
      <c r="S182" s="50">
        <v>-225.09</v>
      </c>
      <c r="T182" s="50">
        <v>63.79</v>
      </c>
      <c r="U182" s="50" t="s">
        <v>2481</v>
      </c>
      <c r="V182" s="50" t="s">
        <v>590</v>
      </c>
      <c r="W182" s="53" t="s">
        <v>266</v>
      </c>
    </row>
    <row r="183" spans="1:23" ht="15" customHeight="1" x14ac:dyDescent="0.25">
      <c r="A183" s="50" t="s">
        <v>2696</v>
      </c>
      <c r="B183" s="50" t="s">
        <v>2364</v>
      </c>
      <c r="C183" s="50">
        <v>-100</v>
      </c>
      <c r="D183" s="51">
        <v>84815.6</v>
      </c>
      <c r="E183" s="51">
        <v>134863.54999999999</v>
      </c>
      <c r="F183" s="50">
        <f t="shared" si="30"/>
        <v>-50047.95</v>
      </c>
      <c r="G183" s="51">
        <f t="shared" si="31"/>
        <v>500.48</v>
      </c>
      <c r="H183" s="52">
        <f t="shared" si="32"/>
        <v>0.16</v>
      </c>
      <c r="I183" s="51">
        <f t="shared" si="33"/>
        <v>65.06</v>
      </c>
      <c r="J183" s="52">
        <f t="shared" si="34"/>
        <v>0.02</v>
      </c>
      <c r="K183" s="50">
        <v>3.75</v>
      </c>
      <c r="L183" s="50">
        <v>3.62</v>
      </c>
      <c r="M183" s="50">
        <f t="shared" si="35"/>
        <v>0.13</v>
      </c>
      <c r="N183" s="50">
        <v>8.51</v>
      </c>
      <c r="O183" s="50">
        <v>8.01</v>
      </c>
      <c r="P183" s="50">
        <v>7.11</v>
      </c>
      <c r="Q183" s="50">
        <v>9.6199999999999992</v>
      </c>
      <c r="R183" s="50">
        <v>-1002.79</v>
      </c>
      <c r="S183" s="50">
        <v>1066.83</v>
      </c>
      <c r="T183" s="50">
        <v>279.7</v>
      </c>
      <c r="U183" s="50" t="s">
        <v>2470</v>
      </c>
      <c r="V183" s="50" t="s">
        <v>590</v>
      </c>
      <c r="W183" s="53" t="s">
        <v>266</v>
      </c>
    </row>
    <row r="184" spans="1:23" ht="15" customHeight="1" x14ac:dyDescent="0.25">
      <c r="A184" s="50" t="s">
        <v>2697</v>
      </c>
      <c r="B184" s="50" t="s">
        <v>2103</v>
      </c>
      <c r="C184" s="50">
        <v>-200</v>
      </c>
      <c r="D184" s="51">
        <v>189824.08</v>
      </c>
      <c r="E184" s="51">
        <v>151867.93</v>
      </c>
      <c r="F184" s="50">
        <f t="shared" si="30"/>
        <v>37956.15</v>
      </c>
      <c r="G184" s="51">
        <f t="shared" si="31"/>
        <v>-759.12</v>
      </c>
      <c r="H184" s="52">
        <f t="shared" si="32"/>
        <v>-0.24</v>
      </c>
      <c r="I184" s="51">
        <f t="shared" si="33"/>
        <v>-523.79</v>
      </c>
      <c r="J184" s="52">
        <f t="shared" si="34"/>
        <v>-0.14000000000000001</v>
      </c>
      <c r="K184" s="50">
        <v>4.1900000000000004</v>
      </c>
      <c r="L184" s="50">
        <v>3.5</v>
      </c>
      <c r="M184" s="50">
        <f t="shared" si="35"/>
        <v>0.69</v>
      </c>
      <c r="N184" s="50">
        <v>9.3699999999999992</v>
      </c>
      <c r="O184" s="50">
        <v>8.8699999999999992</v>
      </c>
      <c r="P184" s="50">
        <v>5.48</v>
      </c>
      <c r="Q184" s="50">
        <v>7.91</v>
      </c>
      <c r="R184" s="50">
        <v>733.99</v>
      </c>
      <c r="S184" s="50">
        <v>-732.87</v>
      </c>
      <c r="T184" s="50">
        <v>-191.35</v>
      </c>
      <c r="U184" s="50" t="s">
        <v>2472</v>
      </c>
      <c r="V184" s="50" t="s">
        <v>590</v>
      </c>
      <c r="W184" s="53" t="s">
        <v>266</v>
      </c>
    </row>
    <row r="185" spans="1:23" ht="15" customHeight="1" x14ac:dyDescent="0.25">
      <c r="A185" s="50" t="s">
        <v>2698</v>
      </c>
      <c r="B185" s="50" t="s">
        <v>2699</v>
      </c>
      <c r="C185" s="50">
        <v>100</v>
      </c>
      <c r="D185" s="51">
        <v>134197.97</v>
      </c>
      <c r="E185" s="51">
        <v>119009.78</v>
      </c>
      <c r="F185" s="50">
        <f t="shared" si="30"/>
        <v>15188.19</v>
      </c>
      <c r="G185" s="51">
        <f t="shared" si="31"/>
        <v>151.88</v>
      </c>
      <c r="H185" s="52">
        <f t="shared" si="32"/>
        <v>0.05</v>
      </c>
      <c r="I185" s="51">
        <f t="shared" si="33"/>
        <v>651.57000000000005</v>
      </c>
      <c r="J185" s="52">
        <f t="shared" si="34"/>
        <v>0.17</v>
      </c>
      <c r="K185" s="50">
        <v>8.31</v>
      </c>
      <c r="L185" s="50">
        <v>4.0199999999999996</v>
      </c>
      <c r="M185" s="50">
        <f t="shared" si="35"/>
        <v>4.29</v>
      </c>
      <c r="N185" s="50">
        <v>9.81</v>
      </c>
      <c r="O185" s="50">
        <v>9.31</v>
      </c>
      <c r="P185" s="50">
        <v>5.61</v>
      </c>
      <c r="Q185" s="50">
        <v>7.51</v>
      </c>
      <c r="R185" s="50">
        <v>322.27</v>
      </c>
      <c r="S185" s="50">
        <v>-318.52</v>
      </c>
      <c r="T185" s="50">
        <v>-113.86</v>
      </c>
      <c r="U185" s="50" t="s">
        <v>2481</v>
      </c>
      <c r="V185" s="50" t="s">
        <v>590</v>
      </c>
      <c r="W185" s="53" t="s">
        <v>266</v>
      </c>
    </row>
    <row r="186" spans="1:23" ht="15" customHeight="1" x14ac:dyDescent="0.25">
      <c r="A186" s="50" t="s">
        <v>2700</v>
      </c>
      <c r="B186" s="50" t="s">
        <v>2701</v>
      </c>
      <c r="C186" s="50">
        <v>100</v>
      </c>
      <c r="D186" s="51">
        <v>179951.56</v>
      </c>
      <c r="E186" s="51">
        <v>144162.70000000001</v>
      </c>
      <c r="F186" s="50">
        <f t="shared" si="30"/>
        <v>35788.86</v>
      </c>
      <c r="G186" s="51">
        <f t="shared" si="31"/>
        <v>357.89</v>
      </c>
      <c r="H186" s="52">
        <f t="shared" si="32"/>
        <v>0.11</v>
      </c>
      <c r="I186" s="51">
        <f t="shared" si="33"/>
        <v>1123.77</v>
      </c>
      <c r="J186" s="52">
        <f t="shared" si="34"/>
        <v>0.3</v>
      </c>
      <c r="K186" s="50">
        <v>7.82</v>
      </c>
      <c r="L186" s="50">
        <v>4.68</v>
      </c>
      <c r="M186" s="50">
        <f t="shared" si="35"/>
        <v>3.14</v>
      </c>
      <c r="N186" s="50">
        <v>9.11</v>
      </c>
      <c r="O186" s="50">
        <v>8.61</v>
      </c>
      <c r="P186" s="50">
        <v>5.16</v>
      </c>
      <c r="Q186" s="50">
        <v>9.82</v>
      </c>
      <c r="R186" s="50">
        <v>675.24</v>
      </c>
      <c r="S186" s="50">
        <v>-647.61</v>
      </c>
      <c r="T186" s="50">
        <v>-144.91999999999999</v>
      </c>
      <c r="U186" s="50" t="s">
        <v>2472</v>
      </c>
      <c r="V186" s="50" t="s">
        <v>590</v>
      </c>
      <c r="W186" s="53" t="s">
        <v>266</v>
      </c>
    </row>
    <row r="187" spans="1:23" ht="15" customHeight="1" x14ac:dyDescent="0.25">
      <c r="A187" s="50" t="s">
        <v>2702</v>
      </c>
      <c r="B187" s="50" t="s">
        <v>925</v>
      </c>
      <c r="C187" s="50">
        <v>100</v>
      </c>
      <c r="D187" s="51">
        <v>139951.13</v>
      </c>
      <c r="E187" s="51">
        <v>149193.63</v>
      </c>
      <c r="F187" s="50">
        <f t="shared" si="30"/>
        <v>-9242.5</v>
      </c>
      <c r="G187" s="51">
        <f t="shared" si="31"/>
        <v>-92.43</v>
      </c>
      <c r="H187" s="52">
        <f t="shared" si="32"/>
        <v>-0.03</v>
      </c>
      <c r="I187" s="51">
        <f t="shared" si="33"/>
        <v>-347.52</v>
      </c>
      <c r="J187" s="52">
        <f t="shared" si="34"/>
        <v>-0.09</v>
      </c>
      <c r="K187" s="50">
        <v>6.82</v>
      </c>
      <c r="L187" s="50">
        <v>3.06</v>
      </c>
      <c r="M187" s="50">
        <f t="shared" si="35"/>
        <v>3.76</v>
      </c>
      <c r="N187" s="50">
        <v>9.16</v>
      </c>
      <c r="O187" s="50">
        <v>8.66</v>
      </c>
      <c r="P187" s="50">
        <v>7.26</v>
      </c>
      <c r="Q187" s="50">
        <v>11.14</v>
      </c>
      <c r="R187" s="50">
        <v>-187.1</v>
      </c>
      <c r="S187" s="50">
        <v>176.91</v>
      </c>
      <c r="T187" s="50">
        <v>73.45</v>
      </c>
      <c r="U187" s="50" t="s">
        <v>2458</v>
      </c>
      <c r="V187" s="50" t="s">
        <v>590</v>
      </c>
      <c r="W187" s="53" t="s">
        <v>266</v>
      </c>
    </row>
    <row r="188" spans="1:23" ht="15" customHeight="1" x14ac:dyDescent="0.25">
      <c r="A188" s="50" t="s">
        <v>2703</v>
      </c>
      <c r="B188" s="50" t="s">
        <v>2506</v>
      </c>
      <c r="C188" s="50">
        <v>-100</v>
      </c>
      <c r="D188" s="51">
        <v>186129.48</v>
      </c>
      <c r="E188" s="51">
        <v>163794.95000000001</v>
      </c>
      <c r="F188" s="50">
        <f t="shared" si="30"/>
        <v>22334.53</v>
      </c>
      <c r="G188" s="51">
        <f t="shared" si="31"/>
        <v>-223.35</v>
      </c>
      <c r="H188" s="52">
        <f t="shared" si="32"/>
        <v>-7.0000000000000007E-2</v>
      </c>
      <c r="I188" s="51">
        <f t="shared" si="33"/>
        <v>-303.75</v>
      </c>
      <c r="J188" s="52">
        <f t="shared" si="34"/>
        <v>-0.08</v>
      </c>
      <c r="K188" s="50">
        <v>6.22</v>
      </c>
      <c r="L188" s="50">
        <v>4.8600000000000003</v>
      </c>
      <c r="M188" s="50">
        <f t="shared" si="35"/>
        <v>1.36</v>
      </c>
      <c r="N188" s="50">
        <v>10.11</v>
      </c>
      <c r="O188" s="50">
        <v>9.61</v>
      </c>
      <c r="P188" s="50">
        <v>7.79</v>
      </c>
      <c r="Q188" s="50">
        <v>8.3699999999999992</v>
      </c>
      <c r="R188" s="50">
        <v>467.13</v>
      </c>
      <c r="S188" s="50">
        <v>-487.89</v>
      </c>
      <c r="T188" s="50">
        <v>98.02</v>
      </c>
      <c r="U188" s="50" t="s">
        <v>2481</v>
      </c>
      <c r="V188" s="50" t="s">
        <v>590</v>
      </c>
      <c r="W188" s="53" t="s">
        <v>266</v>
      </c>
    </row>
    <row r="189" spans="1:23" ht="15" customHeight="1" x14ac:dyDescent="0.25">
      <c r="A189" s="50" t="s">
        <v>2704</v>
      </c>
      <c r="B189" s="50" t="s">
        <v>1704</v>
      </c>
      <c r="C189" s="50">
        <v>100</v>
      </c>
      <c r="D189" s="51">
        <v>196512.82</v>
      </c>
      <c r="E189" s="51">
        <v>151603.10999999999</v>
      </c>
      <c r="F189" s="50">
        <f t="shared" si="30"/>
        <v>44909.71</v>
      </c>
      <c r="G189" s="51">
        <f t="shared" si="31"/>
        <v>449.1</v>
      </c>
      <c r="H189" s="52">
        <f t="shared" si="32"/>
        <v>0.14000000000000001</v>
      </c>
      <c r="I189" s="51">
        <f t="shared" si="33"/>
        <v>1113.76</v>
      </c>
      <c r="J189" s="52">
        <f t="shared" si="34"/>
        <v>0.28999999999999998</v>
      </c>
      <c r="K189" s="50">
        <v>4.74</v>
      </c>
      <c r="L189" s="50">
        <v>2.2599999999999998</v>
      </c>
      <c r="M189" s="50">
        <f t="shared" si="35"/>
        <v>2.48</v>
      </c>
      <c r="N189" s="50">
        <v>9.61</v>
      </c>
      <c r="O189" s="50">
        <v>9.11</v>
      </c>
      <c r="P189" s="50">
        <v>5.89</v>
      </c>
      <c r="Q189" s="50">
        <v>7.16</v>
      </c>
      <c r="R189" s="50">
        <v>862.63</v>
      </c>
      <c r="S189" s="50">
        <v>-855.57</v>
      </c>
      <c r="T189" s="50">
        <v>-346.73</v>
      </c>
      <c r="U189" s="50" t="s">
        <v>2456</v>
      </c>
      <c r="V189" s="50" t="s">
        <v>590</v>
      </c>
      <c r="W189" s="53" t="s">
        <v>266</v>
      </c>
    </row>
    <row r="190" spans="1:23" ht="15" customHeight="1" x14ac:dyDescent="0.25">
      <c r="A190" s="50" t="s">
        <v>2705</v>
      </c>
      <c r="B190" s="50" t="s">
        <v>1457</v>
      </c>
      <c r="C190" s="50">
        <v>-200</v>
      </c>
      <c r="D190" s="51">
        <v>185634.87</v>
      </c>
      <c r="E190" s="51">
        <v>172524.75</v>
      </c>
      <c r="F190" s="50">
        <f t="shared" si="30"/>
        <v>13110.12</v>
      </c>
      <c r="G190" s="51">
        <f t="shared" si="31"/>
        <v>-262.2</v>
      </c>
      <c r="H190" s="52">
        <f t="shared" si="32"/>
        <v>-0.08</v>
      </c>
      <c r="I190" s="51">
        <f t="shared" si="33"/>
        <v>-534.89</v>
      </c>
      <c r="J190" s="52">
        <f t="shared" si="34"/>
        <v>-0.14000000000000001</v>
      </c>
      <c r="K190" s="50">
        <v>3.55</v>
      </c>
      <c r="L190" s="50">
        <v>1.51</v>
      </c>
      <c r="M190" s="50">
        <f t="shared" si="35"/>
        <v>2.04</v>
      </c>
      <c r="N190" s="50">
        <v>9.73</v>
      </c>
      <c r="O190" s="50">
        <v>9.23</v>
      </c>
      <c r="P190" s="50">
        <v>6.37</v>
      </c>
      <c r="Q190" s="50">
        <v>10.99</v>
      </c>
      <c r="R190" s="50">
        <v>250.31</v>
      </c>
      <c r="S190" s="50">
        <v>-237.17</v>
      </c>
      <c r="T190" s="50">
        <v>-81.98</v>
      </c>
      <c r="U190" s="50" t="s">
        <v>2465</v>
      </c>
      <c r="V190" s="50" t="s">
        <v>590</v>
      </c>
      <c r="W190" s="53" t="s">
        <v>266</v>
      </c>
    </row>
    <row r="191" spans="1:23" ht="15" customHeight="1" x14ac:dyDescent="0.25">
      <c r="A191" s="50" t="s">
        <v>2706</v>
      </c>
      <c r="B191" s="50" t="s">
        <v>2707</v>
      </c>
      <c r="C191" s="50">
        <v>100</v>
      </c>
      <c r="D191" s="51">
        <v>87818.93</v>
      </c>
      <c r="E191" s="51">
        <v>144582.12</v>
      </c>
      <c r="F191" s="50">
        <f t="shared" si="30"/>
        <v>-56763.19</v>
      </c>
      <c r="G191" s="51">
        <f t="shared" si="31"/>
        <v>-567.63</v>
      </c>
      <c r="H191" s="52">
        <f t="shared" si="32"/>
        <v>-0.18</v>
      </c>
      <c r="I191" s="51">
        <f t="shared" si="33"/>
        <v>317.87</v>
      </c>
      <c r="J191" s="52">
        <f t="shared" si="34"/>
        <v>0.08</v>
      </c>
      <c r="K191" s="50">
        <v>2.68</v>
      </c>
      <c r="L191" s="50">
        <v>3.24</v>
      </c>
      <c r="M191" s="50">
        <f t="shared" si="35"/>
        <v>-0.56000000000000005</v>
      </c>
      <c r="N191" s="50">
        <v>9.91</v>
      </c>
      <c r="O191" s="50">
        <v>9.41</v>
      </c>
      <c r="P191" s="50">
        <v>6.24</v>
      </c>
      <c r="Q191" s="50">
        <v>11.38</v>
      </c>
      <c r="R191" s="50">
        <v>-1170.82</v>
      </c>
      <c r="S191" s="50">
        <v>1239.58</v>
      </c>
      <c r="T191" s="50">
        <v>-426.04</v>
      </c>
      <c r="U191" s="50" t="s">
        <v>2462</v>
      </c>
      <c r="V191" s="50" t="s">
        <v>590</v>
      </c>
      <c r="W191" s="53" t="s">
        <v>266</v>
      </c>
    </row>
    <row r="192" spans="1:23" ht="15" customHeight="1" x14ac:dyDescent="0.25">
      <c r="A192" s="50" t="s">
        <v>2708</v>
      </c>
      <c r="B192" s="50" t="s">
        <v>2709</v>
      </c>
      <c r="C192" s="50">
        <v>100</v>
      </c>
      <c r="D192" s="51">
        <v>176232.92</v>
      </c>
      <c r="E192" s="51">
        <v>72685.42</v>
      </c>
      <c r="F192" s="50">
        <f t="shared" si="30"/>
        <v>103547.5</v>
      </c>
      <c r="G192" s="51">
        <f t="shared" si="31"/>
        <v>1035.48</v>
      </c>
      <c r="H192" s="52">
        <f t="shared" si="32"/>
        <v>0.32</v>
      </c>
      <c r="I192" s="51">
        <f t="shared" si="33"/>
        <v>-818.03</v>
      </c>
      <c r="J192" s="52">
        <f t="shared" si="34"/>
        <v>-0.22</v>
      </c>
      <c r="K192" s="50">
        <v>4.13</v>
      </c>
      <c r="L192" s="50">
        <v>4.92</v>
      </c>
      <c r="M192" s="50">
        <f t="shared" si="35"/>
        <v>-0.79</v>
      </c>
      <c r="N192" s="50">
        <v>8.9</v>
      </c>
      <c r="O192" s="50">
        <v>8.4</v>
      </c>
      <c r="P192" s="50">
        <v>6.34</v>
      </c>
      <c r="Q192" s="50">
        <v>7.01</v>
      </c>
      <c r="R192" s="50">
        <v>2225.66</v>
      </c>
      <c r="S192" s="50">
        <v>-2209.87</v>
      </c>
      <c r="T192" s="50">
        <v>594.51</v>
      </c>
      <c r="U192" s="50" t="s">
        <v>2462</v>
      </c>
      <c r="V192" s="50" t="s">
        <v>590</v>
      </c>
      <c r="W192" s="53" t="s">
        <v>266</v>
      </c>
    </row>
    <row r="193" spans="1:23" ht="15" customHeight="1" x14ac:dyDescent="0.25">
      <c r="A193" s="50" t="s">
        <v>2710</v>
      </c>
      <c r="B193" s="50" t="s">
        <v>1215</v>
      </c>
      <c r="C193" s="50">
        <v>-200</v>
      </c>
      <c r="D193" s="51">
        <v>114382.05</v>
      </c>
      <c r="E193" s="51">
        <v>79725.759999999995</v>
      </c>
      <c r="F193" s="50">
        <f t="shared" si="30"/>
        <v>34656.29</v>
      </c>
      <c r="G193" s="51">
        <f t="shared" si="31"/>
        <v>-693.13</v>
      </c>
      <c r="H193" s="52">
        <f t="shared" si="32"/>
        <v>-0.22</v>
      </c>
      <c r="I193" s="51">
        <f t="shared" si="33"/>
        <v>-6.93</v>
      </c>
      <c r="J193" s="52">
        <f t="shared" si="34"/>
        <v>0</v>
      </c>
      <c r="K193" s="50">
        <v>4.7</v>
      </c>
      <c r="L193" s="50">
        <v>4.6900000000000004</v>
      </c>
      <c r="M193" s="50">
        <f t="shared" si="35"/>
        <v>0.01</v>
      </c>
      <c r="N193" s="50">
        <v>9.43</v>
      </c>
      <c r="O193" s="50">
        <v>8.93</v>
      </c>
      <c r="P193" s="50">
        <v>6.12</v>
      </c>
      <c r="Q193" s="50">
        <v>11.06</v>
      </c>
      <c r="R193" s="50">
        <v>698.78</v>
      </c>
      <c r="S193" s="50">
        <v>-668.27</v>
      </c>
      <c r="T193" s="50">
        <v>227.25</v>
      </c>
      <c r="U193" s="50" t="s">
        <v>2465</v>
      </c>
      <c r="V193" s="50" t="s">
        <v>590</v>
      </c>
      <c r="W193" s="53" t="s">
        <v>266</v>
      </c>
    </row>
    <row r="194" spans="1:23" ht="15" customHeight="1" x14ac:dyDescent="0.25">
      <c r="A194" s="50" t="s">
        <v>2711</v>
      </c>
      <c r="B194" s="50" t="s">
        <v>2712</v>
      </c>
      <c r="C194" s="50">
        <v>200</v>
      </c>
      <c r="D194" s="51">
        <v>124653.19</v>
      </c>
      <c r="E194" s="51">
        <v>178186.41</v>
      </c>
      <c r="F194" s="50">
        <f t="shared" si="30"/>
        <v>-53533.22</v>
      </c>
      <c r="G194" s="51">
        <f t="shared" si="31"/>
        <v>-1070.6600000000001</v>
      </c>
      <c r="H194" s="52">
        <f t="shared" si="32"/>
        <v>-0.33</v>
      </c>
      <c r="I194" s="51">
        <f t="shared" si="33"/>
        <v>-5824.41</v>
      </c>
      <c r="J194" s="52">
        <f t="shared" si="34"/>
        <v>-1.53</v>
      </c>
      <c r="K194" s="50">
        <v>7.1</v>
      </c>
      <c r="L194" s="50">
        <v>1.66</v>
      </c>
      <c r="M194" s="50">
        <f t="shared" si="35"/>
        <v>5.44</v>
      </c>
      <c r="N194" s="50">
        <v>9.64</v>
      </c>
      <c r="O194" s="50">
        <v>9.14</v>
      </c>
      <c r="P194" s="50">
        <v>7.67</v>
      </c>
      <c r="Q194" s="50">
        <v>10.039999999999999</v>
      </c>
      <c r="R194" s="50">
        <v>-1040.76</v>
      </c>
      <c r="S194" s="50">
        <v>1056.04</v>
      </c>
      <c r="T194" s="50">
        <v>343.07</v>
      </c>
      <c r="U194" s="50" t="s">
        <v>2481</v>
      </c>
      <c r="V194" s="50" t="s">
        <v>590</v>
      </c>
      <c r="W194" s="53" t="s">
        <v>266</v>
      </c>
    </row>
    <row r="195" spans="1:23" ht="15" customHeight="1" x14ac:dyDescent="0.25">
      <c r="A195" s="50" t="s">
        <v>2713</v>
      </c>
      <c r="B195" s="50" t="s">
        <v>1825</v>
      </c>
      <c r="C195" s="50">
        <v>200</v>
      </c>
      <c r="D195" s="51">
        <v>157455.70000000001</v>
      </c>
      <c r="E195" s="51">
        <v>119584.56</v>
      </c>
      <c r="F195" s="50">
        <f t="shared" ref="F195:F226" si="36">ROUND(D195-E195,2)</f>
        <v>37871.14</v>
      </c>
      <c r="G195" s="51">
        <f t="shared" ref="G195:G226" si="37">ROUND(F195*C195/10000,2)</f>
        <v>757.42</v>
      </c>
      <c r="H195" s="52">
        <f t="shared" ref="H195:H226" si="38">ROUND(G195/320000*100,2)</f>
        <v>0.24</v>
      </c>
      <c r="I195" s="51">
        <f t="shared" ref="I195:I202" si="39">ROUND(F195*M195*C195/10000,2)</f>
        <v>1272.47</v>
      </c>
      <c r="J195" s="52">
        <f t="shared" ref="J195:J226" si="40">ROUND(I195/380000*100,2)</f>
        <v>0.33</v>
      </c>
      <c r="K195" s="50">
        <v>5.74</v>
      </c>
      <c r="L195" s="50">
        <v>4.0599999999999996</v>
      </c>
      <c r="M195" s="50">
        <f t="shared" ref="M195:M226" si="41">ROUND(K195-L195,2)</f>
        <v>1.68</v>
      </c>
      <c r="N195" s="50">
        <v>10.01</v>
      </c>
      <c r="O195" s="50">
        <v>9.51</v>
      </c>
      <c r="P195" s="50">
        <v>6.03</v>
      </c>
      <c r="Q195" s="50">
        <v>11.13</v>
      </c>
      <c r="R195" s="50">
        <v>772.39</v>
      </c>
      <c r="S195" s="50">
        <v>-763.51</v>
      </c>
      <c r="T195" s="50">
        <v>-277.52</v>
      </c>
      <c r="U195" s="50" t="s">
        <v>2460</v>
      </c>
      <c r="V195" s="50" t="s">
        <v>590</v>
      </c>
      <c r="W195" s="53" t="s">
        <v>266</v>
      </c>
    </row>
    <row r="196" spans="1:23" ht="15" customHeight="1" x14ac:dyDescent="0.25">
      <c r="A196" s="50" t="s">
        <v>2714</v>
      </c>
      <c r="B196" s="50" t="s">
        <v>969</v>
      </c>
      <c r="C196" s="50">
        <v>-100</v>
      </c>
      <c r="D196" s="51">
        <v>197267.84</v>
      </c>
      <c r="E196" s="51">
        <v>157150.56</v>
      </c>
      <c r="F196" s="50">
        <f t="shared" si="36"/>
        <v>40117.279999999999</v>
      </c>
      <c r="G196" s="51">
        <f t="shared" si="37"/>
        <v>-401.17</v>
      </c>
      <c r="H196" s="52">
        <f t="shared" si="38"/>
        <v>-0.13</v>
      </c>
      <c r="I196" s="51">
        <f t="shared" si="39"/>
        <v>-1873.48</v>
      </c>
      <c r="J196" s="52">
        <f t="shared" si="40"/>
        <v>-0.49</v>
      </c>
      <c r="K196" s="50">
        <v>7.45</v>
      </c>
      <c r="L196" s="50">
        <v>2.78</v>
      </c>
      <c r="M196" s="50">
        <f t="shared" si="41"/>
        <v>4.67</v>
      </c>
      <c r="N196" s="50">
        <v>9.9</v>
      </c>
      <c r="O196" s="50">
        <v>9.4</v>
      </c>
      <c r="P196" s="50">
        <v>7.64</v>
      </c>
      <c r="Q196" s="50">
        <v>11.46</v>
      </c>
      <c r="R196" s="50">
        <v>728.85</v>
      </c>
      <c r="S196" s="50">
        <v>-738.77</v>
      </c>
      <c r="T196" s="50">
        <v>-161.12</v>
      </c>
      <c r="U196" s="50" t="s">
        <v>2465</v>
      </c>
      <c r="V196" s="50" t="s">
        <v>590</v>
      </c>
      <c r="W196" s="53" t="s">
        <v>266</v>
      </c>
    </row>
    <row r="197" spans="1:23" ht="15" customHeight="1" x14ac:dyDescent="0.25">
      <c r="A197" s="50" t="s">
        <v>2715</v>
      </c>
      <c r="B197" s="50" t="s">
        <v>1342</v>
      </c>
      <c r="C197" s="50">
        <v>200</v>
      </c>
      <c r="D197" s="51">
        <v>138701.6</v>
      </c>
      <c r="E197" s="51">
        <v>105803.6</v>
      </c>
      <c r="F197" s="50">
        <f t="shared" si="36"/>
        <v>32898</v>
      </c>
      <c r="G197" s="51">
        <f t="shared" si="37"/>
        <v>657.96</v>
      </c>
      <c r="H197" s="52">
        <f t="shared" si="38"/>
        <v>0.21</v>
      </c>
      <c r="I197" s="51">
        <f t="shared" si="39"/>
        <v>3184.53</v>
      </c>
      <c r="J197" s="52">
        <f t="shared" si="40"/>
        <v>0.84</v>
      </c>
      <c r="K197" s="50">
        <v>7.52</v>
      </c>
      <c r="L197" s="50">
        <v>2.68</v>
      </c>
      <c r="M197" s="50">
        <f t="shared" si="41"/>
        <v>4.84</v>
      </c>
      <c r="N197" s="50">
        <v>10.09</v>
      </c>
      <c r="O197" s="50">
        <v>9.59</v>
      </c>
      <c r="P197" s="50">
        <v>6.57</v>
      </c>
      <c r="Q197" s="50">
        <v>10.69</v>
      </c>
      <c r="R197" s="50">
        <v>668.1</v>
      </c>
      <c r="S197" s="50">
        <v>-690.84</v>
      </c>
      <c r="T197" s="50">
        <v>-222.1</v>
      </c>
      <c r="U197" s="50" t="s">
        <v>2474</v>
      </c>
      <c r="V197" s="50" t="s">
        <v>590</v>
      </c>
      <c r="W197" s="53" t="s">
        <v>266</v>
      </c>
    </row>
    <row r="198" spans="1:23" ht="15" customHeight="1" x14ac:dyDescent="0.25">
      <c r="A198" s="50" t="s">
        <v>2716</v>
      </c>
      <c r="B198" s="50" t="s">
        <v>2175</v>
      </c>
      <c r="C198" s="50">
        <v>300</v>
      </c>
      <c r="D198" s="51">
        <v>98684.14</v>
      </c>
      <c r="E198" s="51">
        <v>146333.71</v>
      </c>
      <c r="F198" s="50">
        <f t="shared" si="36"/>
        <v>-47649.57</v>
      </c>
      <c r="G198" s="51">
        <f t="shared" si="37"/>
        <v>-1429.49</v>
      </c>
      <c r="H198" s="52">
        <f t="shared" si="38"/>
        <v>-0.45</v>
      </c>
      <c r="I198" s="51">
        <f t="shared" si="39"/>
        <v>-4002.56</v>
      </c>
      <c r="J198" s="52">
        <f t="shared" si="40"/>
        <v>-1.05</v>
      </c>
      <c r="K198" s="50">
        <v>7.02</v>
      </c>
      <c r="L198" s="50">
        <v>4.22</v>
      </c>
      <c r="M198" s="50">
        <f t="shared" si="41"/>
        <v>2.8</v>
      </c>
      <c r="N198" s="50">
        <v>10.02</v>
      </c>
      <c r="O198" s="50">
        <v>9.52</v>
      </c>
      <c r="P198" s="50">
        <v>7.91</v>
      </c>
      <c r="Q198" s="50">
        <v>10.6</v>
      </c>
      <c r="R198" s="50">
        <v>-885.21</v>
      </c>
      <c r="S198" s="50">
        <v>871.45</v>
      </c>
      <c r="T198" s="50">
        <v>371.69</v>
      </c>
      <c r="U198" s="50" t="s">
        <v>2458</v>
      </c>
      <c r="V198" s="50" t="s">
        <v>590</v>
      </c>
      <c r="W198" s="53" t="s">
        <v>266</v>
      </c>
    </row>
    <row r="199" spans="1:23" ht="15" customHeight="1" x14ac:dyDescent="0.25">
      <c r="A199" s="50" t="s">
        <v>2717</v>
      </c>
      <c r="B199" s="50" t="s">
        <v>1525</v>
      </c>
      <c r="C199" s="50">
        <v>100</v>
      </c>
      <c r="D199" s="51">
        <v>179027.83</v>
      </c>
      <c r="E199" s="51">
        <v>129616.36</v>
      </c>
      <c r="F199" s="50">
        <f t="shared" si="36"/>
        <v>49411.47</v>
      </c>
      <c r="G199" s="51">
        <f t="shared" si="37"/>
        <v>494.11</v>
      </c>
      <c r="H199" s="52">
        <f t="shared" si="38"/>
        <v>0.15</v>
      </c>
      <c r="I199" s="51">
        <f t="shared" si="39"/>
        <v>-785.64</v>
      </c>
      <c r="J199" s="52">
        <f t="shared" si="40"/>
        <v>-0.21</v>
      </c>
      <c r="K199" s="50">
        <v>3.08</v>
      </c>
      <c r="L199" s="50">
        <v>4.67</v>
      </c>
      <c r="M199" s="50">
        <f t="shared" si="41"/>
        <v>-1.59</v>
      </c>
      <c r="N199" s="50">
        <v>8.5399999999999991</v>
      </c>
      <c r="O199" s="50">
        <v>8.0399999999999991</v>
      </c>
      <c r="P199" s="50">
        <v>5.09</v>
      </c>
      <c r="Q199" s="50">
        <v>7.54</v>
      </c>
      <c r="R199" s="50">
        <v>1052.99</v>
      </c>
      <c r="S199" s="50">
        <v>-1023.9</v>
      </c>
      <c r="T199" s="50">
        <v>210.89</v>
      </c>
      <c r="U199" s="50" t="s">
        <v>2460</v>
      </c>
      <c r="V199" s="50" t="s">
        <v>590</v>
      </c>
      <c r="W199" s="53" t="s">
        <v>266</v>
      </c>
    </row>
    <row r="200" spans="1:23" ht="15" customHeight="1" x14ac:dyDescent="0.25">
      <c r="A200" s="50" t="s">
        <v>2718</v>
      </c>
      <c r="B200" s="50" t="s">
        <v>1498</v>
      </c>
      <c r="C200" s="50">
        <v>200</v>
      </c>
      <c r="D200" s="51">
        <v>193384.95</v>
      </c>
      <c r="E200" s="51">
        <v>142774.35999999999</v>
      </c>
      <c r="F200" s="50">
        <f t="shared" si="36"/>
        <v>50610.59</v>
      </c>
      <c r="G200" s="51">
        <f t="shared" si="37"/>
        <v>1012.21</v>
      </c>
      <c r="H200" s="52">
        <f t="shared" si="38"/>
        <v>0.32</v>
      </c>
      <c r="I200" s="51">
        <f t="shared" si="39"/>
        <v>-1143.8</v>
      </c>
      <c r="J200" s="52">
        <f t="shared" si="40"/>
        <v>-0.3</v>
      </c>
      <c r="K200" s="50">
        <v>2.56</v>
      </c>
      <c r="L200" s="50">
        <v>3.69</v>
      </c>
      <c r="M200" s="50">
        <f t="shared" si="41"/>
        <v>-1.1299999999999999</v>
      </c>
      <c r="N200" s="50">
        <v>9.08</v>
      </c>
      <c r="O200" s="50">
        <v>8.58</v>
      </c>
      <c r="P200" s="50">
        <v>6.12</v>
      </c>
      <c r="Q200" s="50">
        <v>8.3699999999999992</v>
      </c>
      <c r="R200" s="50">
        <v>1039.5899999999999</v>
      </c>
      <c r="S200" s="50">
        <v>-1031.1099999999999</v>
      </c>
      <c r="T200" s="50">
        <v>-339.92</v>
      </c>
      <c r="U200" s="50" t="s">
        <v>2458</v>
      </c>
      <c r="V200" s="50" t="s">
        <v>590</v>
      </c>
      <c r="W200" s="53" t="s">
        <v>266</v>
      </c>
    </row>
    <row r="201" spans="1:23" ht="15" customHeight="1" x14ac:dyDescent="0.25">
      <c r="A201" s="50" t="s">
        <v>2719</v>
      </c>
      <c r="B201" s="50" t="s">
        <v>1406</v>
      </c>
      <c r="C201" s="50">
        <v>200</v>
      </c>
      <c r="D201" s="51">
        <v>122179.63</v>
      </c>
      <c r="E201" s="51">
        <v>98136.04</v>
      </c>
      <c r="F201" s="50">
        <f t="shared" si="36"/>
        <v>24043.59</v>
      </c>
      <c r="G201" s="51">
        <f t="shared" si="37"/>
        <v>480.87</v>
      </c>
      <c r="H201" s="52">
        <f t="shared" si="38"/>
        <v>0.15</v>
      </c>
      <c r="I201" s="51">
        <f t="shared" si="39"/>
        <v>360.65</v>
      </c>
      <c r="J201" s="52">
        <f t="shared" si="40"/>
        <v>0.09</v>
      </c>
      <c r="K201" s="50">
        <v>5.34</v>
      </c>
      <c r="L201" s="50">
        <v>4.59</v>
      </c>
      <c r="M201" s="50">
        <f t="shared" si="41"/>
        <v>0.75</v>
      </c>
      <c r="N201" s="50">
        <v>9.7799999999999994</v>
      </c>
      <c r="O201" s="50">
        <v>9.2799999999999994</v>
      </c>
      <c r="P201" s="50">
        <v>7.31</v>
      </c>
      <c r="Q201" s="50">
        <v>8.9</v>
      </c>
      <c r="R201" s="50">
        <v>524.07000000000005</v>
      </c>
      <c r="S201" s="50">
        <v>-498.65</v>
      </c>
      <c r="T201" s="50">
        <v>191.83</v>
      </c>
      <c r="U201" s="50" t="s">
        <v>2470</v>
      </c>
      <c r="V201" s="50" t="s">
        <v>590</v>
      </c>
      <c r="W201" s="53" t="s">
        <v>266</v>
      </c>
    </row>
    <row r="202" spans="1:23" ht="15" customHeight="1" x14ac:dyDescent="0.25">
      <c r="A202" s="50" t="s">
        <v>2720</v>
      </c>
      <c r="B202" s="50" t="s">
        <v>2721</v>
      </c>
      <c r="C202" s="50">
        <v>300</v>
      </c>
      <c r="D202" s="51">
        <v>171085.94</v>
      </c>
      <c r="E202" s="51">
        <v>79551.149999999994</v>
      </c>
      <c r="F202" s="50">
        <f t="shared" si="36"/>
        <v>91534.79</v>
      </c>
      <c r="G202" s="51">
        <f t="shared" si="37"/>
        <v>2746.04</v>
      </c>
      <c r="H202" s="52">
        <f t="shared" si="38"/>
        <v>0.86</v>
      </c>
      <c r="I202" s="51">
        <f t="shared" si="39"/>
        <v>7139.71</v>
      </c>
      <c r="J202" s="52">
        <f t="shared" si="40"/>
        <v>1.88</v>
      </c>
      <c r="K202" s="50">
        <v>4.01</v>
      </c>
      <c r="L202" s="50">
        <v>1.41</v>
      </c>
      <c r="M202" s="50">
        <f t="shared" si="41"/>
        <v>2.6</v>
      </c>
      <c r="N202" s="50">
        <v>8.92</v>
      </c>
      <c r="O202" s="50">
        <v>8.42</v>
      </c>
      <c r="P202" s="50">
        <v>7.49</v>
      </c>
      <c r="Q202" s="50">
        <v>9.84</v>
      </c>
      <c r="R202" s="50">
        <v>1814.1</v>
      </c>
      <c r="S202" s="50">
        <v>-1921.88</v>
      </c>
      <c r="T202" s="50">
        <v>454.52</v>
      </c>
      <c r="U202" s="50" t="s">
        <v>2456</v>
      </c>
      <c r="V202" s="50" t="s">
        <v>590</v>
      </c>
      <c r="W202" s="53" t="s">
        <v>266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02"/>
  <sheetViews>
    <sheetView zoomScaleNormal="100" workbookViewId="0">
      <pane xSplit="2" ySplit="2" topLeftCell="F3" activePane="bottomRight" state="frozen"/>
      <selection pane="topRight" activeCell="F1" sqref="F1"/>
      <selection pane="bottomLeft" activeCell="A3" sqref="A3"/>
      <selection pane="bottomRight" activeCell="H9" sqref="H9"/>
    </sheetView>
  </sheetViews>
  <sheetFormatPr defaultColWidth="8.7109375" defaultRowHeight="15" x14ac:dyDescent="0.25"/>
  <cols>
    <col min="1" max="2" width="11.7109375" customWidth="1"/>
    <col min="3" max="3" width="14" customWidth="1"/>
    <col min="4" max="4" width="15.140625" customWidth="1"/>
    <col min="5" max="5" width="14.42578125" customWidth="1"/>
    <col min="6" max="6" width="21" customWidth="1"/>
    <col min="7" max="7" width="9.28515625" customWidth="1"/>
    <col min="8" max="8" width="21.42578125" customWidth="1"/>
    <col min="9" max="9" width="14.28515625" customWidth="1"/>
    <col min="10" max="10" width="11.42578125" customWidth="1"/>
    <col min="11" max="11" width="20.85546875" customWidth="1"/>
    <col min="12" max="12" width="22.140625" customWidth="1"/>
    <col min="13" max="14" width="26.85546875" customWidth="1"/>
    <col min="15" max="15" width="13.85546875" customWidth="1"/>
    <col min="16" max="16" width="18.140625" customWidth="1"/>
    <col min="17" max="17" width="7.42578125" customWidth="1"/>
    <col min="18" max="18" width="6.5703125" customWidth="1"/>
  </cols>
  <sheetData>
    <row r="1" spans="1:18" ht="37.5" customHeight="1" x14ac:dyDescent="0.25">
      <c r="A1" s="138" t="s">
        <v>2722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40"/>
    </row>
    <row r="2" spans="1:18" ht="21.75" customHeight="1" x14ac:dyDescent="0.25">
      <c r="A2" s="58" t="s">
        <v>2148</v>
      </c>
      <c r="B2" s="58" t="s">
        <v>1618</v>
      </c>
      <c r="C2" s="58" t="s">
        <v>2723</v>
      </c>
      <c r="D2" s="58" t="s">
        <v>2724</v>
      </c>
      <c r="E2" s="58" t="s">
        <v>2725</v>
      </c>
      <c r="F2" s="58" t="s">
        <v>2726</v>
      </c>
      <c r="G2" s="58" t="s">
        <v>2727</v>
      </c>
      <c r="H2" s="58" t="s">
        <v>2728</v>
      </c>
      <c r="I2" s="58" t="s">
        <v>2729</v>
      </c>
      <c r="J2" s="58" t="s">
        <v>2730</v>
      </c>
      <c r="K2" s="58" t="s">
        <v>2731</v>
      </c>
      <c r="L2" s="58" t="s">
        <v>2732</v>
      </c>
      <c r="M2" s="58" t="s">
        <v>2733</v>
      </c>
      <c r="N2" s="58" t="s">
        <v>2734</v>
      </c>
      <c r="O2" s="58" t="s">
        <v>219</v>
      </c>
      <c r="P2" s="58" t="s">
        <v>2735</v>
      </c>
      <c r="Q2" s="58" t="s">
        <v>567</v>
      </c>
      <c r="R2" s="58" t="s">
        <v>568</v>
      </c>
    </row>
    <row r="3" spans="1:18" ht="15" customHeight="1" x14ac:dyDescent="0.25">
      <c r="A3" s="50" t="s">
        <v>2736</v>
      </c>
      <c r="B3" s="50" t="s">
        <v>2737</v>
      </c>
      <c r="C3" s="50" t="s">
        <v>2738</v>
      </c>
      <c r="D3" s="50" t="s">
        <v>2249</v>
      </c>
      <c r="E3" s="51">
        <v>195655.89</v>
      </c>
      <c r="F3" s="51">
        <v>3200000</v>
      </c>
      <c r="G3" s="50">
        <f t="shared" ref="G3:G34" si="0">ROUND(E3/F3*100,2)</f>
        <v>6.11</v>
      </c>
      <c r="H3" s="50">
        <v>40</v>
      </c>
      <c r="I3" s="50">
        <f t="shared" ref="I3:I34" si="1">ROUND(G3/H3*100,2)</f>
        <v>15.28</v>
      </c>
      <c r="J3" s="50">
        <v>0.3105</v>
      </c>
      <c r="K3" s="51">
        <v>861355.09</v>
      </c>
      <c r="L3" s="51">
        <v>1695345.23</v>
      </c>
      <c r="M3" s="50">
        <v>15</v>
      </c>
      <c r="N3" s="50">
        <v>25</v>
      </c>
      <c r="O3" s="50" t="s">
        <v>587</v>
      </c>
      <c r="P3" s="50" t="s">
        <v>2739</v>
      </c>
      <c r="Q3" s="50" t="s">
        <v>1676</v>
      </c>
      <c r="R3" s="53" t="s">
        <v>266</v>
      </c>
    </row>
    <row r="4" spans="1:18" ht="15" customHeight="1" x14ac:dyDescent="0.25">
      <c r="A4" s="50" t="s">
        <v>2740</v>
      </c>
      <c r="B4" s="50" t="s">
        <v>1975</v>
      </c>
      <c r="C4" s="50" t="s">
        <v>565</v>
      </c>
      <c r="D4" s="50" t="s">
        <v>713</v>
      </c>
      <c r="E4" s="51">
        <v>209733.03</v>
      </c>
      <c r="F4" s="51">
        <v>3200000</v>
      </c>
      <c r="G4" s="50">
        <f t="shared" si="0"/>
        <v>6.55</v>
      </c>
      <c r="H4" s="50">
        <v>40</v>
      </c>
      <c r="I4" s="50">
        <f t="shared" si="1"/>
        <v>16.38</v>
      </c>
      <c r="J4" s="50">
        <v>0.29980000000000001</v>
      </c>
      <c r="K4" s="51">
        <v>745909.54</v>
      </c>
      <c r="L4" s="51">
        <v>1420045.22</v>
      </c>
      <c r="M4" s="50">
        <v>15</v>
      </c>
      <c r="N4" s="50">
        <v>25</v>
      </c>
      <c r="O4" s="50" t="s">
        <v>587</v>
      </c>
      <c r="P4" s="50" t="s">
        <v>2739</v>
      </c>
      <c r="Q4" s="50" t="s">
        <v>1676</v>
      </c>
      <c r="R4" s="53" t="s">
        <v>266</v>
      </c>
    </row>
    <row r="5" spans="1:18" ht="15" customHeight="1" x14ac:dyDescent="0.25">
      <c r="A5" s="50" t="s">
        <v>2741</v>
      </c>
      <c r="B5" s="50" t="s">
        <v>1095</v>
      </c>
      <c r="C5" s="50" t="s">
        <v>2742</v>
      </c>
      <c r="D5" s="50" t="s">
        <v>720</v>
      </c>
      <c r="E5" s="51">
        <v>99785.7</v>
      </c>
      <c r="F5" s="51">
        <v>3200000</v>
      </c>
      <c r="G5" s="50">
        <f t="shared" si="0"/>
        <v>3.12</v>
      </c>
      <c r="H5" s="50">
        <v>40</v>
      </c>
      <c r="I5" s="50">
        <f t="shared" si="1"/>
        <v>7.8</v>
      </c>
      <c r="J5" s="50">
        <v>0.2591</v>
      </c>
      <c r="K5" s="51">
        <v>509168.05</v>
      </c>
      <c r="L5" s="51">
        <v>978314.35</v>
      </c>
      <c r="M5" s="50">
        <v>15</v>
      </c>
      <c r="N5" s="50">
        <v>25</v>
      </c>
      <c r="O5" s="50" t="s">
        <v>587</v>
      </c>
      <c r="P5" s="50" t="s">
        <v>2739</v>
      </c>
      <c r="Q5" s="50" t="s">
        <v>1676</v>
      </c>
      <c r="R5" s="53" t="s">
        <v>266</v>
      </c>
    </row>
    <row r="6" spans="1:18" ht="15" customHeight="1" x14ac:dyDescent="0.25">
      <c r="A6" s="50" t="s">
        <v>2743</v>
      </c>
      <c r="B6" s="50" t="s">
        <v>1727</v>
      </c>
      <c r="C6" s="50" t="s">
        <v>2744</v>
      </c>
      <c r="D6" s="50" t="s">
        <v>2745</v>
      </c>
      <c r="E6" s="51">
        <v>45595.66</v>
      </c>
      <c r="F6" s="51">
        <v>3200000</v>
      </c>
      <c r="G6" s="50">
        <f t="shared" si="0"/>
        <v>1.42</v>
      </c>
      <c r="H6" s="50">
        <v>40</v>
      </c>
      <c r="I6" s="50">
        <f t="shared" si="1"/>
        <v>3.55</v>
      </c>
      <c r="J6" s="50">
        <v>0.2412</v>
      </c>
      <c r="K6" s="51">
        <v>175444.68</v>
      </c>
      <c r="L6" s="51">
        <v>328263.23</v>
      </c>
      <c r="M6" s="50">
        <v>15</v>
      </c>
      <c r="N6" s="50">
        <v>25</v>
      </c>
      <c r="O6" s="50" t="s">
        <v>587</v>
      </c>
      <c r="P6" s="50" t="s">
        <v>2739</v>
      </c>
      <c r="Q6" s="50" t="s">
        <v>1676</v>
      </c>
      <c r="R6" s="53" t="s">
        <v>266</v>
      </c>
    </row>
    <row r="7" spans="1:18" ht="15" customHeight="1" x14ac:dyDescent="0.25">
      <c r="A7" s="50" t="s">
        <v>2746</v>
      </c>
      <c r="B7" s="50" t="s">
        <v>2242</v>
      </c>
      <c r="C7" s="50" t="s">
        <v>565</v>
      </c>
      <c r="D7" s="50" t="s">
        <v>680</v>
      </c>
      <c r="E7" s="51">
        <v>212386.52</v>
      </c>
      <c r="F7" s="51">
        <v>3200000</v>
      </c>
      <c r="G7" s="50">
        <f t="shared" si="0"/>
        <v>6.64</v>
      </c>
      <c r="H7" s="50">
        <v>40</v>
      </c>
      <c r="I7" s="50">
        <f t="shared" si="1"/>
        <v>16.600000000000001</v>
      </c>
      <c r="J7" s="50">
        <v>0.2079</v>
      </c>
      <c r="K7" s="51">
        <v>1035090.07</v>
      </c>
      <c r="L7" s="51">
        <v>2257675.1800000002</v>
      </c>
      <c r="M7" s="50">
        <v>15</v>
      </c>
      <c r="N7" s="50">
        <v>25</v>
      </c>
      <c r="O7" s="50" t="s">
        <v>587</v>
      </c>
      <c r="P7" s="50" t="s">
        <v>2739</v>
      </c>
      <c r="Q7" s="50" t="s">
        <v>1676</v>
      </c>
      <c r="R7" s="53" t="s">
        <v>266</v>
      </c>
    </row>
    <row r="8" spans="1:18" ht="15" customHeight="1" x14ac:dyDescent="0.25">
      <c r="A8" s="50" t="s">
        <v>2747</v>
      </c>
      <c r="B8" s="50" t="s">
        <v>1772</v>
      </c>
      <c r="C8" s="50" t="s">
        <v>2748</v>
      </c>
      <c r="D8" s="50" t="s">
        <v>614</v>
      </c>
      <c r="E8" s="51">
        <v>172755.37</v>
      </c>
      <c r="F8" s="51">
        <v>3200000</v>
      </c>
      <c r="G8" s="50">
        <f t="shared" si="0"/>
        <v>5.4</v>
      </c>
      <c r="H8" s="50">
        <v>25</v>
      </c>
      <c r="I8" s="50">
        <f t="shared" si="1"/>
        <v>21.6</v>
      </c>
      <c r="J8" s="50">
        <v>5.21E-2</v>
      </c>
      <c r="K8" s="51">
        <v>872670.34</v>
      </c>
      <c r="L8" s="51">
        <v>1818716.19</v>
      </c>
      <c r="M8" s="50">
        <v>15</v>
      </c>
      <c r="N8" s="50">
        <v>25</v>
      </c>
      <c r="O8" s="50" t="s">
        <v>587</v>
      </c>
      <c r="P8" s="50" t="s">
        <v>2739</v>
      </c>
      <c r="Q8" s="50" t="s">
        <v>1676</v>
      </c>
      <c r="R8" s="53" t="s">
        <v>266</v>
      </c>
    </row>
    <row r="9" spans="1:18" ht="15" customHeight="1" x14ac:dyDescent="0.25">
      <c r="A9" s="50" t="s">
        <v>2749</v>
      </c>
      <c r="B9" s="50" t="s">
        <v>1006</v>
      </c>
      <c r="C9" s="50" t="s">
        <v>1227</v>
      </c>
      <c r="D9" s="50" t="s">
        <v>1269</v>
      </c>
      <c r="E9" s="51">
        <v>109285.44</v>
      </c>
      <c r="F9" s="51">
        <v>3200000</v>
      </c>
      <c r="G9" s="50">
        <f t="shared" si="0"/>
        <v>3.42</v>
      </c>
      <c r="H9" s="50">
        <v>40</v>
      </c>
      <c r="I9" s="50">
        <f t="shared" si="1"/>
        <v>8.5500000000000007</v>
      </c>
      <c r="J9" s="50">
        <v>0.13270000000000001</v>
      </c>
      <c r="K9" s="51">
        <v>571686.47</v>
      </c>
      <c r="L9" s="51">
        <v>1114869.73</v>
      </c>
      <c r="M9" s="50">
        <v>15</v>
      </c>
      <c r="N9" s="50">
        <v>25</v>
      </c>
      <c r="O9" s="50" t="s">
        <v>587</v>
      </c>
      <c r="P9" s="50" t="s">
        <v>2739</v>
      </c>
      <c r="Q9" s="50" t="s">
        <v>1676</v>
      </c>
      <c r="R9" s="53" t="s">
        <v>266</v>
      </c>
    </row>
    <row r="10" spans="1:18" ht="15" customHeight="1" x14ac:dyDescent="0.25">
      <c r="A10" s="50" t="s">
        <v>2750</v>
      </c>
      <c r="B10" s="50" t="s">
        <v>1442</v>
      </c>
      <c r="C10" s="50" t="s">
        <v>2748</v>
      </c>
      <c r="D10" s="50" t="s">
        <v>659</v>
      </c>
      <c r="E10" s="51">
        <v>158409.91</v>
      </c>
      <c r="F10" s="51">
        <v>3200000</v>
      </c>
      <c r="G10" s="50">
        <f t="shared" si="0"/>
        <v>4.95</v>
      </c>
      <c r="H10" s="50">
        <v>25</v>
      </c>
      <c r="I10" s="50">
        <f t="shared" si="1"/>
        <v>19.8</v>
      </c>
      <c r="J10" s="50">
        <v>0.30930000000000002</v>
      </c>
      <c r="K10" s="51">
        <v>843265.12</v>
      </c>
      <c r="L10" s="51">
        <v>1400598.12</v>
      </c>
      <c r="M10" s="50">
        <v>15</v>
      </c>
      <c r="N10" s="50">
        <v>25</v>
      </c>
      <c r="O10" s="50" t="s">
        <v>587</v>
      </c>
      <c r="P10" s="50" t="s">
        <v>2739</v>
      </c>
      <c r="Q10" s="50" t="s">
        <v>1676</v>
      </c>
      <c r="R10" s="53" t="s">
        <v>266</v>
      </c>
    </row>
    <row r="11" spans="1:18" ht="15" customHeight="1" x14ac:dyDescent="0.25">
      <c r="A11" s="50" t="s">
        <v>2751</v>
      </c>
      <c r="B11" s="50" t="s">
        <v>1059</v>
      </c>
      <c r="C11" s="50" t="s">
        <v>2742</v>
      </c>
      <c r="D11" s="50" t="s">
        <v>593</v>
      </c>
      <c r="E11" s="51">
        <v>342684.94</v>
      </c>
      <c r="F11" s="51">
        <v>3200000</v>
      </c>
      <c r="G11" s="50">
        <f t="shared" si="0"/>
        <v>10.71</v>
      </c>
      <c r="H11" s="50">
        <v>40</v>
      </c>
      <c r="I11" s="50">
        <f t="shared" si="1"/>
        <v>26.78</v>
      </c>
      <c r="J11" s="50">
        <v>0.27389999999999998</v>
      </c>
      <c r="K11" s="51">
        <v>1215625.6200000001</v>
      </c>
      <c r="L11" s="51">
        <v>2306877.42</v>
      </c>
      <c r="M11" s="50">
        <v>15</v>
      </c>
      <c r="N11" s="50">
        <v>25</v>
      </c>
      <c r="O11" s="50" t="s">
        <v>587</v>
      </c>
      <c r="P11" s="50" t="s">
        <v>2739</v>
      </c>
      <c r="Q11" s="50" t="s">
        <v>1676</v>
      </c>
      <c r="R11" s="53" t="s">
        <v>266</v>
      </c>
    </row>
    <row r="12" spans="1:18" ht="15" customHeight="1" x14ac:dyDescent="0.25">
      <c r="A12" s="50" t="s">
        <v>2752</v>
      </c>
      <c r="B12" s="50" t="s">
        <v>2214</v>
      </c>
      <c r="C12" s="50" t="s">
        <v>565</v>
      </c>
      <c r="D12" s="50" t="s">
        <v>611</v>
      </c>
      <c r="E12" s="51">
        <v>314702.87</v>
      </c>
      <c r="F12" s="51">
        <v>3200000</v>
      </c>
      <c r="G12" s="50">
        <f t="shared" si="0"/>
        <v>9.83</v>
      </c>
      <c r="H12" s="50">
        <v>40</v>
      </c>
      <c r="I12" s="50">
        <f t="shared" si="1"/>
        <v>24.58</v>
      </c>
      <c r="J12" s="50">
        <v>0.18629999999999999</v>
      </c>
      <c r="K12" s="51">
        <v>1443532.39</v>
      </c>
      <c r="L12" s="51">
        <v>2672230.7200000002</v>
      </c>
      <c r="M12" s="50">
        <v>15</v>
      </c>
      <c r="N12" s="50">
        <v>25</v>
      </c>
      <c r="O12" s="50" t="s">
        <v>587</v>
      </c>
      <c r="P12" s="50" t="s">
        <v>2739</v>
      </c>
      <c r="Q12" s="50" t="s">
        <v>1676</v>
      </c>
      <c r="R12" s="53" t="s">
        <v>266</v>
      </c>
    </row>
    <row r="13" spans="1:18" ht="15" customHeight="1" x14ac:dyDescent="0.25">
      <c r="A13" s="50" t="s">
        <v>2753</v>
      </c>
      <c r="B13" s="50" t="s">
        <v>2754</v>
      </c>
      <c r="C13" s="50" t="s">
        <v>2744</v>
      </c>
      <c r="D13" s="50" t="s">
        <v>2755</v>
      </c>
      <c r="E13" s="51">
        <v>197262.14</v>
      </c>
      <c r="F13" s="51">
        <v>3200000</v>
      </c>
      <c r="G13" s="50">
        <f t="shared" si="0"/>
        <v>6.16</v>
      </c>
      <c r="H13" s="50">
        <v>40</v>
      </c>
      <c r="I13" s="50">
        <f t="shared" si="1"/>
        <v>15.4</v>
      </c>
      <c r="J13" s="50">
        <v>0.20619999999999999</v>
      </c>
      <c r="K13" s="51">
        <v>716130.74</v>
      </c>
      <c r="L13" s="51">
        <v>1258718.18</v>
      </c>
      <c r="M13" s="50">
        <v>15</v>
      </c>
      <c r="N13" s="50">
        <v>25</v>
      </c>
      <c r="O13" s="50" t="s">
        <v>587</v>
      </c>
      <c r="P13" s="50" t="s">
        <v>2739</v>
      </c>
      <c r="Q13" s="50" t="s">
        <v>1676</v>
      </c>
      <c r="R13" s="53" t="s">
        <v>266</v>
      </c>
    </row>
    <row r="14" spans="1:18" ht="15" customHeight="1" x14ac:dyDescent="0.25">
      <c r="A14" s="50" t="s">
        <v>2756</v>
      </c>
      <c r="B14" s="50" t="s">
        <v>1948</v>
      </c>
      <c r="C14" s="50" t="s">
        <v>2738</v>
      </c>
      <c r="D14" s="50" t="s">
        <v>2185</v>
      </c>
      <c r="E14" s="51">
        <v>143457.81</v>
      </c>
      <c r="F14" s="51">
        <v>3200000</v>
      </c>
      <c r="G14" s="50">
        <f t="shared" si="0"/>
        <v>4.4800000000000004</v>
      </c>
      <c r="H14" s="50">
        <v>40</v>
      </c>
      <c r="I14" s="50">
        <f t="shared" si="1"/>
        <v>11.2</v>
      </c>
      <c r="J14" s="50">
        <v>0.3901</v>
      </c>
      <c r="K14" s="51">
        <v>762224.7</v>
      </c>
      <c r="L14" s="51">
        <v>1619971.24</v>
      </c>
      <c r="M14" s="50">
        <v>15</v>
      </c>
      <c r="N14" s="50">
        <v>25</v>
      </c>
      <c r="O14" s="50" t="s">
        <v>587</v>
      </c>
      <c r="P14" s="50" t="s">
        <v>2739</v>
      </c>
      <c r="Q14" s="50" t="s">
        <v>1676</v>
      </c>
      <c r="R14" s="53" t="s">
        <v>266</v>
      </c>
    </row>
    <row r="15" spans="1:18" ht="15" customHeight="1" x14ac:dyDescent="0.25">
      <c r="A15" s="50" t="s">
        <v>2757</v>
      </c>
      <c r="B15" s="50" t="s">
        <v>1457</v>
      </c>
      <c r="C15" s="50" t="s">
        <v>565</v>
      </c>
      <c r="D15" s="50" t="s">
        <v>713</v>
      </c>
      <c r="E15" s="51">
        <v>34800.25</v>
      </c>
      <c r="F15" s="51">
        <v>3200000</v>
      </c>
      <c r="G15" s="50">
        <f t="shared" si="0"/>
        <v>1.0900000000000001</v>
      </c>
      <c r="H15" s="50">
        <v>40</v>
      </c>
      <c r="I15" s="50">
        <f t="shared" si="1"/>
        <v>2.73</v>
      </c>
      <c r="J15" s="50">
        <v>0.1191</v>
      </c>
      <c r="K15" s="51">
        <v>135478.56</v>
      </c>
      <c r="L15" s="51">
        <v>270403.99</v>
      </c>
      <c r="M15" s="50">
        <v>15</v>
      </c>
      <c r="N15" s="50">
        <v>25</v>
      </c>
      <c r="O15" s="50" t="s">
        <v>587</v>
      </c>
      <c r="P15" s="50" t="s">
        <v>2739</v>
      </c>
      <c r="Q15" s="50" t="s">
        <v>1676</v>
      </c>
      <c r="R15" s="53" t="s">
        <v>266</v>
      </c>
    </row>
    <row r="16" spans="1:18" ht="15" customHeight="1" x14ac:dyDescent="0.25">
      <c r="A16" s="50" t="s">
        <v>2758</v>
      </c>
      <c r="B16" s="50" t="s">
        <v>1360</v>
      </c>
      <c r="C16" s="50" t="s">
        <v>2738</v>
      </c>
      <c r="D16" s="50" t="s">
        <v>2249</v>
      </c>
      <c r="E16" s="51">
        <v>169868.51</v>
      </c>
      <c r="F16" s="51">
        <v>3200000</v>
      </c>
      <c r="G16" s="50">
        <f t="shared" si="0"/>
        <v>5.31</v>
      </c>
      <c r="H16" s="50">
        <v>40</v>
      </c>
      <c r="I16" s="50">
        <f t="shared" si="1"/>
        <v>13.28</v>
      </c>
      <c r="J16" s="50">
        <v>0.40920000000000001</v>
      </c>
      <c r="K16" s="51">
        <v>817496.52</v>
      </c>
      <c r="L16" s="51">
        <v>1593523.33</v>
      </c>
      <c r="M16" s="50">
        <v>15</v>
      </c>
      <c r="N16" s="50">
        <v>25</v>
      </c>
      <c r="O16" s="50" t="s">
        <v>587</v>
      </c>
      <c r="P16" s="50" t="s">
        <v>2739</v>
      </c>
      <c r="Q16" s="50" t="s">
        <v>1676</v>
      </c>
      <c r="R16" s="53" t="s">
        <v>266</v>
      </c>
    </row>
    <row r="17" spans="1:18" ht="15" customHeight="1" x14ac:dyDescent="0.25">
      <c r="A17" s="50" t="s">
        <v>2759</v>
      </c>
      <c r="B17" s="50" t="s">
        <v>619</v>
      </c>
      <c r="C17" s="50" t="s">
        <v>565</v>
      </c>
      <c r="D17" s="50" t="s">
        <v>700</v>
      </c>
      <c r="E17" s="51">
        <v>74844.31</v>
      </c>
      <c r="F17" s="51">
        <v>3200000</v>
      </c>
      <c r="G17" s="50">
        <f t="shared" si="0"/>
        <v>2.34</v>
      </c>
      <c r="H17" s="50">
        <v>40</v>
      </c>
      <c r="I17" s="50">
        <f t="shared" si="1"/>
        <v>5.85</v>
      </c>
      <c r="J17" s="50">
        <v>0.16109999999999999</v>
      </c>
      <c r="K17" s="51">
        <v>373718.92</v>
      </c>
      <c r="L17" s="51">
        <v>685559.65</v>
      </c>
      <c r="M17" s="50">
        <v>15</v>
      </c>
      <c r="N17" s="50">
        <v>25</v>
      </c>
      <c r="O17" s="50" t="s">
        <v>587</v>
      </c>
      <c r="P17" s="50" t="s">
        <v>2739</v>
      </c>
      <c r="Q17" s="50" t="s">
        <v>1676</v>
      </c>
      <c r="R17" s="53" t="s">
        <v>266</v>
      </c>
    </row>
    <row r="18" spans="1:18" ht="15" customHeight="1" x14ac:dyDescent="0.25">
      <c r="A18" s="50" t="s">
        <v>2760</v>
      </c>
      <c r="B18" s="50" t="s">
        <v>1379</v>
      </c>
      <c r="C18" s="50" t="s">
        <v>565</v>
      </c>
      <c r="D18" s="50" t="s">
        <v>611</v>
      </c>
      <c r="E18" s="51">
        <v>276890.05</v>
      </c>
      <c r="F18" s="51">
        <v>3200000</v>
      </c>
      <c r="G18" s="50">
        <f t="shared" si="0"/>
        <v>8.65</v>
      </c>
      <c r="H18" s="50">
        <v>40</v>
      </c>
      <c r="I18" s="50">
        <f t="shared" si="1"/>
        <v>21.63</v>
      </c>
      <c r="J18" s="50">
        <v>9.1700000000000004E-2</v>
      </c>
      <c r="K18" s="51">
        <v>1337883.54</v>
      </c>
      <c r="L18" s="51">
        <v>2610670.63</v>
      </c>
      <c r="M18" s="50">
        <v>15</v>
      </c>
      <c r="N18" s="50">
        <v>25</v>
      </c>
      <c r="O18" s="50" t="s">
        <v>587</v>
      </c>
      <c r="P18" s="50" t="s">
        <v>2739</v>
      </c>
      <c r="Q18" s="50" t="s">
        <v>1676</v>
      </c>
      <c r="R18" s="53" t="s">
        <v>266</v>
      </c>
    </row>
    <row r="19" spans="1:18" ht="15" customHeight="1" x14ac:dyDescent="0.25">
      <c r="A19" s="50" t="s">
        <v>2761</v>
      </c>
      <c r="B19" s="50" t="s">
        <v>2762</v>
      </c>
      <c r="C19" s="50" t="s">
        <v>2744</v>
      </c>
      <c r="D19" s="50" t="s">
        <v>586</v>
      </c>
      <c r="E19" s="51">
        <v>115237.57</v>
      </c>
      <c r="F19" s="51">
        <v>3200000</v>
      </c>
      <c r="G19" s="50">
        <f t="shared" si="0"/>
        <v>3.6</v>
      </c>
      <c r="H19" s="50">
        <v>40</v>
      </c>
      <c r="I19" s="50">
        <f t="shared" si="1"/>
        <v>9</v>
      </c>
      <c r="J19" s="50">
        <v>0.14019999999999999</v>
      </c>
      <c r="K19" s="51">
        <v>514049.26</v>
      </c>
      <c r="L19" s="51">
        <v>888347.36</v>
      </c>
      <c r="M19" s="50">
        <v>15</v>
      </c>
      <c r="N19" s="50">
        <v>25</v>
      </c>
      <c r="O19" s="50" t="s">
        <v>587</v>
      </c>
      <c r="P19" s="50" t="s">
        <v>2739</v>
      </c>
      <c r="Q19" s="50" t="s">
        <v>1676</v>
      </c>
      <c r="R19" s="53" t="s">
        <v>266</v>
      </c>
    </row>
    <row r="20" spans="1:18" ht="15" customHeight="1" x14ac:dyDescent="0.25">
      <c r="A20" s="50" t="s">
        <v>2763</v>
      </c>
      <c r="B20" s="50" t="s">
        <v>875</v>
      </c>
      <c r="C20" s="50" t="s">
        <v>2764</v>
      </c>
      <c r="D20" s="50" t="s">
        <v>594</v>
      </c>
      <c r="E20" s="51">
        <v>170163.35</v>
      </c>
      <c r="F20" s="51">
        <v>3200000</v>
      </c>
      <c r="G20" s="50">
        <f t="shared" si="0"/>
        <v>5.32</v>
      </c>
      <c r="H20" s="50">
        <v>40</v>
      </c>
      <c r="I20" s="50">
        <f t="shared" si="1"/>
        <v>13.3</v>
      </c>
      <c r="J20" s="50">
        <v>8.6599999999999996E-2</v>
      </c>
      <c r="K20" s="51">
        <v>727570</v>
      </c>
      <c r="L20" s="51">
        <v>1440616.2</v>
      </c>
      <c r="M20" s="50">
        <v>15</v>
      </c>
      <c r="N20" s="50">
        <v>25</v>
      </c>
      <c r="O20" s="50" t="s">
        <v>587</v>
      </c>
      <c r="P20" s="50" t="s">
        <v>2739</v>
      </c>
      <c r="Q20" s="50" t="s">
        <v>1676</v>
      </c>
      <c r="R20" s="53" t="s">
        <v>266</v>
      </c>
    </row>
    <row r="21" spans="1:18" ht="15" customHeight="1" x14ac:dyDescent="0.25">
      <c r="A21" s="50" t="s">
        <v>2765</v>
      </c>
      <c r="B21" s="50" t="s">
        <v>1356</v>
      </c>
      <c r="C21" s="50" t="s">
        <v>566</v>
      </c>
      <c r="D21" s="50" t="s">
        <v>661</v>
      </c>
      <c r="E21" s="51">
        <v>235143.41</v>
      </c>
      <c r="F21" s="51">
        <v>3200000</v>
      </c>
      <c r="G21" s="50">
        <f t="shared" si="0"/>
        <v>7.35</v>
      </c>
      <c r="H21" s="50">
        <v>40</v>
      </c>
      <c r="I21" s="50">
        <f t="shared" si="1"/>
        <v>18.38</v>
      </c>
      <c r="J21" s="50">
        <v>0.3674</v>
      </c>
      <c r="K21" s="51">
        <v>891382.87</v>
      </c>
      <c r="L21" s="51">
        <v>1832960.23</v>
      </c>
      <c r="M21" s="50">
        <v>15</v>
      </c>
      <c r="N21" s="50">
        <v>25</v>
      </c>
      <c r="O21" s="50" t="s">
        <v>587</v>
      </c>
      <c r="P21" s="50" t="s">
        <v>2739</v>
      </c>
      <c r="Q21" s="50" t="s">
        <v>1676</v>
      </c>
      <c r="R21" s="53" t="s">
        <v>266</v>
      </c>
    </row>
    <row r="22" spans="1:18" ht="15" customHeight="1" x14ac:dyDescent="0.25">
      <c r="A22" s="50" t="s">
        <v>2766</v>
      </c>
      <c r="B22" s="50" t="s">
        <v>1534</v>
      </c>
      <c r="C22" s="50" t="s">
        <v>566</v>
      </c>
      <c r="D22" s="50" t="s">
        <v>661</v>
      </c>
      <c r="E22" s="51">
        <v>90238.399999999994</v>
      </c>
      <c r="F22" s="51">
        <v>3200000</v>
      </c>
      <c r="G22" s="50">
        <f t="shared" si="0"/>
        <v>2.82</v>
      </c>
      <c r="H22" s="50">
        <v>40</v>
      </c>
      <c r="I22" s="50">
        <f t="shared" si="1"/>
        <v>7.05</v>
      </c>
      <c r="J22" s="50">
        <v>0.32879999999999998</v>
      </c>
      <c r="K22" s="51">
        <v>467393.57</v>
      </c>
      <c r="L22" s="51">
        <v>849269.78</v>
      </c>
      <c r="M22" s="50">
        <v>15</v>
      </c>
      <c r="N22" s="50">
        <v>25</v>
      </c>
      <c r="O22" s="50" t="s">
        <v>587</v>
      </c>
      <c r="P22" s="50" t="s">
        <v>2739</v>
      </c>
      <c r="Q22" s="50" t="s">
        <v>1676</v>
      </c>
      <c r="R22" s="53" t="s">
        <v>266</v>
      </c>
    </row>
    <row r="23" spans="1:18" ht="15" customHeight="1" x14ac:dyDescent="0.25">
      <c r="A23" s="50" t="s">
        <v>2767</v>
      </c>
      <c r="B23" s="50" t="s">
        <v>2768</v>
      </c>
      <c r="C23" s="50" t="s">
        <v>2744</v>
      </c>
      <c r="D23" s="50" t="s">
        <v>2755</v>
      </c>
      <c r="E23" s="51">
        <v>25587.19</v>
      </c>
      <c r="F23" s="51">
        <v>3200000</v>
      </c>
      <c r="G23" s="50">
        <f t="shared" si="0"/>
        <v>0.8</v>
      </c>
      <c r="H23" s="50">
        <v>40</v>
      </c>
      <c r="I23" s="50">
        <f t="shared" si="1"/>
        <v>2</v>
      </c>
      <c r="J23" s="50">
        <v>0.20979999999999999</v>
      </c>
      <c r="K23" s="51">
        <v>134111.1</v>
      </c>
      <c r="L23" s="51">
        <v>277392.61</v>
      </c>
      <c r="M23" s="50">
        <v>15</v>
      </c>
      <c r="N23" s="50">
        <v>25</v>
      </c>
      <c r="O23" s="50" t="s">
        <v>587</v>
      </c>
      <c r="P23" s="50" t="s">
        <v>2739</v>
      </c>
      <c r="Q23" s="50" t="s">
        <v>1676</v>
      </c>
      <c r="R23" s="53" t="s">
        <v>266</v>
      </c>
    </row>
    <row r="24" spans="1:18" ht="15" customHeight="1" x14ac:dyDescent="0.25">
      <c r="A24" s="50" t="s">
        <v>2769</v>
      </c>
      <c r="B24" s="50" t="s">
        <v>2770</v>
      </c>
      <c r="C24" s="50" t="s">
        <v>2748</v>
      </c>
      <c r="D24" s="50" t="s">
        <v>659</v>
      </c>
      <c r="E24" s="51">
        <v>255640.86</v>
      </c>
      <c r="F24" s="51">
        <v>3200000</v>
      </c>
      <c r="G24" s="50">
        <f t="shared" si="0"/>
        <v>7.99</v>
      </c>
      <c r="H24" s="50">
        <v>25</v>
      </c>
      <c r="I24" s="50">
        <f t="shared" si="1"/>
        <v>31.96</v>
      </c>
      <c r="J24" s="50">
        <v>0.1883</v>
      </c>
      <c r="K24" s="51">
        <v>1124732.02</v>
      </c>
      <c r="L24" s="51">
        <v>2363988.15</v>
      </c>
      <c r="M24" s="50">
        <v>15</v>
      </c>
      <c r="N24" s="50">
        <v>25</v>
      </c>
      <c r="O24" s="50" t="s">
        <v>587</v>
      </c>
      <c r="P24" s="50" t="s">
        <v>2739</v>
      </c>
      <c r="Q24" s="50" t="s">
        <v>1676</v>
      </c>
      <c r="R24" s="53" t="s">
        <v>266</v>
      </c>
    </row>
    <row r="25" spans="1:18" ht="15" customHeight="1" x14ac:dyDescent="0.25">
      <c r="A25" s="50" t="s">
        <v>2771</v>
      </c>
      <c r="B25" s="50" t="s">
        <v>2768</v>
      </c>
      <c r="C25" s="50" t="s">
        <v>2742</v>
      </c>
      <c r="D25" s="50" t="s">
        <v>720</v>
      </c>
      <c r="E25" s="51">
        <v>217139.04</v>
      </c>
      <c r="F25" s="51">
        <v>3200000</v>
      </c>
      <c r="G25" s="50">
        <f t="shared" si="0"/>
        <v>6.79</v>
      </c>
      <c r="H25" s="50">
        <v>40</v>
      </c>
      <c r="I25" s="50">
        <f t="shared" si="1"/>
        <v>16.98</v>
      </c>
      <c r="J25" s="50">
        <v>0.34250000000000003</v>
      </c>
      <c r="K25" s="51">
        <v>1145948.74</v>
      </c>
      <c r="L25" s="51">
        <v>2277715.88</v>
      </c>
      <c r="M25" s="50">
        <v>15</v>
      </c>
      <c r="N25" s="50">
        <v>25</v>
      </c>
      <c r="O25" s="50" t="s">
        <v>587</v>
      </c>
      <c r="P25" s="50" t="s">
        <v>2739</v>
      </c>
      <c r="Q25" s="50" t="s">
        <v>1676</v>
      </c>
      <c r="R25" s="53" t="s">
        <v>266</v>
      </c>
    </row>
    <row r="26" spans="1:18" ht="15" customHeight="1" x14ac:dyDescent="0.25">
      <c r="A26" s="50" t="s">
        <v>2772</v>
      </c>
      <c r="B26" s="50" t="s">
        <v>2773</v>
      </c>
      <c r="C26" s="50" t="s">
        <v>2742</v>
      </c>
      <c r="D26" s="50" t="s">
        <v>642</v>
      </c>
      <c r="E26" s="51">
        <v>211647.7</v>
      </c>
      <c r="F26" s="51">
        <v>3200000</v>
      </c>
      <c r="G26" s="50">
        <f t="shared" si="0"/>
        <v>6.61</v>
      </c>
      <c r="H26" s="50">
        <v>40</v>
      </c>
      <c r="I26" s="50">
        <f t="shared" si="1"/>
        <v>16.53</v>
      </c>
      <c r="J26" s="50">
        <v>0.15640000000000001</v>
      </c>
      <c r="K26" s="51">
        <v>1068016.27</v>
      </c>
      <c r="L26" s="51">
        <v>1986131.03</v>
      </c>
      <c r="M26" s="50">
        <v>15</v>
      </c>
      <c r="N26" s="50">
        <v>25</v>
      </c>
      <c r="O26" s="50" t="s">
        <v>587</v>
      </c>
      <c r="P26" s="50" t="s">
        <v>2739</v>
      </c>
      <c r="Q26" s="50" t="s">
        <v>1676</v>
      </c>
      <c r="R26" s="53" t="s">
        <v>266</v>
      </c>
    </row>
    <row r="27" spans="1:18" ht="15" customHeight="1" x14ac:dyDescent="0.25">
      <c r="A27" s="50" t="s">
        <v>2774</v>
      </c>
      <c r="B27" s="50" t="s">
        <v>2775</v>
      </c>
      <c r="C27" s="50" t="s">
        <v>1227</v>
      </c>
      <c r="D27" s="50" t="s">
        <v>1269</v>
      </c>
      <c r="E27" s="51">
        <v>198781.9</v>
      </c>
      <c r="F27" s="51">
        <v>3200000</v>
      </c>
      <c r="G27" s="50">
        <f t="shared" si="0"/>
        <v>6.21</v>
      </c>
      <c r="H27" s="50">
        <v>40</v>
      </c>
      <c r="I27" s="50">
        <f t="shared" si="1"/>
        <v>15.53</v>
      </c>
      <c r="J27" s="50">
        <v>0.31069999999999998</v>
      </c>
      <c r="K27" s="51">
        <v>1004662.81</v>
      </c>
      <c r="L27" s="51">
        <v>2073373.72</v>
      </c>
      <c r="M27" s="50">
        <v>15</v>
      </c>
      <c r="N27" s="50">
        <v>25</v>
      </c>
      <c r="O27" s="50" t="s">
        <v>587</v>
      </c>
      <c r="P27" s="50" t="s">
        <v>2739</v>
      </c>
      <c r="Q27" s="50" t="s">
        <v>1676</v>
      </c>
      <c r="R27" s="53" t="s">
        <v>266</v>
      </c>
    </row>
    <row r="28" spans="1:18" ht="15" customHeight="1" x14ac:dyDescent="0.25">
      <c r="A28" s="50" t="s">
        <v>2776</v>
      </c>
      <c r="B28" s="50" t="s">
        <v>2777</v>
      </c>
      <c r="C28" s="50" t="s">
        <v>2738</v>
      </c>
      <c r="D28" s="50" t="s">
        <v>2249</v>
      </c>
      <c r="E28" s="51">
        <v>140677.23000000001</v>
      </c>
      <c r="F28" s="51">
        <v>3200000</v>
      </c>
      <c r="G28" s="50">
        <f t="shared" si="0"/>
        <v>4.4000000000000004</v>
      </c>
      <c r="H28" s="50">
        <v>40</v>
      </c>
      <c r="I28" s="50">
        <f t="shared" si="1"/>
        <v>11</v>
      </c>
      <c r="J28" s="50">
        <v>0.22189999999999999</v>
      </c>
      <c r="K28" s="51">
        <v>719370.29</v>
      </c>
      <c r="L28" s="51">
        <v>1546837.81</v>
      </c>
      <c r="M28" s="50">
        <v>15</v>
      </c>
      <c r="N28" s="50">
        <v>25</v>
      </c>
      <c r="O28" s="50" t="s">
        <v>587</v>
      </c>
      <c r="P28" s="50" t="s">
        <v>2739</v>
      </c>
      <c r="Q28" s="50" t="s">
        <v>1676</v>
      </c>
      <c r="R28" s="53" t="s">
        <v>266</v>
      </c>
    </row>
    <row r="29" spans="1:18" ht="15" customHeight="1" x14ac:dyDescent="0.25">
      <c r="A29" s="50" t="s">
        <v>2778</v>
      </c>
      <c r="B29" s="50" t="s">
        <v>2779</v>
      </c>
      <c r="C29" s="50" t="s">
        <v>2738</v>
      </c>
      <c r="D29" s="50" t="s">
        <v>2249</v>
      </c>
      <c r="E29" s="51">
        <v>300105.71999999997</v>
      </c>
      <c r="F29" s="51">
        <v>3200000</v>
      </c>
      <c r="G29" s="50">
        <f t="shared" si="0"/>
        <v>9.3800000000000008</v>
      </c>
      <c r="H29" s="50">
        <v>40</v>
      </c>
      <c r="I29" s="50">
        <f t="shared" si="1"/>
        <v>23.45</v>
      </c>
      <c r="J29" s="50">
        <v>0.22389999999999999</v>
      </c>
      <c r="K29" s="51">
        <v>1343145.66</v>
      </c>
      <c r="L29" s="51">
        <v>2759426.44</v>
      </c>
      <c r="M29" s="50">
        <v>15</v>
      </c>
      <c r="N29" s="50">
        <v>25</v>
      </c>
      <c r="O29" s="50" t="s">
        <v>587</v>
      </c>
      <c r="P29" s="50" t="s">
        <v>2739</v>
      </c>
      <c r="Q29" s="50" t="s">
        <v>1676</v>
      </c>
      <c r="R29" s="53" t="s">
        <v>266</v>
      </c>
    </row>
    <row r="30" spans="1:18" ht="15" customHeight="1" x14ac:dyDescent="0.25">
      <c r="A30" s="50" t="s">
        <v>2780</v>
      </c>
      <c r="B30" s="50" t="s">
        <v>2781</v>
      </c>
      <c r="C30" s="50" t="s">
        <v>2742</v>
      </c>
      <c r="D30" s="50" t="s">
        <v>720</v>
      </c>
      <c r="E30" s="51">
        <v>121290.96</v>
      </c>
      <c r="F30" s="51">
        <v>3200000</v>
      </c>
      <c r="G30" s="50">
        <f t="shared" si="0"/>
        <v>3.79</v>
      </c>
      <c r="H30" s="50">
        <v>40</v>
      </c>
      <c r="I30" s="50">
        <f t="shared" si="1"/>
        <v>9.48</v>
      </c>
      <c r="J30" s="50">
        <v>0.30580000000000002</v>
      </c>
      <c r="K30" s="51">
        <v>661090.71</v>
      </c>
      <c r="L30" s="51">
        <v>1269058.46</v>
      </c>
      <c r="M30" s="50">
        <v>15</v>
      </c>
      <c r="N30" s="50">
        <v>25</v>
      </c>
      <c r="O30" s="50" t="s">
        <v>587</v>
      </c>
      <c r="P30" s="50" t="s">
        <v>2739</v>
      </c>
      <c r="Q30" s="50" t="s">
        <v>1676</v>
      </c>
      <c r="R30" s="53" t="s">
        <v>266</v>
      </c>
    </row>
    <row r="31" spans="1:18" ht="15" customHeight="1" x14ac:dyDescent="0.25">
      <c r="A31" s="50" t="s">
        <v>2782</v>
      </c>
      <c r="B31" s="50" t="s">
        <v>2783</v>
      </c>
      <c r="C31" s="50" t="s">
        <v>566</v>
      </c>
      <c r="D31" s="50" t="s">
        <v>667</v>
      </c>
      <c r="E31" s="51">
        <v>222046.87</v>
      </c>
      <c r="F31" s="51">
        <v>3200000</v>
      </c>
      <c r="G31" s="50">
        <f t="shared" si="0"/>
        <v>6.94</v>
      </c>
      <c r="H31" s="50">
        <v>40</v>
      </c>
      <c r="I31" s="50">
        <f t="shared" si="1"/>
        <v>17.350000000000001</v>
      </c>
      <c r="J31" s="50">
        <v>0.39560000000000001</v>
      </c>
      <c r="K31" s="51">
        <v>1165635.72</v>
      </c>
      <c r="L31" s="51">
        <v>2280753.13</v>
      </c>
      <c r="M31" s="50">
        <v>15</v>
      </c>
      <c r="N31" s="50">
        <v>25</v>
      </c>
      <c r="O31" s="50" t="s">
        <v>587</v>
      </c>
      <c r="P31" s="50" t="s">
        <v>2739</v>
      </c>
      <c r="Q31" s="50" t="s">
        <v>1676</v>
      </c>
      <c r="R31" s="53" t="s">
        <v>266</v>
      </c>
    </row>
    <row r="32" spans="1:18" ht="15" customHeight="1" x14ac:dyDescent="0.25">
      <c r="A32" s="50" t="s">
        <v>2784</v>
      </c>
      <c r="B32" s="50" t="s">
        <v>2669</v>
      </c>
      <c r="C32" s="50" t="s">
        <v>2738</v>
      </c>
      <c r="D32" s="50" t="s">
        <v>2249</v>
      </c>
      <c r="E32" s="51">
        <v>317990.08</v>
      </c>
      <c r="F32" s="51">
        <v>3200000</v>
      </c>
      <c r="G32" s="50">
        <f t="shared" si="0"/>
        <v>9.94</v>
      </c>
      <c r="H32" s="50">
        <v>40</v>
      </c>
      <c r="I32" s="50">
        <f t="shared" si="1"/>
        <v>24.85</v>
      </c>
      <c r="J32" s="50">
        <v>0.25940000000000002</v>
      </c>
      <c r="K32" s="51">
        <v>1334612.77</v>
      </c>
      <c r="L32" s="51">
        <v>2380693.71</v>
      </c>
      <c r="M32" s="50">
        <v>15</v>
      </c>
      <c r="N32" s="50">
        <v>25</v>
      </c>
      <c r="O32" s="50" t="s">
        <v>587</v>
      </c>
      <c r="P32" s="50" t="s">
        <v>2739</v>
      </c>
      <c r="Q32" s="50" t="s">
        <v>1676</v>
      </c>
      <c r="R32" s="53" t="s">
        <v>266</v>
      </c>
    </row>
    <row r="33" spans="1:18" ht="15" customHeight="1" x14ac:dyDescent="0.25">
      <c r="A33" s="50" t="s">
        <v>2785</v>
      </c>
      <c r="B33" s="50" t="s">
        <v>2786</v>
      </c>
      <c r="C33" s="50" t="s">
        <v>1227</v>
      </c>
      <c r="D33" s="50" t="s">
        <v>1295</v>
      </c>
      <c r="E33" s="51">
        <v>96049</v>
      </c>
      <c r="F33" s="51">
        <v>3200000</v>
      </c>
      <c r="G33" s="50">
        <f t="shared" si="0"/>
        <v>3</v>
      </c>
      <c r="H33" s="50">
        <v>40</v>
      </c>
      <c r="I33" s="50">
        <f t="shared" si="1"/>
        <v>7.5</v>
      </c>
      <c r="J33" s="50">
        <v>0.20680000000000001</v>
      </c>
      <c r="K33" s="51">
        <v>462785.43</v>
      </c>
      <c r="L33" s="51">
        <v>953795.42</v>
      </c>
      <c r="M33" s="50">
        <v>15</v>
      </c>
      <c r="N33" s="50">
        <v>25</v>
      </c>
      <c r="O33" s="50" t="s">
        <v>587</v>
      </c>
      <c r="P33" s="50" t="s">
        <v>2739</v>
      </c>
      <c r="Q33" s="50" t="s">
        <v>1676</v>
      </c>
      <c r="R33" s="53" t="s">
        <v>266</v>
      </c>
    </row>
    <row r="34" spans="1:18" ht="15" customHeight="1" x14ac:dyDescent="0.25">
      <c r="A34" s="50" t="s">
        <v>2787</v>
      </c>
      <c r="B34" s="50" t="s">
        <v>1059</v>
      </c>
      <c r="C34" s="50" t="s">
        <v>2744</v>
      </c>
      <c r="D34" s="50" t="s">
        <v>586</v>
      </c>
      <c r="E34" s="51">
        <v>242050.67</v>
      </c>
      <c r="F34" s="51">
        <v>3200000</v>
      </c>
      <c r="G34" s="50">
        <f t="shared" si="0"/>
        <v>7.56</v>
      </c>
      <c r="H34" s="50">
        <v>40</v>
      </c>
      <c r="I34" s="50">
        <f t="shared" si="1"/>
        <v>18.899999999999999</v>
      </c>
      <c r="J34" s="50">
        <v>0.18379999999999999</v>
      </c>
      <c r="K34" s="51">
        <v>1109935.8899999999</v>
      </c>
      <c r="L34" s="51">
        <v>1989765.97</v>
      </c>
      <c r="M34" s="50">
        <v>15</v>
      </c>
      <c r="N34" s="50">
        <v>25</v>
      </c>
      <c r="O34" s="50" t="s">
        <v>587</v>
      </c>
      <c r="P34" s="50" t="s">
        <v>2739</v>
      </c>
      <c r="Q34" s="50" t="s">
        <v>1676</v>
      </c>
      <c r="R34" s="53" t="s">
        <v>266</v>
      </c>
    </row>
    <row r="35" spans="1:18" ht="15" customHeight="1" x14ac:dyDescent="0.25">
      <c r="A35" s="50" t="s">
        <v>2788</v>
      </c>
      <c r="B35" s="50" t="s">
        <v>767</v>
      </c>
      <c r="C35" s="50" t="s">
        <v>2742</v>
      </c>
      <c r="D35" s="50" t="s">
        <v>572</v>
      </c>
      <c r="E35" s="51">
        <v>254984.48</v>
      </c>
      <c r="F35" s="51">
        <v>3200000</v>
      </c>
      <c r="G35" s="50">
        <f t="shared" ref="G35:G66" si="2">ROUND(E35/F35*100,2)</f>
        <v>7.97</v>
      </c>
      <c r="H35" s="50">
        <v>40</v>
      </c>
      <c r="I35" s="50">
        <f t="shared" ref="I35:I66" si="3">ROUND(G35/H35*100,2)</f>
        <v>19.93</v>
      </c>
      <c r="J35" s="50">
        <v>0.37419999999999998</v>
      </c>
      <c r="K35" s="51">
        <v>1218109.49</v>
      </c>
      <c r="L35" s="51">
        <v>2099338.98</v>
      </c>
      <c r="M35" s="50">
        <v>15</v>
      </c>
      <c r="N35" s="50">
        <v>25</v>
      </c>
      <c r="O35" s="50" t="s">
        <v>587</v>
      </c>
      <c r="P35" s="50" t="s">
        <v>2739</v>
      </c>
      <c r="Q35" s="50" t="s">
        <v>1676</v>
      </c>
      <c r="R35" s="53" t="s">
        <v>266</v>
      </c>
    </row>
    <row r="36" spans="1:18" ht="15" customHeight="1" x14ac:dyDescent="0.25">
      <c r="A36" s="50" t="s">
        <v>2789</v>
      </c>
      <c r="B36" s="50" t="s">
        <v>1754</v>
      </c>
      <c r="C36" s="50" t="s">
        <v>2738</v>
      </c>
      <c r="D36" s="50" t="s">
        <v>2178</v>
      </c>
      <c r="E36" s="51">
        <v>311109.28000000003</v>
      </c>
      <c r="F36" s="51">
        <v>3200000</v>
      </c>
      <c r="G36" s="50">
        <f t="shared" si="2"/>
        <v>9.7200000000000006</v>
      </c>
      <c r="H36" s="50">
        <v>40</v>
      </c>
      <c r="I36" s="50">
        <f t="shared" si="3"/>
        <v>24.3</v>
      </c>
      <c r="J36" s="50">
        <v>0.34949999999999998</v>
      </c>
      <c r="K36" s="51">
        <v>1322213.58</v>
      </c>
      <c r="L36" s="51">
        <v>2426233.02</v>
      </c>
      <c r="M36" s="50">
        <v>15</v>
      </c>
      <c r="N36" s="50">
        <v>25</v>
      </c>
      <c r="O36" s="50" t="s">
        <v>587</v>
      </c>
      <c r="P36" s="50" t="s">
        <v>2739</v>
      </c>
      <c r="Q36" s="50" t="s">
        <v>1676</v>
      </c>
      <c r="R36" s="53" t="s">
        <v>266</v>
      </c>
    </row>
    <row r="37" spans="1:18" ht="15" customHeight="1" x14ac:dyDescent="0.25">
      <c r="A37" s="50" t="s">
        <v>2790</v>
      </c>
      <c r="B37" s="50" t="s">
        <v>2791</v>
      </c>
      <c r="C37" s="50" t="s">
        <v>2764</v>
      </c>
      <c r="D37" s="50" t="s">
        <v>601</v>
      </c>
      <c r="E37" s="51">
        <v>122782.8</v>
      </c>
      <c r="F37" s="51">
        <v>3200000</v>
      </c>
      <c r="G37" s="50">
        <f t="shared" si="2"/>
        <v>3.84</v>
      </c>
      <c r="H37" s="50">
        <v>40</v>
      </c>
      <c r="I37" s="50">
        <f t="shared" si="3"/>
        <v>9.6</v>
      </c>
      <c r="J37" s="50">
        <v>0.14419999999999999</v>
      </c>
      <c r="K37" s="51">
        <v>447432.86</v>
      </c>
      <c r="L37" s="51">
        <v>749296.82</v>
      </c>
      <c r="M37" s="50">
        <v>15</v>
      </c>
      <c r="N37" s="50">
        <v>25</v>
      </c>
      <c r="O37" s="50" t="s">
        <v>587</v>
      </c>
      <c r="P37" s="50" t="s">
        <v>2739</v>
      </c>
      <c r="Q37" s="50" t="s">
        <v>1676</v>
      </c>
      <c r="R37" s="53" t="s">
        <v>266</v>
      </c>
    </row>
    <row r="38" spans="1:18" ht="15" customHeight="1" x14ac:dyDescent="0.25">
      <c r="A38" s="50" t="s">
        <v>2792</v>
      </c>
      <c r="B38" s="50" t="s">
        <v>1428</v>
      </c>
      <c r="C38" s="50" t="s">
        <v>1227</v>
      </c>
      <c r="D38" s="50" t="s">
        <v>1269</v>
      </c>
      <c r="E38" s="51">
        <v>27958.51</v>
      </c>
      <c r="F38" s="51">
        <v>3200000</v>
      </c>
      <c r="G38" s="50">
        <f t="shared" si="2"/>
        <v>0.87</v>
      </c>
      <c r="H38" s="50">
        <v>40</v>
      </c>
      <c r="I38" s="50">
        <f t="shared" si="3"/>
        <v>2.1800000000000002</v>
      </c>
      <c r="J38" s="50">
        <v>0.35039999999999999</v>
      </c>
      <c r="K38" s="51">
        <v>112103.05</v>
      </c>
      <c r="L38" s="51">
        <v>212663.23</v>
      </c>
      <c r="M38" s="50">
        <v>15</v>
      </c>
      <c r="N38" s="50">
        <v>25</v>
      </c>
      <c r="O38" s="50" t="s">
        <v>587</v>
      </c>
      <c r="P38" s="50" t="s">
        <v>2739</v>
      </c>
      <c r="Q38" s="50" t="s">
        <v>1676</v>
      </c>
      <c r="R38" s="53" t="s">
        <v>266</v>
      </c>
    </row>
    <row r="39" spans="1:18" ht="15" customHeight="1" x14ac:dyDescent="0.25">
      <c r="A39" s="50" t="s">
        <v>2793</v>
      </c>
      <c r="B39" s="50" t="s">
        <v>2364</v>
      </c>
      <c r="C39" s="50" t="s">
        <v>2744</v>
      </c>
      <c r="D39" s="50" t="s">
        <v>2745</v>
      </c>
      <c r="E39" s="51">
        <v>200771.51</v>
      </c>
      <c r="F39" s="51">
        <v>3200000</v>
      </c>
      <c r="G39" s="50">
        <f t="shared" si="2"/>
        <v>6.27</v>
      </c>
      <c r="H39" s="50">
        <v>40</v>
      </c>
      <c r="I39" s="50">
        <f t="shared" si="3"/>
        <v>15.68</v>
      </c>
      <c r="J39" s="50">
        <v>0.1237</v>
      </c>
      <c r="K39" s="51">
        <v>723176.18</v>
      </c>
      <c r="L39" s="51">
        <v>1342666.53</v>
      </c>
      <c r="M39" s="50">
        <v>15</v>
      </c>
      <c r="N39" s="50">
        <v>25</v>
      </c>
      <c r="O39" s="50" t="s">
        <v>587</v>
      </c>
      <c r="P39" s="50" t="s">
        <v>2739</v>
      </c>
      <c r="Q39" s="50" t="s">
        <v>1676</v>
      </c>
      <c r="R39" s="53" t="s">
        <v>266</v>
      </c>
    </row>
    <row r="40" spans="1:18" ht="15" customHeight="1" x14ac:dyDescent="0.25">
      <c r="A40" s="50" t="s">
        <v>2794</v>
      </c>
      <c r="B40" s="50" t="s">
        <v>2289</v>
      </c>
      <c r="C40" s="50" t="s">
        <v>566</v>
      </c>
      <c r="D40" s="50" t="s">
        <v>649</v>
      </c>
      <c r="E40" s="51">
        <v>155824.42000000001</v>
      </c>
      <c r="F40" s="51">
        <v>3200000</v>
      </c>
      <c r="G40" s="50">
        <f t="shared" si="2"/>
        <v>4.87</v>
      </c>
      <c r="H40" s="50">
        <v>40</v>
      </c>
      <c r="I40" s="50">
        <f t="shared" si="3"/>
        <v>12.18</v>
      </c>
      <c r="J40" s="50">
        <v>0.16589999999999999</v>
      </c>
      <c r="K40" s="51">
        <v>588931.34</v>
      </c>
      <c r="L40" s="51">
        <v>985723.81</v>
      </c>
      <c r="M40" s="50">
        <v>15</v>
      </c>
      <c r="N40" s="50">
        <v>25</v>
      </c>
      <c r="O40" s="50" t="s">
        <v>587</v>
      </c>
      <c r="P40" s="50" t="s">
        <v>2739</v>
      </c>
      <c r="Q40" s="50" t="s">
        <v>1676</v>
      </c>
      <c r="R40" s="53" t="s">
        <v>266</v>
      </c>
    </row>
    <row r="41" spans="1:18" ht="15" customHeight="1" x14ac:dyDescent="0.25">
      <c r="A41" s="50" t="s">
        <v>2795</v>
      </c>
      <c r="B41" s="50" t="s">
        <v>2796</v>
      </c>
      <c r="C41" s="50" t="s">
        <v>565</v>
      </c>
      <c r="D41" s="50" t="s">
        <v>671</v>
      </c>
      <c r="E41" s="51">
        <v>100687.83</v>
      </c>
      <c r="F41" s="51">
        <v>3200000</v>
      </c>
      <c r="G41" s="50">
        <f t="shared" si="2"/>
        <v>3.15</v>
      </c>
      <c r="H41" s="50">
        <v>40</v>
      </c>
      <c r="I41" s="50">
        <f t="shared" si="3"/>
        <v>7.88</v>
      </c>
      <c r="J41" s="50">
        <v>0.25290000000000001</v>
      </c>
      <c r="K41" s="51">
        <v>406459.51</v>
      </c>
      <c r="L41" s="51">
        <v>841502.22</v>
      </c>
      <c r="M41" s="50">
        <v>15</v>
      </c>
      <c r="N41" s="50">
        <v>25</v>
      </c>
      <c r="O41" s="50" t="s">
        <v>587</v>
      </c>
      <c r="P41" s="50" t="s">
        <v>2739</v>
      </c>
      <c r="Q41" s="50" t="s">
        <v>1676</v>
      </c>
      <c r="R41" s="53" t="s">
        <v>266</v>
      </c>
    </row>
    <row r="42" spans="1:18" ht="15" customHeight="1" x14ac:dyDescent="0.25">
      <c r="A42" s="50" t="s">
        <v>2797</v>
      </c>
      <c r="B42" s="50" t="s">
        <v>890</v>
      </c>
      <c r="C42" s="50" t="s">
        <v>2748</v>
      </c>
      <c r="D42" s="50" t="s">
        <v>582</v>
      </c>
      <c r="E42" s="51">
        <v>312502.48</v>
      </c>
      <c r="F42" s="51">
        <v>3200000</v>
      </c>
      <c r="G42" s="50">
        <f t="shared" si="2"/>
        <v>9.77</v>
      </c>
      <c r="H42" s="50">
        <v>25</v>
      </c>
      <c r="I42" s="50">
        <f t="shared" si="3"/>
        <v>39.08</v>
      </c>
      <c r="J42" s="50">
        <v>0.2596</v>
      </c>
      <c r="K42" s="51">
        <v>1099918.79</v>
      </c>
      <c r="L42" s="51">
        <v>1982673.5</v>
      </c>
      <c r="M42" s="50">
        <v>15</v>
      </c>
      <c r="N42" s="50">
        <v>25</v>
      </c>
      <c r="O42" s="50" t="s">
        <v>587</v>
      </c>
      <c r="P42" s="50" t="s">
        <v>2739</v>
      </c>
      <c r="Q42" s="50" t="s">
        <v>1676</v>
      </c>
      <c r="R42" s="53" t="s">
        <v>266</v>
      </c>
    </row>
    <row r="43" spans="1:18" ht="15" customHeight="1" x14ac:dyDescent="0.25">
      <c r="A43" s="50" t="s">
        <v>2798</v>
      </c>
      <c r="B43" s="50" t="s">
        <v>849</v>
      </c>
      <c r="C43" s="50" t="s">
        <v>2744</v>
      </c>
      <c r="D43" s="50" t="s">
        <v>602</v>
      </c>
      <c r="E43" s="51">
        <v>153281.91</v>
      </c>
      <c r="F43" s="51">
        <v>3200000</v>
      </c>
      <c r="G43" s="50">
        <f t="shared" si="2"/>
        <v>4.79</v>
      </c>
      <c r="H43" s="50">
        <v>40</v>
      </c>
      <c r="I43" s="50">
        <f t="shared" si="3"/>
        <v>11.98</v>
      </c>
      <c r="J43" s="50">
        <v>0.1353</v>
      </c>
      <c r="K43" s="51">
        <v>726038.74</v>
      </c>
      <c r="L43" s="51">
        <v>1410236.06</v>
      </c>
      <c r="M43" s="50">
        <v>15</v>
      </c>
      <c r="N43" s="50">
        <v>25</v>
      </c>
      <c r="O43" s="50" t="s">
        <v>587</v>
      </c>
      <c r="P43" s="50" t="s">
        <v>2739</v>
      </c>
      <c r="Q43" s="50" t="s">
        <v>1676</v>
      </c>
      <c r="R43" s="53" t="s">
        <v>266</v>
      </c>
    </row>
    <row r="44" spans="1:18" ht="15" customHeight="1" x14ac:dyDescent="0.25">
      <c r="A44" s="50" t="s">
        <v>2799</v>
      </c>
      <c r="B44" s="50" t="s">
        <v>1470</v>
      </c>
      <c r="C44" s="50" t="s">
        <v>2738</v>
      </c>
      <c r="D44" s="50" t="s">
        <v>2178</v>
      </c>
      <c r="E44" s="51">
        <v>57337.5</v>
      </c>
      <c r="F44" s="51">
        <v>3200000</v>
      </c>
      <c r="G44" s="50">
        <f t="shared" si="2"/>
        <v>1.79</v>
      </c>
      <c r="H44" s="50">
        <v>40</v>
      </c>
      <c r="I44" s="50">
        <f t="shared" si="3"/>
        <v>4.4800000000000004</v>
      </c>
      <c r="J44" s="50">
        <v>0.25490000000000002</v>
      </c>
      <c r="K44" s="51">
        <v>237000.86</v>
      </c>
      <c r="L44" s="51">
        <v>410467.33</v>
      </c>
      <c r="M44" s="50">
        <v>15</v>
      </c>
      <c r="N44" s="50">
        <v>25</v>
      </c>
      <c r="O44" s="50" t="s">
        <v>587</v>
      </c>
      <c r="P44" s="50" t="s">
        <v>2739</v>
      </c>
      <c r="Q44" s="50" t="s">
        <v>1676</v>
      </c>
      <c r="R44" s="53" t="s">
        <v>266</v>
      </c>
    </row>
    <row r="45" spans="1:18" ht="15" customHeight="1" x14ac:dyDescent="0.25">
      <c r="A45" s="50" t="s">
        <v>2800</v>
      </c>
      <c r="B45" s="50" t="s">
        <v>1266</v>
      </c>
      <c r="C45" s="50" t="s">
        <v>2748</v>
      </c>
      <c r="D45" s="50" t="s">
        <v>625</v>
      </c>
      <c r="E45" s="51">
        <v>217622.34</v>
      </c>
      <c r="F45" s="51">
        <v>3200000</v>
      </c>
      <c r="G45" s="50">
        <f t="shared" si="2"/>
        <v>6.8</v>
      </c>
      <c r="H45" s="50">
        <v>25</v>
      </c>
      <c r="I45" s="50">
        <f t="shared" si="3"/>
        <v>27.2</v>
      </c>
      <c r="J45" s="50">
        <v>0.4032</v>
      </c>
      <c r="K45" s="51">
        <v>801362.82</v>
      </c>
      <c r="L45" s="51">
        <v>1638204.91</v>
      </c>
      <c r="M45" s="50">
        <v>15</v>
      </c>
      <c r="N45" s="50">
        <v>25</v>
      </c>
      <c r="O45" s="50" t="s">
        <v>587</v>
      </c>
      <c r="P45" s="50" t="s">
        <v>2739</v>
      </c>
      <c r="Q45" s="50" t="s">
        <v>1676</v>
      </c>
      <c r="R45" s="53" t="s">
        <v>266</v>
      </c>
    </row>
    <row r="46" spans="1:18" ht="15" customHeight="1" x14ac:dyDescent="0.25">
      <c r="A46" s="50" t="s">
        <v>2801</v>
      </c>
      <c r="B46" s="50" t="s">
        <v>1135</v>
      </c>
      <c r="C46" s="50" t="s">
        <v>2764</v>
      </c>
      <c r="D46" s="50" t="s">
        <v>608</v>
      </c>
      <c r="E46" s="51">
        <v>38010.86</v>
      </c>
      <c r="F46" s="51">
        <v>3200000</v>
      </c>
      <c r="G46" s="50">
        <f t="shared" si="2"/>
        <v>1.19</v>
      </c>
      <c r="H46" s="50">
        <v>40</v>
      </c>
      <c r="I46" s="50">
        <f t="shared" si="3"/>
        <v>2.98</v>
      </c>
      <c r="J46" s="50">
        <v>0.36280000000000001</v>
      </c>
      <c r="K46" s="51">
        <v>149836.79</v>
      </c>
      <c r="L46" s="51">
        <v>281049.46000000002</v>
      </c>
      <c r="M46" s="50">
        <v>15</v>
      </c>
      <c r="N46" s="50">
        <v>25</v>
      </c>
      <c r="O46" s="50" t="s">
        <v>587</v>
      </c>
      <c r="P46" s="50" t="s">
        <v>2739</v>
      </c>
      <c r="Q46" s="50" t="s">
        <v>1676</v>
      </c>
      <c r="R46" s="53" t="s">
        <v>266</v>
      </c>
    </row>
    <row r="47" spans="1:18" ht="15" customHeight="1" x14ac:dyDescent="0.25">
      <c r="A47" s="50" t="s">
        <v>2802</v>
      </c>
      <c r="B47" s="50" t="s">
        <v>1073</v>
      </c>
      <c r="C47" s="50" t="s">
        <v>2742</v>
      </c>
      <c r="D47" s="50" t="s">
        <v>642</v>
      </c>
      <c r="E47" s="51">
        <v>101417.39</v>
      </c>
      <c r="F47" s="51">
        <v>3200000</v>
      </c>
      <c r="G47" s="50">
        <f t="shared" si="2"/>
        <v>3.17</v>
      </c>
      <c r="H47" s="50">
        <v>40</v>
      </c>
      <c r="I47" s="50">
        <f t="shared" si="3"/>
        <v>7.93</v>
      </c>
      <c r="J47" s="50">
        <v>5.1200000000000002E-2</v>
      </c>
      <c r="K47" s="51">
        <v>491095.78</v>
      </c>
      <c r="L47" s="51">
        <v>913986.2</v>
      </c>
      <c r="M47" s="50">
        <v>15</v>
      </c>
      <c r="N47" s="50">
        <v>25</v>
      </c>
      <c r="O47" s="50" t="s">
        <v>587</v>
      </c>
      <c r="P47" s="50" t="s">
        <v>2739</v>
      </c>
      <c r="Q47" s="50" t="s">
        <v>1676</v>
      </c>
      <c r="R47" s="53" t="s">
        <v>266</v>
      </c>
    </row>
    <row r="48" spans="1:18" ht="15" customHeight="1" x14ac:dyDescent="0.25">
      <c r="A48" s="50" t="s">
        <v>2803</v>
      </c>
      <c r="B48" s="50" t="s">
        <v>1482</v>
      </c>
      <c r="C48" s="50" t="s">
        <v>1227</v>
      </c>
      <c r="D48" s="50" t="s">
        <v>1263</v>
      </c>
      <c r="E48" s="51">
        <v>78618.789999999994</v>
      </c>
      <c r="F48" s="51">
        <v>3200000</v>
      </c>
      <c r="G48" s="50">
        <f t="shared" si="2"/>
        <v>2.46</v>
      </c>
      <c r="H48" s="50">
        <v>40</v>
      </c>
      <c r="I48" s="50">
        <f t="shared" si="3"/>
        <v>6.15</v>
      </c>
      <c r="J48" s="50">
        <v>8.7099999999999997E-2</v>
      </c>
      <c r="K48" s="51">
        <v>288058.8</v>
      </c>
      <c r="L48" s="51">
        <v>584026.26</v>
      </c>
      <c r="M48" s="50">
        <v>15</v>
      </c>
      <c r="N48" s="50">
        <v>25</v>
      </c>
      <c r="O48" s="50" t="s">
        <v>587</v>
      </c>
      <c r="P48" s="50" t="s">
        <v>2739</v>
      </c>
      <c r="Q48" s="50" t="s">
        <v>1676</v>
      </c>
      <c r="R48" s="53" t="s">
        <v>266</v>
      </c>
    </row>
    <row r="49" spans="1:18" ht="15" customHeight="1" x14ac:dyDescent="0.25">
      <c r="A49" s="50" t="s">
        <v>2804</v>
      </c>
      <c r="B49" s="50" t="s">
        <v>2300</v>
      </c>
      <c r="C49" s="50" t="s">
        <v>2742</v>
      </c>
      <c r="D49" s="50" t="s">
        <v>593</v>
      </c>
      <c r="E49" s="51">
        <v>311400.84999999998</v>
      </c>
      <c r="F49" s="51">
        <v>3200000</v>
      </c>
      <c r="G49" s="50">
        <f t="shared" si="2"/>
        <v>9.73</v>
      </c>
      <c r="H49" s="50">
        <v>40</v>
      </c>
      <c r="I49" s="50">
        <f t="shared" si="3"/>
        <v>24.33</v>
      </c>
      <c r="J49" s="50">
        <v>0.36470000000000002</v>
      </c>
      <c r="K49" s="51">
        <v>1557436.59</v>
      </c>
      <c r="L49" s="51">
        <v>2513416.02</v>
      </c>
      <c r="M49" s="50">
        <v>15</v>
      </c>
      <c r="N49" s="50">
        <v>25</v>
      </c>
      <c r="O49" s="50" t="s">
        <v>587</v>
      </c>
      <c r="P49" s="50" t="s">
        <v>2739</v>
      </c>
      <c r="Q49" s="50" t="s">
        <v>1676</v>
      </c>
      <c r="R49" s="53" t="s">
        <v>266</v>
      </c>
    </row>
    <row r="50" spans="1:18" ht="15" customHeight="1" x14ac:dyDescent="0.25">
      <c r="A50" s="50" t="s">
        <v>2805</v>
      </c>
      <c r="B50" s="50" t="s">
        <v>2381</v>
      </c>
      <c r="C50" s="50" t="s">
        <v>2748</v>
      </c>
      <c r="D50" s="50" t="s">
        <v>659</v>
      </c>
      <c r="E50" s="51">
        <v>174574.34</v>
      </c>
      <c r="F50" s="51">
        <v>3200000</v>
      </c>
      <c r="G50" s="50">
        <f t="shared" si="2"/>
        <v>5.46</v>
      </c>
      <c r="H50" s="50">
        <v>25</v>
      </c>
      <c r="I50" s="50">
        <f t="shared" si="3"/>
        <v>21.84</v>
      </c>
      <c r="J50" s="50">
        <v>0.34210000000000002</v>
      </c>
      <c r="K50" s="51">
        <v>793941.54</v>
      </c>
      <c r="L50" s="51">
        <v>1423734.09</v>
      </c>
      <c r="M50" s="50">
        <v>15</v>
      </c>
      <c r="N50" s="50">
        <v>25</v>
      </c>
      <c r="O50" s="50" t="s">
        <v>587</v>
      </c>
      <c r="P50" s="50" t="s">
        <v>2739</v>
      </c>
      <c r="Q50" s="50" t="s">
        <v>1676</v>
      </c>
      <c r="R50" s="53" t="s">
        <v>266</v>
      </c>
    </row>
    <row r="51" spans="1:18" ht="15" customHeight="1" x14ac:dyDescent="0.25">
      <c r="A51" s="50" t="s">
        <v>2806</v>
      </c>
      <c r="B51" s="50" t="s">
        <v>1406</v>
      </c>
      <c r="C51" s="50" t="s">
        <v>1227</v>
      </c>
      <c r="D51" s="50" t="s">
        <v>1263</v>
      </c>
      <c r="E51" s="51">
        <v>214261.11</v>
      </c>
      <c r="F51" s="51">
        <v>3200000</v>
      </c>
      <c r="G51" s="50">
        <f t="shared" si="2"/>
        <v>6.7</v>
      </c>
      <c r="H51" s="50">
        <v>40</v>
      </c>
      <c r="I51" s="50">
        <f t="shared" si="3"/>
        <v>16.75</v>
      </c>
      <c r="J51" s="50">
        <v>0.188</v>
      </c>
      <c r="K51" s="51">
        <v>1051360.58</v>
      </c>
      <c r="L51" s="51">
        <v>2061268.25</v>
      </c>
      <c r="M51" s="50">
        <v>15</v>
      </c>
      <c r="N51" s="50">
        <v>25</v>
      </c>
      <c r="O51" s="50" t="s">
        <v>587</v>
      </c>
      <c r="P51" s="50" t="s">
        <v>2739</v>
      </c>
      <c r="Q51" s="50" t="s">
        <v>1676</v>
      </c>
      <c r="R51" s="53" t="s">
        <v>266</v>
      </c>
    </row>
    <row r="52" spans="1:18" ht="15" customHeight="1" x14ac:dyDescent="0.25">
      <c r="A52" s="50" t="s">
        <v>2807</v>
      </c>
      <c r="B52" s="50" t="s">
        <v>948</v>
      </c>
      <c r="C52" s="50" t="s">
        <v>1227</v>
      </c>
      <c r="D52" s="50" t="s">
        <v>1290</v>
      </c>
      <c r="E52" s="51">
        <v>276884.13</v>
      </c>
      <c r="F52" s="51">
        <v>3200000</v>
      </c>
      <c r="G52" s="50">
        <f t="shared" si="2"/>
        <v>8.65</v>
      </c>
      <c r="H52" s="50">
        <v>40</v>
      </c>
      <c r="I52" s="50">
        <f t="shared" si="3"/>
        <v>21.63</v>
      </c>
      <c r="J52" s="50">
        <v>0.12659999999999999</v>
      </c>
      <c r="K52" s="51">
        <v>1143094.97</v>
      </c>
      <c r="L52" s="51">
        <v>2106794.1800000002</v>
      </c>
      <c r="M52" s="50">
        <v>15</v>
      </c>
      <c r="N52" s="50">
        <v>25</v>
      </c>
      <c r="O52" s="50" t="s">
        <v>587</v>
      </c>
      <c r="P52" s="50" t="s">
        <v>2739</v>
      </c>
      <c r="Q52" s="50" t="s">
        <v>1676</v>
      </c>
      <c r="R52" s="53" t="s">
        <v>266</v>
      </c>
    </row>
    <row r="53" spans="1:18" ht="15" customHeight="1" x14ac:dyDescent="0.25">
      <c r="A53" s="50" t="s">
        <v>2808</v>
      </c>
      <c r="B53" s="50" t="s">
        <v>1398</v>
      </c>
      <c r="C53" s="50" t="s">
        <v>2744</v>
      </c>
      <c r="D53" s="50" t="s">
        <v>586</v>
      </c>
      <c r="E53" s="51">
        <v>135908.20000000001</v>
      </c>
      <c r="F53" s="51">
        <v>3200000</v>
      </c>
      <c r="G53" s="50">
        <f t="shared" si="2"/>
        <v>4.25</v>
      </c>
      <c r="H53" s="50">
        <v>40</v>
      </c>
      <c r="I53" s="50">
        <f t="shared" si="3"/>
        <v>10.63</v>
      </c>
      <c r="J53" s="50">
        <v>0.37480000000000002</v>
      </c>
      <c r="K53" s="51">
        <v>736800.51</v>
      </c>
      <c r="L53" s="51">
        <v>1482365.49</v>
      </c>
      <c r="M53" s="50">
        <v>15</v>
      </c>
      <c r="N53" s="50">
        <v>25</v>
      </c>
      <c r="O53" s="50" t="s">
        <v>587</v>
      </c>
      <c r="P53" s="50" t="s">
        <v>2739</v>
      </c>
      <c r="Q53" s="50" t="s">
        <v>1676</v>
      </c>
      <c r="R53" s="53" t="s">
        <v>266</v>
      </c>
    </row>
    <row r="54" spans="1:18" ht="15" customHeight="1" x14ac:dyDescent="0.25">
      <c r="A54" s="50" t="s">
        <v>2809</v>
      </c>
      <c r="B54" s="50" t="s">
        <v>2187</v>
      </c>
      <c r="C54" s="50" t="s">
        <v>2748</v>
      </c>
      <c r="D54" s="50" t="s">
        <v>659</v>
      </c>
      <c r="E54" s="51">
        <v>245665.41</v>
      </c>
      <c r="F54" s="51">
        <v>3200000</v>
      </c>
      <c r="G54" s="50">
        <f t="shared" si="2"/>
        <v>7.68</v>
      </c>
      <c r="H54" s="50">
        <v>25</v>
      </c>
      <c r="I54" s="50">
        <f t="shared" si="3"/>
        <v>30.72</v>
      </c>
      <c r="J54" s="50">
        <v>0.21729999999999999</v>
      </c>
      <c r="K54" s="51">
        <v>1252943.04</v>
      </c>
      <c r="L54" s="51">
        <v>2297047.9500000002</v>
      </c>
      <c r="M54" s="50">
        <v>15</v>
      </c>
      <c r="N54" s="50">
        <v>25</v>
      </c>
      <c r="O54" s="50" t="s">
        <v>587</v>
      </c>
      <c r="P54" s="50" t="s">
        <v>2739</v>
      </c>
      <c r="Q54" s="50" t="s">
        <v>1676</v>
      </c>
      <c r="R54" s="53" t="s">
        <v>266</v>
      </c>
    </row>
    <row r="55" spans="1:18" ht="15" customHeight="1" x14ac:dyDescent="0.25">
      <c r="A55" s="50" t="s">
        <v>2810</v>
      </c>
      <c r="B55" s="50" t="s">
        <v>1917</v>
      </c>
      <c r="C55" s="50" t="s">
        <v>2738</v>
      </c>
      <c r="D55" s="50" t="s">
        <v>2185</v>
      </c>
      <c r="E55" s="51">
        <v>12070.47</v>
      </c>
      <c r="F55" s="51">
        <v>3200000</v>
      </c>
      <c r="G55" s="50">
        <f t="shared" si="2"/>
        <v>0.38</v>
      </c>
      <c r="H55" s="50">
        <v>40</v>
      </c>
      <c r="I55" s="50">
        <f t="shared" si="3"/>
        <v>0.95</v>
      </c>
      <c r="J55" s="50">
        <v>0.2114</v>
      </c>
      <c r="K55" s="51">
        <v>52997.27</v>
      </c>
      <c r="L55" s="51">
        <v>98282.52</v>
      </c>
      <c r="M55" s="50">
        <v>15</v>
      </c>
      <c r="N55" s="50">
        <v>25</v>
      </c>
      <c r="O55" s="50" t="s">
        <v>587</v>
      </c>
      <c r="P55" s="50" t="s">
        <v>2739</v>
      </c>
      <c r="Q55" s="50" t="s">
        <v>1676</v>
      </c>
      <c r="R55" s="53" t="s">
        <v>266</v>
      </c>
    </row>
    <row r="56" spans="1:18" ht="15" customHeight="1" x14ac:dyDescent="0.25">
      <c r="A56" s="50" t="s">
        <v>2811</v>
      </c>
      <c r="B56" s="50" t="s">
        <v>2812</v>
      </c>
      <c r="C56" s="50" t="s">
        <v>2744</v>
      </c>
      <c r="D56" s="50" t="s">
        <v>602</v>
      </c>
      <c r="E56" s="51">
        <v>83852.11</v>
      </c>
      <c r="F56" s="51">
        <v>3200000</v>
      </c>
      <c r="G56" s="50">
        <f t="shared" si="2"/>
        <v>2.62</v>
      </c>
      <c r="H56" s="50">
        <v>40</v>
      </c>
      <c r="I56" s="50">
        <f t="shared" si="3"/>
        <v>6.55</v>
      </c>
      <c r="J56" s="50">
        <v>0.18559999999999999</v>
      </c>
      <c r="K56" s="51">
        <v>460700.11</v>
      </c>
      <c r="L56" s="51">
        <v>869395.68</v>
      </c>
      <c r="M56" s="50">
        <v>15</v>
      </c>
      <c r="N56" s="50">
        <v>25</v>
      </c>
      <c r="O56" s="50" t="s">
        <v>587</v>
      </c>
      <c r="P56" s="50" t="s">
        <v>2739</v>
      </c>
      <c r="Q56" s="50" t="s">
        <v>1676</v>
      </c>
      <c r="R56" s="53" t="s">
        <v>266</v>
      </c>
    </row>
    <row r="57" spans="1:18" ht="15" customHeight="1" x14ac:dyDescent="0.25">
      <c r="A57" s="50" t="s">
        <v>2813</v>
      </c>
      <c r="B57" s="50" t="s">
        <v>1764</v>
      </c>
      <c r="C57" s="50" t="s">
        <v>2748</v>
      </c>
      <c r="D57" s="50" t="s">
        <v>625</v>
      </c>
      <c r="E57" s="51">
        <v>227528.09</v>
      </c>
      <c r="F57" s="51">
        <v>3200000</v>
      </c>
      <c r="G57" s="50">
        <f t="shared" si="2"/>
        <v>7.11</v>
      </c>
      <c r="H57" s="50">
        <v>25</v>
      </c>
      <c r="I57" s="50">
        <f t="shared" si="3"/>
        <v>28.44</v>
      </c>
      <c r="J57" s="50">
        <v>0.2717</v>
      </c>
      <c r="K57" s="51">
        <v>1165008.51</v>
      </c>
      <c r="L57" s="51">
        <v>2455303.8199999998</v>
      </c>
      <c r="M57" s="50">
        <v>15</v>
      </c>
      <c r="N57" s="50">
        <v>25</v>
      </c>
      <c r="O57" s="50" t="s">
        <v>587</v>
      </c>
      <c r="P57" s="50" t="s">
        <v>2739</v>
      </c>
      <c r="Q57" s="50" t="s">
        <v>1676</v>
      </c>
      <c r="R57" s="53" t="s">
        <v>266</v>
      </c>
    </row>
    <row r="58" spans="1:18" ht="15" customHeight="1" x14ac:dyDescent="0.25">
      <c r="A58" s="50" t="s">
        <v>2814</v>
      </c>
      <c r="B58" s="50" t="s">
        <v>2403</v>
      </c>
      <c r="C58" s="50" t="s">
        <v>2738</v>
      </c>
      <c r="D58" s="50" t="s">
        <v>2815</v>
      </c>
      <c r="E58" s="51">
        <v>267445.03000000003</v>
      </c>
      <c r="F58" s="51">
        <v>3200000</v>
      </c>
      <c r="G58" s="50">
        <f t="shared" si="2"/>
        <v>8.36</v>
      </c>
      <c r="H58" s="50">
        <v>40</v>
      </c>
      <c r="I58" s="50">
        <f t="shared" si="3"/>
        <v>20.9</v>
      </c>
      <c r="J58" s="50">
        <v>8.3299999999999999E-2</v>
      </c>
      <c r="K58" s="51">
        <v>1425936.62</v>
      </c>
      <c r="L58" s="51">
        <v>2360532.65</v>
      </c>
      <c r="M58" s="50">
        <v>15</v>
      </c>
      <c r="N58" s="50">
        <v>25</v>
      </c>
      <c r="O58" s="50" t="s">
        <v>587</v>
      </c>
      <c r="P58" s="50" t="s">
        <v>2739</v>
      </c>
      <c r="Q58" s="50" t="s">
        <v>1676</v>
      </c>
      <c r="R58" s="53" t="s">
        <v>266</v>
      </c>
    </row>
    <row r="59" spans="1:18" ht="15" customHeight="1" x14ac:dyDescent="0.25">
      <c r="A59" s="50" t="s">
        <v>2816</v>
      </c>
      <c r="B59" s="50" t="s">
        <v>1891</v>
      </c>
      <c r="C59" s="50" t="s">
        <v>565</v>
      </c>
      <c r="D59" s="50" t="s">
        <v>680</v>
      </c>
      <c r="E59" s="51">
        <v>32343.1</v>
      </c>
      <c r="F59" s="51">
        <v>3200000</v>
      </c>
      <c r="G59" s="50">
        <f t="shared" si="2"/>
        <v>1.01</v>
      </c>
      <c r="H59" s="50">
        <v>40</v>
      </c>
      <c r="I59" s="50">
        <f t="shared" si="3"/>
        <v>2.5299999999999998</v>
      </c>
      <c r="J59" s="50">
        <v>0.39479999999999998</v>
      </c>
      <c r="K59" s="51">
        <v>142510.22</v>
      </c>
      <c r="L59" s="51">
        <v>253082.71</v>
      </c>
      <c r="M59" s="50">
        <v>15</v>
      </c>
      <c r="N59" s="50">
        <v>25</v>
      </c>
      <c r="O59" s="50" t="s">
        <v>587</v>
      </c>
      <c r="P59" s="50" t="s">
        <v>2739</v>
      </c>
      <c r="Q59" s="50" t="s">
        <v>1676</v>
      </c>
      <c r="R59" s="53" t="s">
        <v>266</v>
      </c>
    </row>
    <row r="60" spans="1:18" ht="15" customHeight="1" x14ac:dyDescent="0.25">
      <c r="A60" s="50" t="s">
        <v>2817</v>
      </c>
      <c r="B60" s="50" t="s">
        <v>1884</v>
      </c>
      <c r="C60" s="50" t="s">
        <v>2744</v>
      </c>
      <c r="D60" s="50" t="s">
        <v>586</v>
      </c>
      <c r="E60" s="51">
        <v>84035.59</v>
      </c>
      <c r="F60" s="51">
        <v>3200000</v>
      </c>
      <c r="G60" s="50">
        <f t="shared" si="2"/>
        <v>2.63</v>
      </c>
      <c r="H60" s="50">
        <v>40</v>
      </c>
      <c r="I60" s="50">
        <f t="shared" si="3"/>
        <v>6.58</v>
      </c>
      <c r="J60" s="50">
        <v>0.1653</v>
      </c>
      <c r="K60" s="51">
        <v>381606.95</v>
      </c>
      <c r="L60" s="51">
        <v>663648.59</v>
      </c>
      <c r="M60" s="50">
        <v>15</v>
      </c>
      <c r="N60" s="50">
        <v>25</v>
      </c>
      <c r="O60" s="50" t="s">
        <v>587</v>
      </c>
      <c r="P60" s="50" t="s">
        <v>2739</v>
      </c>
      <c r="Q60" s="50" t="s">
        <v>1676</v>
      </c>
      <c r="R60" s="53" t="s">
        <v>266</v>
      </c>
    </row>
    <row r="61" spans="1:18" ht="15" customHeight="1" x14ac:dyDescent="0.25">
      <c r="A61" s="50" t="s">
        <v>2818</v>
      </c>
      <c r="B61" s="50" t="s">
        <v>2198</v>
      </c>
      <c r="C61" s="50" t="s">
        <v>565</v>
      </c>
      <c r="D61" s="50" t="s">
        <v>655</v>
      </c>
      <c r="E61" s="51">
        <v>230844.56</v>
      </c>
      <c r="F61" s="51">
        <v>3200000</v>
      </c>
      <c r="G61" s="50">
        <f t="shared" si="2"/>
        <v>7.21</v>
      </c>
      <c r="H61" s="50">
        <v>40</v>
      </c>
      <c r="I61" s="50">
        <f t="shared" si="3"/>
        <v>18.03</v>
      </c>
      <c r="J61" s="50">
        <v>0.3402</v>
      </c>
      <c r="K61" s="51">
        <v>1248332.99</v>
      </c>
      <c r="L61" s="51">
        <v>2702522.67</v>
      </c>
      <c r="M61" s="50">
        <v>15</v>
      </c>
      <c r="N61" s="50">
        <v>25</v>
      </c>
      <c r="O61" s="50" t="s">
        <v>587</v>
      </c>
      <c r="P61" s="50" t="s">
        <v>2739</v>
      </c>
      <c r="Q61" s="50" t="s">
        <v>1676</v>
      </c>
      <c r="R61" s="53" t="s">
        <v>266</v>
      </c>
    </row>
    <row r="62" spans="1:18" ht="15" customHeight="1" x14ac:dyDescent="0.25">
      <c r="A62" s="50" t="s">
        <v>2819</v>
      </c>
      <c r="B62" s="50" t="s">
        <v>1006</v>
      </c>
      <c r="C62" s="50" t="s">
        <v>2744</v>
      </c>
      <c r="D62" s="50" t="s">
        <v>2745</v>
      </c>
      <c r="E62" s="51">
        <v>167235.69</v>
      </c>
      <c r="F62" s="51">
        <v>3200000</v>
      </c>
      <c r="G62" s="50">
        <f t="shared" si="2"/>
        <v>5.23</v>
      </c>
      <c r="H62" s="50">
        <v>40</v>
      </c>
      <c r="I62" s="50">
        <f t="shared" si="3"/>
        <v>13.08</v>
      </c>
      <c r="J62" s="50">
        <v>0.20660000000000001</v>
      </c>
      <c r="K62" s="51">
        <v>641491.43000000005</v>
      </c>
      <c r="L62" s="51">
        <v>1032999.48</v>
      </c>
      <c r="M62" s="50">
        <v>15</v>
      </c>
      <c r="N62" s="50">
        <v>25</v>
      </c>
      <c r="O62" s="50" t="s">
        <v>587</v>
      </c>
      <c r="P62" s="50" t="s">
        <v>2739</v>
      </c>
      <c r="Q62" s="50" t="s">
        <v>1676</v>
      </c>
      <c r="R62" s="53" t="s">
        <v>266</v>
      </c>
    </row>
    <row r="63" spans="1:18" ht="15" customHeight="1" x14ac:dyDescent="0.25">
      <c r="A63" s="50" t="s">
        <v>2820</v>
      </c>
      <c r="B63" s="50" t="s">
        <v>1994</v>
      </c>
      <c r="C63" s="50" t="s">
        <v>566</v>
      </c>
      <c r="D63" s="50" t="s">
        <v>630</v>
      </c>
      <c r="E63" s="51">
        <v>271628.53000000003</v>
      </c>
      <c r="F63" s="51">
        <v>3200000</v>
      </c>
      <c r="G63" s="50">
        <f t="shared" si="2"/>
        <v>8.49</v>
      </c>
      <c r="H63" s="50">
        <v>40</v>
      </c>
      <c r="I63" s="50">
        <f t="shared" si="3"/>
        <v>21.23</v>
      </c>
      <c r="J63" s="50">
        <v>0.14949999999999999</v>
      </c>
      <c r="K63" s="51">
        <v>1376148.14</v>
      </c>
      <c r="L63" s="51">
        <v>2642716.35</v>
      </c>
      <c r="M63" s="50">
        <v>15</v>
      </c>
      <c r="N63" s="50">
        <v>25</v>
      </c>
      <c r="O63" s="50" t="s">
        <v>587</v>
      </c>
      <c r="P63" s="50" t="s">
        <v>2739</v>
      </c>
      <c r="Q63" s="50" t="s">
        <v>1676</v>
      </c>
      <c r="R63" s="53" t="s">
        <v>266</v>
      </c>
    </row>
    <row r="64" spans="1:18" ht="15" customHeight="1" x14ac:dyDescent="0.25">
      <c r="A64" s="50" t="s">
        <v>2821</v>
      </c>
      <c r="B64" s="50" t="s">
        <v>767</v>
      </c>
      <c r="C64" s="50" t="s">
        <v>2738</v>
      </c>
      <c r="D64" s="50" t="s">
        <v>2178</v>
      </c>
      <c r="E64" s="51">
        <v>57687.92</v>
      </c>
      <c r="F64" s="51">
        <v>3200000</v>
      </c>
      <c r="G64" s="50">
        <f t="shared" si="2"/>
        <v>1.8</v>
      </c>
      <c r="H64" s="50">
        <v>40</v>
      </c>
      <c r="I64" s="50">
        <f t="shared" si="3"/>
        <v>4.5</v>
      </c>
      <c r="J64" s="50">
        <v>0.39489999999999997</v>
      </c>
      <c r="K64" s="51">
        <v>230249.4</v>
      </c>
      <c r="L64" s="51">
        <v>369607.36</v>
      </c>
      <c r="M64" s="50">
        <v>15</v>
      </c>
      <c r="N64" s="50">
        <v>25</v>
      </c>
      <c r="O64" s="50" t="s">
        <v>587</v>
      </c>
      <c r="P64" s="50" t="s">
        <v>2739</v>
      </c>
      <c r="Q64" s="50" t="s">
        <v>1676</v>
      </c>
      <c r="R64" s="53" t="s">
        <v>266</v>
      </c>
    </row>
    <row r="65" spans="1:18" ht="15" customHeight="1" x14ac:dyDescent="0.25">
      <c r="A65" s="50" t="s">
        <v>2822</v>
      </c>
      <c r="B65" s="50" t="s">
        <v>1665</v>
      </c>
      <c r="C65" s="50" t="s">
        <v>2744</v>
      </c>
      <c r="D65" s="50" t="s">
        <v>2745</v>
      </c>
      <c r="E65" s="51">
        <v>285590.49</v>
      </c>
      <c r="F65" s="51">
        <v>3200000</v>
      </c>
      <c r="G65" s="50">
        <f t="shared" si="2"/>
        <v>8.92</v>
      </c>
      <c r="H65" s="50">
        <v>40</v>
      </c>
      <c r="I65" s="50">
        <f t="shared" si="3"/>
        <v>22.3</v>
      </c>
      <c r="J65" s="50">
        <v>0.23530000000000001</v>
      </c>
      <c r="K65" s="51">
        <v>1510681.27</v>
      </c>
      <c r="L65" s="51">
        <v>2774038.95</v>
      </c>
      <c r="M65" s="50">
        <v>15</v>
      </c>
      <c r="N65" s="50">
        <v>25</v>
      </c>
      <c r="O65" s="50" t="s">
        <v>587</v>
      </c>
      <c r="P65" s="50" t="s">
        <v>2739</v>
      </c>
      <c r="Q65" s="50" t="s">
        <v>1676</v>
      </c>
      <c r="R65" s="53" t="s">
        <v>266</v>
      </c>
    </row>
    <row r="66" spans="1:18" ht="15" customHeight="1" x14ac:dyDescent="0.25">
      <c r="A66" s="50" t="s">
        <v>2823</v>
      </c>
      <c r="B66" s="50" t="s">
        <v>1352</v>
      </c>
      <c r="C66" s="50" t="s">
        <v>565</v>
      </c>
      <c r="D66" s="50" t="s">
        <v>604</v>
      </c>
      <c r="E66" s="51">
        <v>58788.75</v>
      </c>
      <c r="F66" s="51">
        <v>3200000</v>
      </c>
      <c r="G66" s="50">
        <f t="shared" si="2"/>
        <v>1.84</v>
      </c>
      <c r="H66" s="50">
        <v>40</v>
      </c>
      <c r="I66" s="50">
        <f t="shared" si="3"/>
        <v>4.5999999999999996</v>
      </c>
      <c r="J66" s="50">
        <v>9.8900000000000002E-2</v>
      </c>
      <c r="K66" s="51">
        <v>307075.78000000003</v>
      </c>
      <c r="L66" s="51">
        <v>645033.54</v>
      </c>
      <c r="M66" s="50">
        <v>15</v>
      </c>
      <c r="N66" s="50">
        <v>25</v>
      </c>
      <c r="O66" s="50" t="s">
        <v>587</v>
      </c>
      <c r="P66" s="50" t="s">
        <v>2739</v>
      </c>
      <c r="Q66" s="50" t="s">
        <v>1676</v>
      </c>
      <c r="R66" s="53" t="s">
        <v>266</v>
      </c>
    </row>
    <row r="67" spans="1:18" ht="15" customHeight="1" x14ac:dyDescent="0.25">
      <c r="A67" s="50" t="s">
        <v>2824</v>
      </c>
      <c r="B67" s="50" t="s">
        <v>969</v>
      </c>
      <c r="C67" s="50" t="s">
        <v>2744</v>
      </c>
      <c r="D67" s="50" t="s">
        <v>2755</v>
      </c>
      <c r="E67" s="51">
        <v>89797.18</v>
      </c>
      <c r="F67" s="51">
        <v>3200000</v>
      </c>
      <c r="G67" s="50">
        <f t="shared" ref="G67:G98" si="4">ROUND(E67/F67*100,2)</f>
        <v>2.81</v>
      </c>
      <c r="H67" s="50">
        <v>40</v>
      </c>
      <c r="I67" s="50">
        <f t="shared" ref="I67:I98" si="5">ROUND(G67/H67*100,2)</f>
        <v>7.03</v>
      </c>
      <c r="J67" s="50">
        <v>0.1148</v>
      </c>
      <c r="K67" s="51">
        <v>334023.27</v>
      </c>
      <c r="L67" s="51">
        <v>584182.93999999994</v>
      </c>
      <c r="M67" s="50">
        <v>15</v>
      </c>
      <c r="N67" s="50">
        <v>25</v>
      </c>
      <c r="O67" s="50" t="s">
        <v>587</v>
      </c>
      <c r="P67" s="50" t="s">
        <v>2739</v>
      </c>
      <c r="Q67" s="50" t="s">
        <v>1676</v>
      </c>
      <c r="R67" s="53" t="s">
        <v>266</v>
      </c>
    </row>
    <row r="68" spans="1:18" ht="15" customHeight="1" x14ac:dyDescent="0.25">
      <c r="A68" s="50" t="s">
        <v>2825</v>
      </c>
      <c r="B68" s="50" t="s">
        <v>1903</v>
      </c>
      <c r="C68" s="50" t="s">
        <v>565</v>
      </c>
      <c r="D68" s="50" t="s">
        <v>671</v>
      </c>
      <c r="E68" s="51">
        <v>344085.42</v>
      </c>
      <c r="F68" s="51">
        <v>3200000</v>
      </c>
      <c r="G68" s="50">
        <f t="shared" si="4"/>
        <v>10.75</v>
      </c>
      <c r="H68" s="50">
        <v>40</v>
      </c>
      <c r="I68" s="50">
        <f t="shared" si="5"/>
        <v>26.88</v>
      </c>
      <c r="J68" s="50">
        <v>0.1003</v>
      </c>
      <c r="K68" s="51">
        <v>1401943.35</v>
      </c>
      <c r="L68" s="51">
        <v>2687996.22</v>
      </c>
      <c r="M68" s="50">
        <v>15</v>
      </c>
      <c r="N68" s="50">
        <v>25</v>
      </c>
      <c r="O68" s="50" t="s">
        <v>587</v>
      </c>
      <c r="P68" s="50" t="s">
        <v>2739</v>
      </c>
      <c r="Q68" s="50" t="s">
        <v>1676</v>
      </c>
      <c r="R68" s="53" t="s">
        <v>266</v>
      </c>
    </row>
    <row r="69" spans="1:18" ht="15" customHeight="1" x14ac:dyDescent="0.25">
      <c r="A69" s="50" t="s">
        <v>2826</v>
      </c>
      <c r="B69" s="50" t="s">
        <v>2289</v>
      </c>
      <c r="C69" s="50" t="s">
        <v>1227</v>
      </c>
      <c r="D69" s="50" t="s">
        <v>1263</v>
      </c>
      <c r="E69" s="51">
        <v>311633.48</v>
      </c>
      <c r="F69" s="51">
        <v>3200000</v>
      </c>
      <c r="G69" s="50">
        <f t="shared" si="4"/>
        <v>9.74</v>
      </c>
      <c r="H69" s="50">
        <v>40</v>
      </c>
      <c r="I69" s="50">
        <f t="shared" si="5"/>
        <v>24.35</v>
      </c>
      <c r="J69" s="50">
        <v>0.22259999999999999</v>
      </c>
      <c r="K69" s="51">
        <v>1494191.07</v>
      </c>
      <c r="L69" s="51">
        <v>2856585.06</v>
      </c>
      <c r="M69" s="50">
        <v>15</v>
      </c>
      <c r="N69" s="50">
        <v>25</v>
      </c>
      <c r="O69" s="50" t="s">
        <v>587</v>
      </c>
      <c r="P69" s="50" t="s">
        <v>2739</v>
      </c>
      <c r="Q69" s="50" t="s">
        <v>1676</v>
      </c>
      <c r="R69" s="53" t="s">
        <v>266</v>
      </c>
    </row>
    <row r="70" spans="1:18" ht="15" customHeight="1" x14ac:dyDescent="0.25">
      <c r="A70" s="50" t="s">
        <v>2827</v>
      </c>
      <c r="B70" s="50" t="s">
        <v>1844</v>
      </c>
      <c r="C70" s="50" t="s">
        <v>1227</v>
      </c>
      <c r="D70" s="50" t="s">
        <v>1295</v>
      </c>
      <c r="E70" s="51">
        <v>185597.29</v>
      </c>
      <c r="F70" s="51">
        <v>3200000</v>
      </c>
      <c r="G70" s="50">
        <f t="shared" si="4"/>
        <v>5.8</v>
      </c>
      <c r="H70" s="50">
        <v>40</v>
      </c>
      <c r="I70" s="50">
        <f t="shared" si="5"/>
        <v>14.5</v>
      </c>
      <c r="J70" s="50">
        <v>0.20080000000000001</v>
      </c>
      <c r="K70" s="51">
        <v>836358.01</v>
      </c>
      <c r="L70" s="51">
        <v>1588943.07</v>
      </c>
      <c r="M70" s="50">
        <v>15</v>
      </c>
      <c r="N70" s="50">
        <v>25</v>
      </c>
      <c r="O70" s="50" t="s">
        <v>587</v>
      </c>
      <c r="P70" s="50" t="s">
        <v>2739</v>
      </c>
      <c r="Q70" s="50" t="s">
        <v>1676</v>
      </c>
      <c r="R70" s="53" t="s">
        <v>266</v>
      </c>
    </row>
    <row r="71" spans="1:18" ht="15" customHeight="1" x14ac:dyDescent="0.25">
      <c r="A71" s="50" t="s">
        <v>2828</v>
      </c>
      <c r="B71" s="50" t="s">
        <v>1888</v>
      </c>
      <c r="C71" s="50" t="s">
        <v>2748</v>
      </c>
      <c r="D71" s="50" t="s">
        <v>582</v>
      </c>
      <c r="E71" s="51">
        <v>211930.38</v>
      </c>
      <c r="F71" s="51">
        <v>3200000</v>
      </c>
      <c r="G71" s="50">
        <f t="shared" si="4"/>
        <v>6.62</v>
      </c>
      <c r="H71" s="50">
        <v>25</v>
      </c>
      <c r="I71" s="50">
        <f t="shared" si="5"/>
        <v>26.48</v>
      </c>
      <c r="J71" s="50">
        <v>0.186</v>
      </c>
      <c r="K71" s="51">
        <v>868254.26</v>
      </c>
      <c r="L71" s="51">
        <v>1704068.33</v>
      </c>
      <c r="M71" s="50">
        <v>15</v>
      </c>
      <c r="N71" s="50">
        <v>25</v>
      </c>
      <c r="O71" s="50" t="s">
        <v>587</v>
      </c>
      <c r="P71" s="50" t="s">
        <v>2739</v>
      </c>
      <c r="Q71" s="50" t="s">
        <v>1676</v>
      </c>
      <c r="R71" s="53" t="s">
        <v>266</v>
      </c>
    </row>
    <row r="72" spans="1:18" ht="15" customHeight="1" x14ac:dyDescent="0.25">
      <c r="A72" s="50" t="s">
        <v>2829</v>
      </c>
      <c r="B72" s="50" t="s">
        <v>843</v>
      </c>
      <c r="C72" s="50" t="s">
        <v>1227</v>
      </c>
      <c r="D72" s="50" t="s">
        <v>1263</v>
      </c>
      <c r="E72" s="51">
        <v>108333.7</v>
      </c>
      <c r="F72" s="51">
        <v>3200000</v>
      </c>
      <c r="G72" s="50">
        <f t="shared" si="4"/>
        <v>3.39</v>
      </c>
      <c r="H72" s="50">
        <v>40</v>
      </c>
      <c r="I72" s="50">
        <f t="shared" si="5"/>
        <v>8.48</v>
      </c>
      <c r="J72" s="50">
        <v>5.8799999999999998E-2</v>
      </c>
      <c r="K72" s="51">
        <v>484732.99</v>
      </c>
      <c r="L72" s="51">
        <v>993793.19</v>
      </c>
      <c r="M72" s="50">
        <v>15</v>
      </c>
      <c r="N72" s="50">
        <v>25</v>
      </c>
      <c r="O72" s="50" t="s">
        <v>587</v>
      </c>
      <c r="P72" s="50" t="s">
        <v>2739</v>
      </c>
      <c r="Q72" s="50" t="s">
        <v>1676</v>
      </c>
      <c r="R72" s="53" t="s">
        <v>266</v>
      </c>
    </row>
    <row r="73" spans="1:18" ht="15" customHeight="1" x14ac:dyDescent="0.25">
      <c r="A73" s="50" t="s">
        <v>2830</v>
      </c>
      <c r="B73" s="50" t="s">
        <v>1704</v>
      </c>
      <c r="C73" s="50" t="s">
        <v>1227</v>
      </c>
      <c r="D73" s="50" t="s">
        <v>1290</v>
      </c>
      <c r="E73" s="51">
        <v>160229.45000000001</v>
      </c>
      <c r="F73" s="51">
        <v>3200000</v>
      </c>
      <c r="G73" s="50">
        <f t="shared" si="4"/>
        <v>5.01</v>
      </c>
      <c r="H73" s="50">
        <v>40</v>
      </c>
      <c r="I73" s="50">
        <f t="shared" si="5"/>
        <v>12.53</v>
      </c>
      <c r="J73" s="50">
        <v>0.26850000000000002</v>
      </c>
      <c r="K73" s="51">
        <v>803953.25</v>
      </c>
      <c r="L73" s="51">
        <v>1353782.56</v>
      </c>
      <c r="M73" s="50">
        <v>15</v>
      </c>
      <c r="N73" s="50">
        <v>25</v>
      </c>
      <c r="O73" s="50" t="s">
        <v>587</v>
      </c>
      <c r="P73" s="50" t="s">
        <v>2739</v>
      </c>
      <c r="Q73" s="50" t="s">
        <v>1676</v>
      </c>
      <c r="R73" s="53" t="s">
        <v>266</v>
      </c>
    </row>
    <row r="74" spans="1:18" ht="15" customHeight="1" x14ac:dyDescent="0.25">
      <c r="A74" s="50" t="s">
        <v>2831</v>
      </c>
      <c r="B74" s="50" t="s">
        <v>1882</v>
      </c>
      <c r="C74" s="50" t="s">
        <v>1227</v>
      </c>
      <c r="D74" s="50" t="s">
        <v>1290</v>
      </c>
      <c r="E74" s="51">
        <v>54098.79</v>
      </c>
      <c r="F74" s="51">
        <v>3200000</v>
      </c>
      <c r="G74" s="50">
        <f t="shared" si="4"/>
        <v>1.69</v>
      </c>
      <c r="H74" s="50">
        <v>40</v>
      </c>
      <c r="I74" s="50">
        <f t="shared" si="5"/>
        <v>4.2300000000000004</v>
      </c>
      <c r="J74" s="50">
        <v>0.38319999999999999</v>
      </c>
      <c r="K74" s="51">
        <v>287119.99</v>
      </c>
      <c r="L74" s="51">
        <v>502963.01</v>
      </c>
      <c r="M74" s="50">
        <v>15</v>
      </c>
      <c r="N74" s="50">
        <v>25</v>
      </c>
      <c r="O74" s="50" t="s">
        <v>587</v>
      </c>
      <c r="P74" s="50" t="s">
        <v>2739</v>
      </c>
      <c r="Q74" s="50" t="s">
        <v>1676</v>
      </c>
      <c r="R74" s="53" t="s">
        <v>266</v>
      </c>
    </row>
    <row r="75" spans="1:18" ht="15" customHeight="1" x14ac:dyDescent="0.25">
      <c r="A75" s="50" t="s">
        <v>2832</v>
      </c>
      <c r="B75" s="50" t="s">
        <v>746</v>
      </c>
      <c r="C75" s="50" t="s">
        <v>2764</v>
      </c>
      <c r="D75" s="50" t="s">
        <v>585</v>
      </c>
      <c r="E75" s="51">
        <v>165495.62</v>
      </c>
      <c r="F75" s="51">
        <v>3200000</v>
      </c>
      <c r="G75" s="50">
        <f t="shared" si="4"/>
        <v>5.17</v>
      </c>
      <c r="H75" s="50">
        <v>40</v>
      </c>
      <c r="I75" s="50">
        <f t="shared" si="5"/>
        <v>12.93</v>
      </c>
      <c r="J75" s="50">
        <v>0.3765</v>
      </c>
      <c r="K75" s="51">
        <v>732582.68</v>
      </c>
      <c r="L75" s="51">
        <v>1354897.03</v>
      </c>
      <c r="M75" s="50">
        <v>15</v>
      </c>
      <c r="N75" s="50">
        <v>25</v>
      </c>
      <c r="O75" s="50" t="s">
        <v>587</v>
      </c>
      <c r="P75" s="50" t="s">
        <v>2739</v>
      </c>
      <c r="Q75" s="50" t="s">
        <v>1676</v>
      </c>
      <c r="R75" s="53" t="s">
        <v>266</v>
      </c>
    </row>
    <row r="76" spans="1:18" ht="15" customHeight="1" x14ac:dyDescent="0.25">
      <c r="A76" s="50" t="s">
        <v>2833</v>
      </c>
      <c r="B76" s="50" t="s">
        <v>2834</v>
      </c>
      <c r="C76" s="50" t="s">
        <v>2748</v>
      </c>
      <c r="D76" s="50" t="s">
        <v>674</v>
      </c>
      <c r="E76" s="51">
        <v>314478.40999999997</v>
      </c>
      <c r="F76" s="51">
        <v>3200000</v>
      </c>
      <c r="G76" s="50">
        <f t="shared" si="4"/>
        <v>9.83</v>
      </c>
      <c r="H76" s="50">
        <v>25</v>
      </c>
      <c r="I76" s="50">
        <f t="shared" si="5"/>
        <v>39.32</v>
      </c>
      <c r="J76" s="50">
        <v>0.39140000000000003</v>
      </c>
      <c r="K76" s="51">
        <v>1286479.6599999999</v>
      </c>
      <c r="L76" s="51">
        <v>2099369.63</v>
      </c>
      <c r="M76" s="50">
        <v>15</v>
      </c>
      <c r="N76" s="50">
        <v>25</v>
      </c>
      <c r="O76" s="50" t="s">
        <v>587</v>
      </c>
      <c r="P76" s="50" t="s">
        <v>2739</v>
      </c>
      <c r="Q76" s="50" t="s">
        <v>1676</v>
      </c>
      <c r="R76" s="53" t="s">
        <v>266</v>
      </c>
    </row>
    <row r="77" spans="1:18" ht="15" customHeight="1" x14ac:dyDescent="0.25">
      <c r="A77" s="50" t="s">
        <v>2835</v>
      </c>
      <c r="B77" s="50" t="s">
        <v>2024</v>
      </c>
      <c r="C77" s="50" t="s">
        <v>1227</v>
      </c>
      <c r="D77" s="50" t="s">
        <v>1263</v>
      </c>
      <c r="E77" s="51">
        <v>31952.6</v>
      </c>
      <c r="F77" s="51">
        <v>3200000</v>
      </c>
      <c r="G77" s="50">
        <f t="shared" si="4"/>
        <v>1</v>
      </c>
      <c r="H77" s="50">
        <v>40</v>
      </c>
      <c r="I77" s="50">
        <f t="shared" si="5"/>
        <v>2.5</v>
      </c>
      <c r="J77" s="50">
        <v>0.1588</v>
      </c>
      <c r="K77" s="51">
        <v>164306.29</v>
      </c>
      <c r="L77" s="51">
        <v>317269.53999999998</v>
      </c>
      <c r="M77" s="50">
        <v>15</v>
      </c>
      <c r="N77" s="50">
        <v>25</v>
      </c>
      <c r="O77" s="50" t="s">
        <v>587</v>
      </c>
      <c r="P77" s="50" t="s">
        <v>2739</v>
      </c>
      <c r="Q77" s="50" t="s">
        <v>1676</v>
      </c>
      <c r="R77" s="53" t="s">
        <v>266</v>
      </c>
    </row>
    <row r="78" spans="1:18" ht="15" customHeight="1" x14ac:dyDescent="0.25">
      <c r="A78" s="50" t="s">
        <v>2836</v>
      </c>
      <c r="B78" s="50" t="s">
        <v>1853</v>
      </c>
      <c r="C78" s="50" t="s">
        <v>2764</v>
      </c>
      <c r="D78" s="50" t="s">
        <v>608</v>
      </c>
      <c r="E78" s="51">
        <v>126606.44</v>
      </c>
      <c r="F78" s="51">
        <v>3200000</v>
      </c>
      <c r="G78" s="50">
        <f t="shared" si="4"/>
        <v>3.96</v>
      </c>
      <c r="H78" s="50">
        <v>40</v>
      </c>
      <c r="I78" s="50">
        <f t="shared" si="5"/>
        <v>9.9</v>
      </c>
      <c r="J78" s="50">
        <v>0.1216</v>
      </c>
      <c r="K78" s="51">
        <v>676581.09</v>
      </c>
      <c r="L78" s="51">
        <v>1149895.05</v>
      </c>
      <c r="M78" s="50">
        <v>15</v>
      </c>
      <c r="N78" s="50">
        <v>25</v>
      </c>
      <c r="O78" s="50" t="s">
        <v>587</v>
      </c>
      <c r="P78" s="50" t="s">
        <v>2739</v>
      </c>
      <c r="Q78" s="50" t="s">
        <v>1676</v>
      </c>
      <c r="R78" s="53" t="s">
        <v>266</v>
      </c>
    </row>
    <row r="79" spans="1:18" ht="15" customHeight="1" x14ac:dyDescent="0.25">
      <c r="A79" s="50" t="s">
        <v>2837</v>
      </c>
      <c r="B79" s="50" t="s">
        <v>1611</v>
      </c>
      <c r="C79" s="50" t="s">
        <v>2742</v>
      </c>
      <c r="D79" s="50" t="s">
        <v>593</v>
      </c>
      <c r="E79" s="51">
        <v>250331.23</v>
      </c>
      <c r="F79" s="51">
        <v>3200000</v>
      </c>
      <c r="G79" s="50">
        <f t="shared" si="4"/>
        <v>7.82</v>
      </c>
      <c r="H79" s="50">
        <v>40</v>
      </c>
      <c r="I79" s="50">
        <f t="shared" si="5"/>
        <v>19.55</v>
      </c>
      <c r="J79" s="50">
        <v>0.14979999999999999</v>
      </c>
      <c r="K79" s="51">
        <v>888517.41</v>
      </c>
      <c r="L79" s="51">
        <v>1538215.8</v>
      </c>
      <c r="M79" s="50">
        <v>15</v>
      </c>
      <c r="N79" s="50">
        <v>25</v>
      </c>
      <c r="O79" s="50" t="s">
        <v>587</v>
      </c>
      <c r="P79" s="50" t="s">
        <v>2739</v>
      </c>
      <c r="Q79" s="50" t="s">
        <v>1676</v>
      </c>
      <c r="R79" s="53" t="s">
        <v>266</v>
      </c>
    </row>
    <row r="80" spans="1:18" ht="15" customHeight="1" x14ac:dyDescent="0.25">
      <c r="A80" s="50" t="s">
        <v>2838</v>
      </c>
      <c r="B80" s="50" t="s">
        <v>1557</v>
      </c>
      <c r="C80" s="50" t="s">
        <v>2738</v>
      </c>
      <c r="D80" s="50" t="s">
        <v>2815</v>
      </c>
      <c r="E80" s="51">
        <v>159683.74</v>
      </c>
      <c r="F80" s="51">
        <v>3200000</v>
      </c>
      <c r="G80" s="50">
        <f t="shared" si="4"/>
        <v>4.99</v>
      </c>
      <c r="H80" s="50">
        <v>40</v>
      </c>
      <c r="I80" s="50">
        <f t="shared" si="5"/>
        <v>12.48</v>
      </c>
      <c r="J80" s="50">
        <v>0.1736</v>
      </c>
      <c r="K80" s="51">
        <v>754641.73</v>
      </c>
      <c r="L80" s="51">
        <v>1364509.56</v>
      </c>
      <c r="M80" s="50">
        <v>15</v>
      </c>
      <c r="N80" s="50">
        <v>25</v>
      </c>
      <c r="O80" s="50" t="s">
        <v>587</v>
      </c>
      <c r="P80" s="50" t="s">
        <v>2739</v>
      </c>
      <c r="Q80" s="50" t="s">
        <v>1676</v>
      </c>
      <c r="R80" s="53" t="s">
        <v>266</v>
      </c>
    </row>
    <row r="81" spans="1:18" ht="15" customHeight="1" x14ac:dyDescent="0.25">
      <c r="A81" s="50" t="s">
        <v>2839</v>
      </c>
      <c r="B81" s="50" t="s">
        <v>2840</v>
      </c>
      <c r="C81" s="50" t="s">
        <v>2744</v>
      </c>
      <c r="D81" s="50" t="s">
        <v>602</v>
      </c>
      <c r="E81" s="51">
        <v>22566.14</v>
      </c>
      <c r="F81" s="51">
        <v>3200000</v>
      </c>
      <c r="G81" s="50">
        <f t="shared" si="4"/>
        <v>0.71</v>
      </c>
      <c r="H81" s="50">
        <v>40</v>
      </c>
      <c r="I81" s="50">
        <f t="shared" si="5"/>
        <v>1.78</v>
      </c>
      <c r="J81" s="50">
        <v>0.24129999999999999</v>
      </c>
      <c r="K81" s="51">
        <v>84546.2</v>
      </c>
      <c r="L81" s="51">
        <v>157512.84</v>
      </c>
      <c r="M81" s="50">
        <v>15</v>
      </c>
      <c r="N81" s="50">
        <v>25</v>
      </c>
      <c r="O81" s="50" t="s">
        <v>587</v>
      </c>
      <c r="P81" s="50" t="s">
        <v>2739</v>
      </c>
      <c r="Q81" s="50" t="s">
        <v>1676</v>
      </c>
      <c r="R81" s="53" t="s">
        <v>266</v>
      </c>
    </row>
    <row r="82" spans="1:18" ht="15" customHeight="1" x14ac:dyDescent="0.25">
      <c r="A82" s="50" t="s">
        <v>2841</v>
      </c>
      <c r="B82" s="50" t="s">
        <v>2842</v>
      </c>
      <c r="C82" s="50" t="s">
        <v>1227</v>
      </c>
      <c r="D82" s="50" t="s">
        <v>1269</v>
      </c>
      <c r="E82" s="51">
        <v>234880.41</v>
      </c>
      <c r="F82" s="51">
        <v>3200000</v>
      </c>
      <c r="G82" s="50">
        <f t="shared" si="4"/>
        <v>7.34</v>
      </c>
      <c r="H82" s="50">
        <v>40</v>
      </c>
      <c r="I82" s="50">
        <f t="shared" si="5"/>
        <v>18.350000000000001</v>
      </c>
      <c r="J82" s="50">
        <v>0.25280000000000002</v>
      </c>
      <c r="K82" s="51">
        <v>1173902.8400000001</v>
      </c>
      <c r="L82" s="51">
        <v>2234604.64</v>
      </c>
      <c r="M82" s="50">
        <v>15</v>
      </c>
      <c r="N82" s="50">
        <v>25</v>
      </c>
      <c r="O82" s="50" t="s">
        <v>587</v>
      </c>
      <c r="P82" s="50" t="s">
        <v>2739</v>
      </c>
      <c r="Q82" s="50" t="s">
        <v>1676</v>
      </c>
      <c r="R82" s="53" t="s">
        <v>266</v>
      </c>
    </row>
    <row r="83" spans="1:18" ht="15" customHeight="1" x14ac:dyDescent="0.25">
      <c r="A83" s="50" t="s">
        <v>2843</v>
      </c>
      <c r="B83" s="50" t="s">
        <v>1062</v>
      </c>
      <c r="C83" s="50" t="s">
        <v>1227</v>
      </c>
      <c r="D83" s="50" t="s">
        <v>1295</v>
      </c>
      <c r="E83" s="51">
        <v>232912.61</v>
      </c>
      <c r="F83" s="51">
        <v>3200000</v>
      </c>
      <c r="G83" s="50">
        <f t="shared" si="4"/>
        <v>7.28</v>
      </c>
      <c r="H83" s="50">
        <v>40</v>
      </c>
      <c r="I83" s="50">
        <f t="shared" si="5"/>
        <v>18.2</v>
      </c>
      <c r="J83" s="50">
        <v>0.2127</v>
      </c>
      <c r="K83" s="51">
        <v>1151773.1299999999</v>
      </c>
      <c r="L83" s="51">
        <v>2027424.21</v>
      </c>
      <c r="M83" s="50">
        <v>15</v>
      </c>
      <c r="N83" s="50">
        <v>25</v>
      </c>
      <c r="O83" s="50" t="s">
        <v>587</v>
      </c>
      <c r="P83" s="50" t="s">
        <v>2739</v>
      </c>
      <c r="Q83" s="50" t="s">
        <v>1676</v>
      </c>
      <c r="R83" s="53" t="s">
        <v>266</v>
      </c>
    </row>
    <row r="84" spans="1:18" ht="15" customHeight="1" x14ac:dyDescent="0.25">
      <c r="A84" s="50" t="s">
        <v>2844</v>
      </c>
      <c r="B84" s="50" t="s">
        <v>2589</v>
      </c>
      <c r="C84" s="50" t="s">
        <v>2748</v>
      </c>
      <c r="D84" s="50" t="s">
        <v>582</v>
      </c>
      <c r="E84" s="51">
        <v>217821.65</v>
      </c>
      <c r="F84" s="51">
        <v>3200000</v>
      </c>
      <c r="G84" s="50">
        <f t="shared" si="4"/>
        <v>6.81</v>
      </c>
      <c r="H84" s="50">
        <v>25</v>
      </c>
      <c r="I84" s="50">
        <f t="shared" si="5"/>
        <v>27.24</v>
      </c>
      <c r="J84" s="50">
        <v>0.152</v>
      </c>
      <c r="K84" s="51">
        <v>858320.79</v>
      </c>
      <c r="L84" s="51">
        <v>1395979.84</v>
      </c>
      <c r="M84" s="50">
        <v>15</v>
      </c>
      <c r="N84" s="50">
        <v>25</v>
      </c>
      <c r="O84" s="50" t="s">
        <v>587</v>
      </c>
      <c r="P84" s="50" t="s">
        <v>2739</v>
      </c>
      <c r="Q84" s="50" t="s">
        <v>1676</v>
      </c>
      <c r="R84" s="53" t="s">
        <v>266</v>
      </c>
    </row>
    <row r="85" spans="1:18" ht="15" customHeight="1" x14ac:dyDescent="0.25">
      <c r="A85" s="50" t="s">
        <v>2845</v>
      </c>
      <c r="B85" s="50" t="s">
        <v>2846</v>
      </c>
      <c r="C85" s="50" t="s">
        <v>2742</v>
      </c>
      <c r="D85" s="50" t="s">
        <v>642</v>
      </c>
      <c r="E85" s="51">
        <v>149339.68</v>
      </c>
      <c r="F85" s="51">
        <v>3200000</v>
      </c>
      <c r="G85" s="50">
        <f t="shared" si="4"/>
        <v>4.67</v>
      </c>
      <c r="H85" s="50">
        <v>40</v>
      </c>
      <c r="I85" s="50">
        <f t="shared" si="5"/>
        <v>11.68</v>
      </c>
      <c r="J85" s="50">
        <v>0.1217</v>
      </c>
      <c r="K85" s="51">
        <v>761474.57</v>
      </c>
      <c r="L85" s="51">
        <v>1621864.66</v>
      </c>
      <c r="M85" s="50">
        <v>15</v>
      </c>
      <c r="N85" s="50">
        <v>25</v>
      </c>
      <c r="O85" s="50" t="s">
        <v>587</v>
      </c>
      <c r="P85" s="50" t="s">
        <v>2739</v>
      </c>
      <c r="Q85" s="50" t="s">
        <v>1676</v>
      </c>
      <c r="R85" s="53" t="s">
        <v>266</v>
      </c>
    </row>
    <row r="86" spans="1:18" ht="15" customHeight="1" x14ac:dyDescent="0.25">
      <c r="A86" s="50" t="s">
        <v>2847</v>
      </c>
      <c r="B86" s="50" t="s">
        <v>872</v>
      </c>
      <c r="C86" s="50" t="s">
        <v>2744</v>
      </c>
      <c r="D86" s="50" t="s">
        <v>586</v>
      </c>
      <c r="E86" s="51">
        <v>5195.6099999999997</v>
      </c>
      <c r="F86" s="51">
        <v>3200000</v>
      </c>
      <c r="G86" s="50">
        <f t="shared" si="4"/>
        <v>0.16</v>
      </c>
      <c r="H86" s="50">
        <v>40</v>
      </c>
      <c r="I86" s="50">
        <f t="shared" si="5"/>
        <v>0.4</v>
      </c>
      <c r="J86" s="50">
        <v>7.4499999999999997E-2</v>
      </c>
      <c r="K86" s="51">
        <v>27109.040000000001</v>
      </c>
      <c r="L86" s="51">
        <v>47693.06</v>
      </c>
      <c r="M86" s="50">
        <v>15</v>
      </c>
      <c r="N86" s="50">
        <v>25</v>
      </c>
      <c r="O86" s="50" t="s">
        <v>587</v>
      </c>
      <c r="P86" s="50" t="s">
        <v>2739</v>
      </c>
      <c r="Q86" s="50" t="s">
        <v>1676</v>
      </c>
      <c r="R86" s="53" t="s">
        <v>266</v>
      </c>
    </row>
    <row r="87" spans="1:18" ht="15" customHeight="1" x14ac:dyDescent="0.25">
      <c r="A87" s="50" t="s">
        <v>2848</v>
      </c>
      <c r="B87" s="50" t="s">
        <v>2467</v>
      </c>
      <c r="C87" s="50" t="s">
        <v>566</v>
      </c>
      <c r="D87" s="50" t="s">
        <v>578</v>
      </c>
      <c r="E87" s="51">
        <v>166565.78</v>
      </c>
      <c r="F87" s="51">
        <v>3200000</v>
      </c>
      <c r="G87" s="50">
        <f t="shared" si="4"/>
        <v>5.21</v>
      </c>
      <c r="H87" s="50">
        <v>40</v>
      </c>
      <c r="I87" s="50">
        <f t="shared" si="5"/>
        <v>13.03</v>
      </c>
      <c r="J87" s="50">
        <v>0.41299999999999998</v>
      </c>
      <c r="K87" s="51">
        <v>891067.55</v>
      </c>
      <c r="L87" s="51">
        <v>1689543.6799999999</v>
      </c>
      <c r="M87" s="50">
        <v>15</v>
      </c>
      <c r="N87" s="50">
        <v>25</v>
      </c>
      <c r="O87" s="50" t="s">
        <v>587</v>
      </c>
      <c r="P87" s="50" t="s">
        <v>2739</v>
      </c>
      <c r="Q87" s="50" t="s">
        <v>1676</v>
      </c>
      <c r="R87" s="53" t="s">
        <v>266</v>
      </c>
    </row>
    <row r="88" spans="1:18" ht="15" customHeight="1" x14ac:dyDescent="0.25">
      <c r="A88" s="50" t="s">
        <v>2849</v>
      </c>
      <c r="B88" s="50" t="s">
        <v>2850</v>
      </c>
      <c r="C88" s="50" t="s">
        <v>2764</v>
      </c>
      <c r="D88" s="50" t="s">
        <v>674</v>
      </c>
      <c r="E88" s="51">
        <v>315294.83</v>
      </c>
      <c r="F88" s="51">
        <v>3200000</v>
      </c>
      <c r="G88" s="50">
        <f t="shared" si="4"/>
        <v>9.85</v>
      </c>
      <c r="H88" s="50">
        <v>40</v>
      </c>
      <c r="I88" s="50">
        <f t="shared" si="5"/>
        <v>24.63</v>
      </c>
      <c r="J88" s="50">
        <v>0.2782</v>
      </c>
      <c r="K88" s="51">
        <v>1721168.08</v>
      </c>
      <c r="L88" s="51">
        <v>3632277.9</v>
      </c>
      <c r="M88" s="50">
        <v>15</v>
      </c>
      <c r="N88" s="50">
        <v>25</v>
      </c>
      <c r="O88" s="50" t="s">
        <v>587</v>
      </c>
      <c r="P88" s="50" t="s">
        <v>2739</v>
      </c>
      <c r="Q88" s="50" t="s">
        <v>1676</v>
      </c>
      <c r="R88" s="53" t="s">
        <v>266</v>
      </c>
    </row>
    <row r="89" spans="1:18" ht="15" customHeight="1" x14ac:dyDescent="0.25">
      <c r="A89" s="50" t="s">
        <v>2851</v>
      </c>
      <c r="B89" s="50" t="s">
        <v>1423</v>
      </c>
      <c r="C89" s="50" t="s">
        <v>2738</v>
      </c>
      <c r="D89" s="50" t="s">
        <v>2249</v>
      </c>
      <c r="E89" s="51">
        <v>186714.66</v>
      </c>
      <c r="F89" s="51">
        <v>3200000</v>
      </c>
      <c r="G89" s="50">
        <f t="shared" si="4"/>
        <v>5.83</v>
      </c>
      <c r="H89" s="50">
        <v>40</v>
      </c>
      <c r="I89" s="50">
        <f t="shared" si="5"/>
        <v>14.58</v>
      </c>
      <c r="J89" s="50">
        <v>0.29709999999999998</v>
      </c>
      <c r="K89" s="51">
        <v>965448.72</v>
      </c>
      <c r="L89" s="51">
        <v>1886359.12</v>
      </c>
      <c r="M89" s="50">
        <v>15</v>
      </c>
      <c r="N89" s="50">
        <v>25</v>
      </c>
      <c r="O89" s="50" t="s">
        <v>587</v>
      </c>
      <c r="P89" s="50" t="s">
        <v>2739</v>
      </c>
      <c r="Q89" s="50" t="s">
        <v>1676</v>
      </c>
      <c r="R89" s="53" t="s">
        <v>266</v>
      </c>
    </row>
    <row r="90" spans="1:18" ht="15" customHeight="1" x14ac:dyDescent="0.25">
      <c r="A90" s="50" t="s">
        <v>2852</v>
      </c>
      <c r="B90" s="50" t="s">
        <v>2853</v>
      </c>
      <c r="C90" s="50" t="s">
        <v>2744</v>
      </c>
      <c r="D90" s="50" t="s">
        <v>2745</v>
      </c>
      <c r="E90" s="51">
        <v>273512.15999999997</v>
      </c>
      <c r="F90" s="51">
        <v>3200000</v>
      </c>
      <c r="G90" s="50">
        <f t="shared" si="4"/>
        <v>8.5500000000000007</v>
      </c>
      <c r="H90" s="50">
        <v>40</v>
      </c>
      <c r="I90" s="50">
        <f t="shared" si="5"/>
        <v>21.38</v>
      </c>
      <c r="J90" s="50">
        <v>0.14080000000000001</v>
      </c>
      <c r="K90" s="51">
        <v>1403080.1</v>
      </c>
      <c r="L90" s="51">
        <v>2610183.61</v>
      </c>
      <c r="M90" s="50">
        <v>15</v>
      </c>
      <c r="N90" s="50">
        <v>25</v>
      </c>
      <c r="O90" s="50" t="s">
        <v>587</v>
      </c>
      <c r="P90" s="50" t="s">
        <v>2739</v>
      </c>
      <c r="Q90" s="50" t="s">
        <v>1676</v>
      </c>
      <c r="R90" s="53" t="s">
        <v>266</v>
      </c>
    </row>
    <row r="91" spans="1:18" ht="15" customHeight="1" x14ac:dyDescent="0.25">
      <c r="A91" s="50" t="s">
        <v>2854</v>
      </c>
      <c r="B91" s="50" t="s">
        <v>2381</v>
      </c>
      <c r="C91" s="50" t="s">
        <v>2738</v>
      </c>
      <c r="D91" s="50" t="s">
        <v>2249</v>
      </c>
      <c r="E91" s="51">
        <v>177111.66</v>
      </c>
      <c r="F91" s="51">
        <v>3200000</v>
      </c>
      <c r="G91" s="50">
        <f t="shared" si="4"/>
        <v>5.53</v>
      </c>
      <c r="H91" s="50">
        <v>40</v>
      </c>
      <c r="I91" s="50">
        <f t="shared" si="5"/>
        <v>13.83</v>
      </c>
      <c r="J91" s="50">
        <v>0.318</v>
      </c>
      <c r="K91" s="51">
        <v>763248.21</v>
      </c>
      <c r="L91" s="51">
        <v>1657210.52</v>
      </c>
      <c r="M91" s="50">
        <v>15</v>
      </c>
      <c r="N91" s="50">
        <v>25</v>
      </c>
      <c r="O91" s="50" t="s">
        <v>587</v>
      </c>
      <c r="P91" s="50" t="s">
        <v>2739</v>
      </c>
      <c r="Q91" s="50" t="s">
        <v>1676</v>
      </c>
      <c r="R91" s="53" t="s">
        <v>266</v>
      </c>
    </row>
    <row r="92" spans="1:18" ht="15" customHeight="1" x14ac:dyDescent="0.25">
      <c r="A92" s="50" t="s">
        <v>2855</v>
      </c>
      <c r="B92" s="50" t="s">
        <v>2856</v>
      </c>
      <c r="C92" s="50" t="s">
        <v>2744</v>
      </c>
      <c r="D92" s="50" t="s">
        <v>2857</v>
      </c>
      <c r="E92" s="51">
        <v>289303.8</v>
      </c>
      <c r="F92" s="51">
        <v>3200000</v>
      </c>
      <c r="G92" s="50">
        <f t="shared" si="4"/>
        <v>9.0399999999999991</v>
      </c>
      <c r="H92" s="50">
        <v>40</v>
      </c>
      <c r="I92" s="50">
        <f t="shared" si="5"/>
        <v>22.6</v>
      </c>
      <c r="J92" s="50">
        <v>0.25540000000000002</v>
      </c>
      <c r="K92" s="51">
        <v>1501190.59</v>
      </c>
      <c r="L92" s="51">
        <v>2599118.66</v>
      </c>
      <c r="M92" s="50">
        <v>15</v>
      </c>
      <c r="N92" s="50">
        <v>25</v>
      </c>
      <c r="O92" s="50" t="s">
        <v>587</v>
      </c>
      <c r="P92" s="50" t="s">
        <v>2739</v>
      </c>
      <c r="Q92" s="50" t="s">
        <v>1676</v>
      </c>
      <c r="R92" s="53" t="s">
        <v>266</v>
      </c>
    </row>
    <row r="93" spans="1:18" ht="15" customHeight="1" x14ac:dyDescent="0.25">
      <c r="A93" s="50" t="s">
        <v>2858</v>
      </c>
      <c r="B93" s="50" t="s">
        <v>1398</v>
      </c>
      <c r="C93" s="50" t="s">
        <v>2764</v>
      </c>
      <c r="D93" s="50" t="s">
        <v>574</v>
      </c>
      <c r="E93" s="51">
        <v>324487.81</v>
      </c>
      <c r="F93" s="51">
        <v>3200000</v>
      </c>
      <c r="G93" s="50">
        <f t="shared" si="4"/>
        <v>10.14</v>
      </c>
      <c r="H93" s="50">
        <v>40</v>
      </c>
      <c r="I93" s="50">
        <f t="shared" si="5"/>
        <v>25.35</v>
      </c>
      <c r="J93" s="50">
        <v>0.308</v>
      </c>
      <c r="K93" s="51">
        <v>1463987.54</v>
      </c>
      <c r="L93" s="51">
        <v>2704844.37</v>
      </c>
      <c r="M93" s="50">
        <v>15</v>
      </c>
      <c r="N93" s="50">
        <v>25</v>
      </c>
      <c r="O93" s="50" t="s">
        <v>587</v>
      </c>
      <c r="P93" s="50" t="s">
        <v>2739</v>
      </c>
      <c r="Q93" s="50" t="s">
        <v>1676</v>
      </c>
      <c r="R93" s="53" t="s">
        <v>266</v>
      </c>
    </row>
    <row r="94" spans="1:18" ht="15" customHeight="1" x14ac:dyDescent="0.25">
      <c r="A94" s="50" t="s">
        <v>2859</v>
      </c>
      <c r="B94" s="50" t="s">
        <v>1544</v>
      </c>
      <c r="C94" s="50" t="s">
        <v>1227</v>
      </c>
      <c r="D94" s="50" t="s">
        <v>1295</v>
      </c>
      <c r="E94" s="51">
        <v>108184.16</v>
      </c>
      <c r="F94" s="51">
        <v>3200000</v>
      </c>
      <c r="G94" s="50">
        <f t="shared" si="4"/>
        <v>3.38</v>
      </c>
      <c r="H94" s="50">
        <v>40</v>
      </c>
      <c r="I94" s="50">
        <f t="shared" si="5"/>
        <v>8.4499999999999993</v>
      </c>
      <c r="J94" s="50">
        <v>0.13969999999999999</v>
      </c>
      <c r="K94" s="51">
        <v>513454.6</v>
      </c>
      <c r="L94" s="51">
        <v>1113731.79</v>
      </c>
      <c r="M94" s="50">
        <v>15</v>
      </c>
      <c r="N94" s="50">
        <v>25</v>
      </c>
      <c r="O94" s="50" t="s">
        <v>587</v>
      </c>
      <c r="P94" s="50" t="s">
        <v>2739</v>
      </c>
      <c r="Q94" s="50" t="s">
        <v>1676</v>
      </c>
      <c r="R94" s="53" t="s">
        <v>266</v>
      </c>
    </row>
    <row r="95" spans="1:18" ht="15" customHeight="1" x14ac:dyDescent="0.25">
      <c r="A95" s="50" t="s">
        <v>2860</v>
      </c>
      <c r="B95" s="50" t="s">
        <v>1957</v>
      </c>
      <c r="C95" s="50" t="s">
        <v>566</v>
      </c>
      <c r="D95" s="50" t="s">
        <v>644</v>
      </c>
      <c r="E95" s="51">
        <v>324512.95</v>
      </c>
      <c r="F95" s="51">
        <v>3200000</v>
      </c>
      <c r="G95" s="50">
        <f t="shared" si="4"/>
        <v>10.14</v>
      </c>
      <c r="H95" s="50">
        <v>40</v>
      </c>
      <c r="I95" s="50">
        <f t="shared" si="5"/>
        <v>25.35</v>
      </c>
      <c r="J95" s="50">
        <v>7.1099999999999997E-2</v>
      </c>
      <c r="K95" s="51">
        <v>1399250.97</v>
      </c>
      <c r="L95" s="51">
        <v>2601628.2000000002</v>
      </c>
      <c r="M95" s="50">
        <v>15</v>
      </c>
      <c r="N95" s="50">
        <v>25</v>
      </c>
      <c r="O95" s="50" t="s">
        <v>587</v>
      </c>
      <c r="P95" s="50" t="s">
        <v>2739</v>
      </c>
      <c r="Q95" s="50" t="s">
        <v>1676</v>
      </c>
      <c r="R95" s="53" t="s">
        <v>266</v>
      </c>
    </row>
    <row r="96" spans="1:18" ht="15" customHeight="1" x14ac:dyDescent="0.25">
      <c r="A96" s="50" t="s">
        <v>2861</v>
      </c>
      <c r="B96" s="50" t="s">
        <v>1693</v>
      </c>
      <c r="C96" s="50" t="s">
        <v>2764</v>
      </c>
      <c r="D96" s="50" t="s">
        <v>608</v>
      </c>
      <c r="E96" s="51">
        <v>120156.12</v>
      </c>
      <c r="F96" s="51">
        <v>3200000</v>
      </c>
      <c r="G96" s="50">
        <f t="shared" si="4"/>
        <v>3.75</v>
      </c>
      <c r="H96" s="50">
        <v>40</v>
      </c>
      <c r="I96" s="50">
        <f t="shared" si="5"/>
        <v>9.3800000000000008</v>
      </c>
      <c r="J96" s="50">
        <v>0.187</v>
      </c>
      <c r="K96" s="51">
        <v>494564.37</v>
      </c>
      <c r="L96" s="51">
        <v>935672.25</v>
      </c>
      <c r="M96" s="50">
        <v>15</v>
      </c>
      <c r="N96" s="50">
        <v>25</v>
      </c>
      <c r="O96" s="50" t="s">
        <v>587</v>
      </c>
      <c r="P96" s="50" t="s">
        <v>2739</v>
      </c>
      <c r="Q96" s="50" t="s">
        <v>1676</v>
      </c>
      <c r="R96" s="53" t="s">
        <v>266</v>
      </c>
    </row>
    <row r="97" spans="1:18" ht="15" customHeight="1" x14ac:dyDescent="0.25">
      <c r="A97" s="50" t="s">
        <v>2862</v>
      </c>
      <c r="B97" s="50" t="s">
        <v>727</v>
      </c>
      <c r="C97" s="50" t="s">
        <v>1227</v>
      </c>
      <c r="D97" s="50" t="s">
        <v>1290</v>
      </c>
      <c r="E97" s="51">
        <v>144834.60999999999</v>
      </c>
      <c r="F97" s="51">
        <v>3200000</v>
      </c>
      <c r="G97" s="50">
        <f t="shared" si="4"/>
        <v>4.53</v>
      </c>
      <c r="H97" s="50">
        <v>40</v>
      </c>
      <c r="I97" s="50">
        <f t="shared" si="5"/>
        <v>11.33</v>
      </c>
      <c r="J97" s="50">
        <v>0.36430000000000001</v>
      </c>
      <c r="K97" s="51">
        <v>589901.98</v>
      </c>
      <c r="L97" s="51">
        <v>1159950</v>
      </c>
      <c r="M97" s="50">
        <v>15</v>
      </c>
      <c r="N97" s="50">
        <v>25</v>
      </c>
      <c r="O97" s="50" t="s">
        <v>587</v>
      </c>
      <c r="P97" s="50" t="s">
        <v>2739</v>
      </c>
      <c r="Q97" s="50" t="s">
        <v>1676</v>
      </c>
      <c r="R97" s="53" t="s">
        <v>266</v>
      </c>
    </row>
    <row r="98" spans="1:18" ht="15" customHeight="1" x14ac:dyDescent="0.25">
      <c r="A98" s="50" t="s">
        <v>2863</v>
      </c>
      <c r="B98" s="50" t="s">
        <v>863</v>
      </c>
      <c r="C98" s="50" t="s">
        <v>2738</v>
      </c>
      <c r="D98" s="50" t="s">
        <v>2178</v>
      </c>
      <c r="E98" s="51">
        <v>211303.85</v>
      </c>
      <c r="F98" s="51">
        <v>3200000</v>
      </c>
      <c r="G98" s="50">
        <f t="shared" si="4"/>
        <v>6.6</v>
      </c>
      <c r="H98" s="50">
        <v>40</v>
      </c>
      <c r="I98" s="50">
        <f t="shared" si="5"/>
        <v>16.5</v>
      </c>
      <c r="J98" s="50">
        <v>0.26960000000000001</v>
      </c>
      <c r="K98" s="51">
        <v>1100131.77</v>
      </c>
      <c r="L98" s="51">
        <v>1826654.28</v>
      </c>
      <c r="M98" s="50">
        <v>15</v>
      </c>
      <c r="N98" s="50">
        <v>25</v>
      </c>
      <c r="O98" s="50" t="s">
        <v>587</v>
      </c>
      <c r="P98" s="50" t="s">
        <v>2739</v>
      </c>
      <c r="Q98" s="50" t="s">
        <v>1676</v>
      </c>
      <c r="R98" s="53" t="s">
        <v>266</v>
      </c>
    </row>
    <row r="99" spans="1:18" ht="15" customHeight="1" x14ac:dyDescent="0.25">
      <c r="A99" s="50" t="s">
        <v>2864</v>
      </c>
      <c r="B99" s="50" t="s">
        <v>2865</v>
      </c>
      <c r="C99" s="50" t="s">
        <v>565</v>
      </c>
      <c r="D99" s="50" t="s">
        <v>713</v>
      </c>
      <c r="E99" s="51">
        <v>191427.81</v>
      </c>
      <c r="F99" s="51">
        <v>3200000</v>
      </c>
      <c r="G99" s="50">
        <f t="shared" ref="G99:G130" si="6">ROUND(E99/F99*100,2)</f>
        <v>5.98</v>
      </c>
      <c r="H99" s="50">
        <v>40</v>
      </c>
      <c r="I99" s="50">
        <f t="shared" ref="I99:I130" si="7">ROUND(G99/H99*100,2)</f>
        <v>14.95</v>
      </c>
      <c r="J99" s="50">
        <v>0.23230000000000001</v>
      </c>
      <c r="K99" s="51">
        <v>705340.67</v>
      </c>
      <c r="L99" s="51">
        <v>1539078.82</v>
      </c>
      <c r="M99" s="50">
        <v>15</v>
      </c>
      <c r="N99" s="50">
        <v>25</v>
      </c>
      <c r="O99" s="50" t="s">
        <v>587</v>
      </c>
      <c r="P99" s="50" t="s">
        <v>2739</v>
      </c>
      <c r="Q99" s="50" t="s">
        <v>1676</v>
      </c>
      <c r="R99" s="53" t="s">
        <v>266</v>
      </c>
    </row>
    <row r="100" spans="1:18" ht="15" customHeight="1" x14ac:dyDescent="0.25">
      <c r="A100" s="50" t="s">
        <v>2866</v>
      </c>
      <c r="B100" s="50" t="s">
        <v>2867</v>
      </c>
      <c r="C100" s="50" t="s">
        <v>2742</v>
      </c>
      <c r="D100" s="50" t="s">
        <v>572</v>
      </c>
      <c r="E100" s="51">
        <v>5720.11</v>
      </c>
      <c r="F100" s="51">
        <v>3200000</v>
      </c>
      <c r="G100" s="50">
        <f t="shared" si="6"/>
        <v>0.18</v>
      </c>
      <c r="H100" s="50">
        <v>40</v>
      </c>
      <c r="I100" s="50">
        <f t="shared" si="7"/>
        <v>0.45</v>
      </c>
      <c r="J100" s="50">
        <v>0.1157</v>
      </c>
      <c r="K100" s="51">
        <v>21547.46</v>
      </c>
      <c r="L100" s="51">
        <v>47193.69</v>
      </c>
      <c r="M100" s="50">
        <v>15</v>
      </c>
      <c r="N100" s="50">
        <v>25</v>
      </c>
      <c r="O100" s="50" t="s">
        <v>587</v>
      </c>
      <c r="P100" s="50" t="s">
        <v>2739</v>
      </c>
      <c r="Q100" s="50" t="s">
        <v>1676</v>
      </c>
      <c r="R100" s="53" t="s">
        <v>266</v>
      </c>
    </row>
    <row r="101" spans="1:18" ht="15" customHeight="1" x14ac:dyDescent="0.25">
      <c r="A101" s="50" t="s">
        <v>2868</v>
      </c>
      <c r="B101" s="50" t="s">
        <v>2869</v>
      </c>
      <c r="C101" s="50" t="s">
        <v>2738</v>
      </c>
      <c r="D101" s="50" t="s">
        <v>2815</v>
      </c>
      <c r="E101" s="51">
        <v>18948.29</v>
      </c>
      <c r="F101" s="51">
        <v>3200000</v>
      </c>
      <c r="G101" s="50">
        <f t="shared" si="6"/>
        <v>0.59</v>
      </c>
      <c r="H101" s="50">
        <v>40</v>
      </c>
      <c r="I101" s="50">
        <f t="shared" si="7"/>
        <v>1.48</v>
      </c>
      <c r="J101" s="50">
        <v>0.38040000000000002</v>
      </c>
      <c r="K101" s="51">
        <v>78830.259999999995</v>
      </c>
      <c r="L101" s="51">
        <v>127970.31</v>
      </c>
      <c r="M101" s="50">
        <v>15</v>
      </c>
      <c r="N101" s="50">
        <v>25</v>
      </c>
      <c r="O101" s="50" t="s">
        <v>587</v>
      </c>
      <c r="P101" s="50" t="s">
        <v>2739</v>
      </c>
      <c r="Q101" s="50" t="s">
        <v>1676</v>
      </c>
      <c r="R101" s="53" t="s">
        <v>266</v>
      </c>
    </row>
    <row r="102" spans="1:18" ht="15" customHeight="1" x14ac:dyDescent="0.25">
      <c r="A102" s="50" t="s">
        <v>2870</v>
      </c>
      <c r="B102" s="50" t="s">
        <v>1056</v>
      </c>
      <c r="C102" s="50" t="s">
        <v>566</v>
      </c>
      <c r="D102" s="50" t="s">
        <v>656</v>
      </c>
      <c r="E102" s="51">
        <v>216955.35</v>
      </c>
      <c r="F102" s="51">
        <v>3200000</v>
      </c>
      <c r="G102" s="50">
        <f t="shared" si="6"/>
        <v>6.78</v>
      </c>
      <c r="H102" s="50">
        <v>40</v>
      </c>
      <c r="I102" s="50">
        <f t="shared" si="7"/>
        <v>16.95</v>
      </c>
      <c r="J102" s="50">
        <v>0.35389999999999999</v>
      </c>
      <c r="K102" s="51">
        <v>842762.25</v>
      </c>
      <c r="L102" s="51">
        <v>1434348.17</v>
      </c>
      <c r="M102" s="50">
        <v>15</v>
      </c>
      <c r="N102" s="50">
        <v>25</v>
      </c>
      <c r="O102" s="50" t="s">
        <v>587</v>
      </c>
      <c r="P102" s="50" t="s">
        <v>2739</v>
      </c>
      <c r="Q102" s="50" t="s">
        <v>1676</v>
      </c>
      <c r="R102" s="53" t="s">
        <v>266</v>
      </c>
    </row>
    <row r="103" spans="1:18" ht="15" customHeight="1" x14ac:dyDescent="0.25">
      <c r="A103" s="50" t="s">
        <v>2871</v>
      </c>
      <c r="B103" s="50" t="s">
        <v>2455</v>
      </c>
      <c r="C103" s="50" t="s">
        <v>2764</v>
      </c>
      <c r="D103" s="50" t="s">
        <v>608</v>
      </c>
      <c r="E103" s="51">
        <v>97228.95</v>
      </c>
      <c r="F103" s="51">
        <v>3200000</v>
      </c>
      <c r="G103" s="50">
        <f t="shared" si="6"/>
        <v>3.04</v>
      </c>
      <c r="H103" s="50">
        <v>40</v>
      </c>
      <c r="I103" s="50">
        <f t="shared" si="7"/>
        <v>7.6</v>
      </c>
      <c r="J103" s="50">
        <v>0.1578</v>
      </c>
      <c r="K103" s="51">
        <v>503033.39</v>
      </c>
      <c r="L103" s="51">
        <v>826488.88</v>
      </c>
      <c r="M103" s="50">
        <v>15</v>
      </c>
      <c r="N103" s="50">
        <v>25</v>
      </c>
      <c r="O103" s="50" t="s">
        <v>587</v>
      </c>
      <c r="P103" s="50" t="s">
        <v>2739</v>
      </c>
      <c r="Q103" s="50" t="s">
        <v>1676</v>
      </c>
      <c r="R103" s="53" t="s">
        <v>266</v>
      </c>
    </row>
    <row r="104" spans="1:18" ht="15" customHeight="1" x14ac:dyDescent="0.25">
      <c r="A104" s="50" t="s">
        <v>2872</v>
      </c>
      <c r="B104" s="50" t="s">
        <v>1331</v>
      </c>
      <c r="C104" s="50" t="s">
        <v>2744</v>
      </c>
      <c r="D104" s="50" t="s">
        <v>586</v>
      </c>
      <c r="E104" s="51">
        <v>27405.17</v>
      </c>
      <c r="F104" s="51">
        <v>3200000</v>
      </c>
      <c r="G104" s="50">
        <f t="shared" si="6"/>
        <v>0.86</v>
      </c>
      <c r="H104" s="50">
        <v>40</v>
      </c>
      <c r="I104" s="50">
        <f t="shared" si="7"/>
        <v>2.15</v>
      </c>
      <c r="J104" s="50">
        <v>0.27429999999999999</v>
      </c>
      <c r="K104" s="51">
        <v>110167.81</v>
      </c>
      <c r="L104" s="51">
        <v>218801.91</v>
      </c>
      <c r="M104" s="50">
        <v>15</v>
      </c>
      <c r="N104" s="50">
        <v>25</v>
      </c>
      <c r="O104" s="50" t="s">
        <v>587</v>
      </c>
      <c r="P104" s="50" t="s">
        <v>2739</v>
      </c>
      <c r="Q104" s="50" t="s">
        <v>1676</v>
      </c>
      <c r="R104" s="53" t="s">
        <v>266</v>
      </c>
    </row>
    <row r="105" spans="1:18" ht="15" customHeight="1" x14ac:dyDescent="0.25">
      <c r="A105" s="50" t="s">
        <v>2873</v>
      </c>
      <c r="B105" s="50" t="s">
        <v>1902</v>
      </c>
      <c r="C105" s="50" t="s">
        <v>566</v>
      </c>
      <c r="D105" s="50" t="s">
        <v>649</v>
      </c>
      <c r="E105" s="51">
        <v>214236.84</v>
      </c>
      <c r="F105" s="51">
        <v>3200000</v>
      </c>
      <c r="G105" s="50">
        <f t="shared" si="6"/>
        <v>6.69</v>
      </c>
      <c r="H105" s="50">
        <v>40</v>
      </c>
      <c r="I105" s="50">
        <f t="shared" si="7"/>
        <v>16.73</v>
      </c>
      <c r="J105" s="50">
        <v>0.3049</v>
      </c>
      <c r="K105" s="51">
        <v>763554.55</v>
      </c>
      <c r="L105" s="51">
        <v>1612088.03</v>
      </c>
      <c r="M105" s="50">
        <v>15</v>
      </c>
      <c r="N105" s="50">
        <v>25</v>
      </c>
      <c r="O105" s="50" t="s">
        <v>587</v>
      </c>
      <c r="P105" s="50" t="s">
        <v>2739</v>
      </c>
      <c r="Q105" s="50" t="s">
        <v>1676</v>
      </c>
      <c r="R105" s="53" t="s">
        <v>266</v>
      </c>
    </row>
    <row r="106" spans="1:18" ht="15" customHeight="1" x14ac:dyDescent="0.25">
      <c r="A106" s="50" t="s">
        <v>2874</v>
      </c>
      <c r="B106" s="50" t="s">
        <v>1948</v>
      </c>
      <c r="C106" s="50" t="s">
        <v>2742</v>
      </c>
      <c r="D106" s="50" t="s">
        <v>593</v>
      </c>
      <c r="E106" s="51">
        <v>168067.81</v>
      </c>
      <c r="F106" s="51">
        <v>3200000</v>
      </c>
      <c r="G106" s="50">
        <f t="shared" si="6"/>
        <v>5.25</v>
      </c>
      <c r="H106" s="50">
        <v>40</v>
      </c>
      <c r="I106" s="50">
        <f t="shared" si="7"/>
        <v>13.13</v>
      </c>
      <c r="J106" s="50">
        <v>0.21740000000000001</v>
      </c>
      <c r="K106" s="51">
        <v>908139.14</v>
      </c>
      <c r="L106" s="51">
        <v>1619974.25</v>
      </c>
      <c r="M106" s="50">
        <v>15</v>
      </c>
      <c r="N106" s="50">
        <v>25</v>
      </c>
      <c r="O106" s="50" t="s">
        <v>587</v>
      </c>
      <c r="P106" s="50" t="s">
        <v>2739</v>
      </c>
      <c r="Q106" s="50" t="s">
        <v>1676</v>
      </c>
      <c r="R106" s="53" t="s">
        <v>266</v>
      </c>
    </row>
    <row r="107" spans="1:18" ht="15" customHeight="1" x14ac:dyDescent="0.25">
      <c r="A107" s="50" t="s">
        <v>2875</v>
      </c>
      <c r="B107" s="50" t="s">
        <v>2093</v>
      </c>
      <c r="C107" s="50" t="s">
        <v>1227</v>
      </c>
      <c r="D107" s="50" t="s">
        <v>1263</v>
      </c>
      <c r="E107" s="51">
        <v>283403.21999999997</v>
      </c>
      <c r="F107" s="51">
        <v>3200000</v>
      </c>
      <c r="G107" s="50">
        <f t="shared" si="6"/>
        <v>8.86</v>
      </c>
      <c r="H107" s="50">
        <v>40</v>
      </c>
      <c r="I107" s="50">
        <f t="shared" si="7"/>
        <v>22.15</v>
      </c>
      <c r="J107" s="50">
        <v>0.13700000000000001</v>
      </c>
      <c r="K107" s="51">
        <v>1549988.14</v>
      </c>
      <c r="L107" s="51">
        <v>2767652.09</v>
      </c>
      <c r="M107" s="50">
        <v>15</v>
      </c>
      <c r="N107" s="50">
        <v>25</v>
      </c>
      <c r="O107" s="50" t="s">
        <v>587</v>
      </c>
      <c r="P107" s="50" t="s">
        <v>2739</v>
      </c>
      <c r="Q107" s="50" t="s">
        <v>1676</v>
      </c>
      <c r="R107" s="53" t="s">
        <v>266</v>
      </c>
    </row>
    <row r="108" spans="1:18" ht="15" customHeight="1" x14ac:dyDescent="0.25">
      <c r="A108" s="50" t="s">
        <v>2876</v>
      </c>
      <c r="B108" s="50" t="s">
        <v>2840</v>
      </c>
      <c r="C108" s="50" t="s">
        <v>2748</v>
      </c>
      <c r="D108" s="50" t="s">
        <v>674</v>
      </c>
      <c r="E108" s="51">
        <v>164143.93</v>
      </c>
      <c r="F108" s="51">
        <v>3200000</v>
      </c>
      <c r="G108" s="50">
        <f t="shared" si="6"/>
        <v>5.13</v>
      </c>
      <c r="H108" s="50">
        <v>25</v>
      </c>
      <c r="I108" s="50">
        <f t="shared" si="7"/>
        <v>20.52</v>
      </c>
      <c r="J108" s="50">
        <v>0.31019999999999998</v>
      </c>
      <c r="K108" s="51">
        <v>586583.98</v>
      </c>
      <c r="L108" s="51">
        <v>959210.78</v>
      </c>
      <c r="M108" s="50">
        <v>15</v>
      </c>
      <c r="N108" s="50">
        <v>25</v>
      </c>
      <c r="O108" s="50" t="s">
        <v>587</v>
      </c>
      <c r="P108" s="50" t="s">
        <v>2739</v>
      </c>
      <c r="Q108" s="50" t="s">
        <v>1676</v>
      </c>
      <c r="R108" s="53" t="s">
        <v>266</v>
      </c>
    </row>
    <row r="109" spans="1:18" ht="15" customHeight="1" x14ac:dyDescent="0.25">
      <c r="A109" s="50" t="s">
        <v>2877</v>
      </c>
      <c r="B109" s="50" t="s">
        <v>1447</v>
      </c>
      <c r="C109" s="50" t="s">
        <v>2742</v>
      </c>
      <c r="D109" s="50" t="s">
        <v>572</v>
      </c>
      <c r="E109" s="51">
        <v>349387.87</v>
      </c>
      <c r="F109" s="51">
        <v>3200000</v>
      </c>
      <c r="G109" s="50">
        <f t="shared" si="6"/>
        <v>10.92</v>
      </c>
      <c r="H109" s="50">
        <v>40</v>
      </c>
      <c r="I109" s="50">
        <f t="shared" si="7"/>
        <v>27.3</v>
      </c>
      <c r="J109" s="50">
        <v>9.6699999999999994E-2</v>
      </c>
      <c r="K109" s="51">
        <v>1727911.5</v>
      </c>
      <c r="L109" s="51">
        <v>3057513.75</v>
      </c>
      <c r="M109" s="50">
        <v>15</v>
      </c>
      <c r="N109" s="50">
        <v>25</v>
      </c>
      <c r="O109" s="50" t="s">
        <v>587</v>
      </c>
      <c r="P109" s="50" t="s">
        <v>2739</v>
      </c>
      <c r="Q109" s="50" t="s">
        <v>1676</v>
      </c>
      <c r="R109" s="53" t="s">
        <v>266</v>
      </c>
    </row>
    <row r="110" spans="1:18" ht="15" customHeight="1" x14ac:dyDescent="0.25">
      <c r="A110" s="50" t="s">
        <v>2878</v>
      </c>
      <c r="B110" s="50" t="s">
        <v>1825</v>
      </c>
      <c r="C110" s="50" t="s">
        <v>2738</v>
      </c>
      <c r="D110" s="50" t="s">
        <v>2178</v>
      </c>
      <c r="E110" s="51">
        <v>252930.97</v>
      </c>
      <c r="F110" s="51">
        <v>3200000</v>
      </c>
      <c r="G110" s="50">
        <f t="shared" si="6"/>
        <v>7.9</v>
      </c>
      <c r="H110" s="50">
        <v>40</v>
      </c>
      <c r="I110" s="50">
        <f t="shared" si="7"/>
        <v>19.75</v>
      </c>
      <c r="J110" s="50">
        <v>0.21110000000000001</v>
      </c>
      <c r="K110" s="51">
        <v>947286.43</v>
      </c>
      <c r="L110" s="51">
        <v>1881866.54</v>
      </c>
      <c r="M110" s="50">
        <v>15</v>
      </c>
      <c r="N110" s="50">
        <v>25</v>
      </c>
      <c r="O110" s="50" t="s">
        <v>587</v>
      </c>
      <c r="P110" s="50" t="s">
        <v>2739</v>
      </c>
      <c r="Q110" s="50" t="s">
        <v>1676</v>
      </c>
      <c r="R110" s="53" t="s">
        <v>266</v>
      </c>
    </row>
    <row r="111" spans="1:18" ht="15" customHeight="1" x14ac:dyDescent="0.25">
      <c r="A111" s="50" t="s">
        <v>2879</v>
      </c>
      <c r="B111" s="50" t="s">
        <v>1797</v>
      </c>
      <c r="C111" s="50" t="s">
        <v>2744</v>
      </c>
      <c r="D111" s="50" t="s">
        <v>586</v>
      </c>
      <c r="E111" s="51">
        <v>313978.43</v>
      </c>
      <c r="F111" s="51">
        <v>3200000</v>
      </c>
      <c r="G111" s="50">
        <f t="shared" si="6"/>
        <v>9.81</v>
      </c>
      <c r="H111" s="50">
        <v>40</v>
      </c>
      <c r="I111" s="50">
        <f t="shared" si="7"/>
        <v>24.53</v>
      </c>
      <c r="J111" s="50">
        <v>0.2928</v>
      </c>
      <c r="K111" s="51">
        <v>1327632.25</v>
      </c>
      <c r="L111" s="51">
        <v>2435510.25</v>
      </c>
      <c r="M111" s="50">
        <v>15</v>
      </c>
      <c r="N111" s="50">
        <v>25</v>
      </c>
      <c r="O111" s="50" t="s">
        <v>587</v>
      </c>
      <c r="P111" s="50" t="s">
        <v>2739</v>
      </c>
      <c r="Q111" s="50" t="s">
        <v>1676</v>
      </c>
      <c r="R111" s="53" t="s">
        <v>266</v>
      </c>
    </row>
    <row r="112" spans="1:18" ht="15" customHeight="1" x14ac:dyDescent="0.25">
      <c r="A112" s="50" t="s">
        <v>2880</v>
      </c>
      <c r="B112" s="50" t="s">
        <v>1917</v>
      </c>
      <c r="C112" s="50" t="s">
        <v>566</v>
      </c>
      <c r="D112" s="50" t="s">
        <v>656</v>
      </c>
      <c r="E112" s="51">
        <v>15825.93</v>
      </c>
      <c r="F112" s="51">
        <v>3200000</v>
      </c>
      <c r="G112" s="50">
        <f t="shared" si="6"/>
        <v>0.49</v>
      </c>
      <c r="H112" s="50">
        <v>40</v>
      </c>
      <c r="I112" s="50">
        <f t="shared" si="7"/>
        <v>1.23</v>
      </c>
      <c r="J112" s="50">
        <v>0.36559999999999998</v>
      </c>
      <c r="K112" s="51">
        <v>63372.78</v>
      </c>
      <c r="L112" s="51">
        <v>108490.24000000001</v>
      </c>
      <c r="M112" s="50">
        <v>15</v>
      </c>
      <c r="N112" s="50">
        <v>25</v>
      </c>
      <c r="O112" s="50" t="s">
        <v>587</v>
      </c>
      <c r="P112" s="50" t="s">
        <v>2739</v>
      </c>
      <c r="Q112" s="50" t="s">
        <v>1676</v>
      </c>
      <c r="R112" s="53" t="s">
        <v>266</v>
      </c>
    </row>
    <row r="113" spans="1:18" ht="15" customHeight="1" x14ac:dyDescent="0.25">
      <c r="A113" s="50" t="s">
        <v>2881</v>
      </c>
      <c r="B113" s="50" t="s">
        <v>1415</v>
      </c>
      <c r="C113" s="50" t="s">
        <v>2764</v>
      </c>
      <c r="D113" s="50" t="s">
        <v>585</v>
      </c>
      <c r="E113" s="51">
        <v>338460.62</v>
      </c>
      <c r="F113" s="51">
        <v>3200000</v>
      </c>
      <c r="G113" s="50">
        <f t="shared" si="6"/>
        <v>10.58</v>
      </c>
      <c r="H113" s="50">
        <v>40</v>
      </c>
      <c r="I113" s="50">
        <f t="shared" si="7"/>
        <v>26.45</v>
      </c>
      <c r="J113" s="50">
        <v>0.34</v>
      </c>
      <c r="K113" s="51">
        <v>1768507.1</v>
      </c>
      <c r="L113" s="51">
        <v>3306696.83</v>
      </c>
      <c r="M113" s="50">
        <v>15</v>
      </c>
      <c r="N113" s="50">
        <v>25</v>
      </c>
      <c r="O113" s="50" t="s">
        <v>587</v>
      </c>
      <c r="P113" s="50" t="s">
        <v>2739</v>
      </c>
      <c r="Q113" s="50" t="s">
        <v>1676</v>
      </c>
      <c r="R113" s="53" t="s">
        <v>266</v>
      </c>
    </row>
    <row r="114" spans="1:18" ht="15" customHeight="1" x14ac:dyDescent="0.25">
      <c r="A114" s="50" t="s">
        <v>2882</v>
      </c>
      <c r="B114" s="50" t="s">
        <v>2840</v>
      </c>
      <c r="C114" s="50" t="s">
        <v>1227</v>
      </c>
      <c r="D114" s="50" t="s">
        <v>1295</v>
      </c>
      <c r="E114" s="51">
        <v>335532.46000000002</v>
      </c>
      <c r="F114" s="51">
        <v>3200000</v>
      </c>
      <c r="G114" s="50">
        <f t="shared" si="6"/>
        <v>10.49</v>
      </c>
      <c r="H114" s="50">
        <v>40</v>
      </c>
      <c r="I114" s="50">
        <f t="shared" si="7"/>
        <v>26.23</v>
      </c>
      <c r="J114" s="50">
        <v>0.3281</v>
      </c>
      <c r="K114" s="51">
        <v>1756937.79</v>
      </c>
      <c r="L114" s="51">
        <v>3005026.21</v>
      </c>
      <c r="M114" s="50">
        <v>15</v>
      </c>
      <c r="N114" s="50">
        <v>25</v>
      </c>
      <c r="O114" s="50" t="s">
        <v>587</v>
      </c>
      <c r="P114" s="50" t="s">
        <v>2739</v>
      </c>
      <c r="Q114" s="50" t="s">
        <v>1676</v>
      </c>
      <c r="R114" s="53" t="s">
        <v>266</v>
      </c>
    </row>
    <row r="115" spans="1:18" ht="15" customHeight="1" x14ac:dyDescent="0.25">
      <c r="A115" s="50" t="s">
        <v>2883</v>
      </c>
      <c r="B115" s="50" t="s">
        <v>863</v>
      </c>
      <c r="C115" s="50" t="s">
        <v>2744</v>
      </c>
      <c r="D115" s="50" t="s">
        <v>2755</v>
      </c>
      <c r="E115" s="51">
        <v>37159.64</v>
      </c>
      <c r="F115" s="51">
        <v>3200000</v>
      </c>
      <c r="G115" s="50">
        <f t="shared" si="6"/>
        <v>1.1599999999999999</v>
      </c>
      <c r="H115" s="50">
        <v>40</v>
      </c>
      <c r="I115" s="50">
        <f t="shared" si="7"/>
        <v>2.9</v>
      </c>
      <c r="J115" s="50">
        <v>0.37390000000000001</v>
      </c>
      <c r="K115" s="51">
        <v>154922.72</v>
      </c>
      <c r="L115" s="51">
        <v>251782.77</v>
      </c>
      <c r="M115" s="50">
        <v>15</v>
      </c>
      <c r="N115" s="50">
        <v>25</v>
      </c>
      <c r="O115" s="50" t="s">
        <v>587</v>
      </c>
      <c r="P115" s="50" t="s">
        <v>2739</v>
      </c>
      <c r="Q115" s="50" t="s">
        <v>1676</v>
      </c>
      <c r="R115" s="53" t="s">
        <v>266</v>
      </c>
    </row>
    <row r="116" spans="1:18" ht="15" customHeight="1" x14ac:dyDescent="0.25">
      <c r="A116" s="50" t="s">
        <v>2884</v>
      </c>
      <c r="B116" s="50" t="s">
        <v>881</v>
      </c>
      <c r="C116" s="50" t="s">
        <v>2748</v>
      </c>
      <c r="D116" s="50" t="s">
        <v>625</v>
      </c>
      <c r="E116" s="51">
        <v>213353.03</v>
      </c>
      <c r="F116" s="51">
        <v>3200000</v>
      </c>
      <c r="G116" s="50">
        <f t="shared" si="6"/>
        <v>6.67</v>
      </c>
      <c r="H116" s="50">
        <v>25</v>
      </c>
      <c r="I116" s="50">
        <f t="shared" si="7"/>
        <v>26.68</v>
      </c>
      <c r="J116" s="50">
        <v>0.40410000000000001</v>
      </c>
      <c r="K116" s="51">
        <v>1133888.96</v>
      </c>
      <c r="L116" s="51">
        <v>2304596.0099999998</v>
      </c>
      <c r="M116" s="50">
        <v>15</v>
      </c>
      <c r="N116" s="50">
        <v>25</v>
      </c>
      <c r="O116" s="50" t="s">
        <v>587</v>
      </c>
      <c r="P116" s="50" t="s">
        <v>2739</v>
      </c>
      <c r="Q116" s="50" t="s">
        <v>1676</v>
      </c>
      <c r="R116" s="53" t="s">
        <v>266</v>
      </c>
    </row>
    <row r="117" spans="1:18" ht="15" customHeight="1" x14ac:dyDescent="0.25">
      <c r="A117" s="50" t="s">
        <v>2885</v>
      </c>
      <c r="B117" s="50" t="s">
        <v>1391</v>
      </c>
      <c r="C117" s="50" t="s">
        <v>565</v>
      </c>
      <c r="D117" s="50" t="s">
        <v>620</v>
      </c>
      <c r="E117" s="51">
        <v>222880.6</v>
      </c>
      <c r="F117" s="51">
        <v>3200000</v>
      </c>
      <c r="G117" s="50">
        <f t="shared" si="6"/>
        <v>6.97</v>
      </c>
      <c r="H117" s="50">
        <v>40</v>
      </c>
      <c r="I117" s="50">
        <f t="shared" si="7"/>
        <v>17.43</v>
      </c>
      <c r="J117" s="50">
        <v>0.31319999999999998</v>
      </c>
      <c r="K117" s="51">
        <v>1136784.06</v>
      </c>
      <c r="L117" s="51">
        <v>2073283.06</v>
      </c>
      <c r="M117" s="50">
        <v>15</v>
      </c>
      <c r="N117" s="50">
        <v>25</v>
      </c>
      <c r="O117" s="50" t="s">
        <v>587</v>
      </c>
      <c r="P117" s="50" t="s">
        <v>2739</v>
      </c>
      <c r="Q117" s="50" t="s">
        <v>1676</v>
      </c>
      <c r="R117" s="53" t="s">
        <v>266</v>
      </c>
    </row>
    <row r="118" spans="1:18" ht="15" customHeight="1" x14ac:dyDescent="0.25">
      <c r="A118" s="50" t="s">
        <v>2886</v>
      </c>
      <c r="B118" s="50" t="s">
        <v>2887</v>
      </c>
      <c r="C118" s="50" t="s">
        <v>566</v>
      </c>
      <c r="D118" s="50" t="s">
        <v>649</v>
      </c>
      <c r="E118" s="51">
        <v>271190.96999999997</v>
      </c>
      <c r="F118" s="51">
        <v>3200000</v>
      </c>
      <c r="G118" s="50">
        <f t="shared" si="6"/>
        <v>8.4700000000000006</v>
      </c>
      <c r="H118" s="50">
        <v>40</v>
      </c>
      <c r="I118" s="50">
        <f t="shared" si="7"/>
        <v>21.18</v>
      </c>
      <c r="J118" s="50">
        <v>0.40860000000000002</v>
      </c>
      <c r="K118" s="51">
        <v>1058574.01</v>
      </c>
      <c r="L118" s="51">
        <v>1787596.47</v>
      </c>
      <c r="M118" s="50">
        <v>15</v>
      </c>
      <c r="N118" s="50">
        <v>25</v>
      </c>
      <c r="O118" s="50" t="s">
        <v>587</v>
      </c>
      <c r="P118" s="50" t="s">
        <v>2739</v>
      </c>
      <c r="Q118" s="50" t="s">
        <v>1676</v>
      </c>
      <c r="R118" s="53" t="s">
        <v>266</v>
      </c>
    </row>
    <row r="119" spans="1:18" ht="15" customHeight="1" x14ac:dyDescent="0.25">
      <c r="A119" s="50" t="s">
        <v>2888</v>
      </c>
      <c r="B119" s="50" t="s">
        <v>635</v>
      </c>
      <c r="C119" s="50" t="s">
        <v>2744</v>
      </c>
      <c r="D119" s="50" t="s">
        <v>2745</v>
      </c>
      <c r="E119" s="51">
        <v>139788.12</v>
      </c>
      <c r="F119" s="51">
        <v>3200000</v>
      </c>
      <c r="G119" s="50">
        <f t="shared" si="6"/>
        <v>4.37</v>
      </c>
      <c r="H119" s="50">
        <v>40</v>
      </c>
      <c r="I119" s="50">
        <f t="shared" si="7"/>
        <v>10.93</v>
      </c>
      <c r="J119" s="50">
        <v>0.24560000000000001</v>
      </c>
      <c r="K119" s="51">
        <v>654344.78</v>
      </c>
      <c r="L119" s="51">
        <v>1410732.62</v>
      </c>
      <c r="M119" s="50">
        <v>15</v>
      </c>
      <c r="N119" s="50">
        <v>25</v>
      </c>
      <c r="O119" s="50" t="s">
        <v>587</v>
      </c>
      <c r="P119" s="50" t="s">
        <v>2739</v>
      </c>
      <c r="Q119" s="50" t="s">
        <v>1676</v>
      </c>
      <c r="R119" s="53" t="s">
        <v>266</v>
      </c>
    </row>
    <row r="120" spans="1:18" ht="15" customHeight="1" x14ac:dyDescent="0.25">
      <c r="A120" s="50" t="s">
        <v>2889</v>
      </c>
      <c r="B120" s="50" t="s">
        <v>1317</v>
      </c>
      <c r="C120" s="50" t="s">
        <v>1227</v>
      </c>
      <c r="D120" s="50" t="s">
        <v>1269</v>
      </c>
      <c r="E120" s="51">
        <v>161958.60999999999</v>
      </c>
      <c r="F120" s="51">
        <v>3200000</v>
      </c>
      <c r="G120" s="50">
        <f t="shared" si="6"/>
        <v>5.0599999999999996</v>
      </c>
      <c r="H120" s="50">
        <v>40</v>
      </c>
      <c r="I120" s="50">
        <f t="shared" si="7"/>
        <v>12.65</v>
      </c>
      <c r="J120" s="50">
        <v>0.31609999999999999</v>
      </c>
      <c r="K120" s="51">
        <v>744077.75</v>
      </c>
      <c r="L120" s="51">
        <v>1431066.4</v>
      </c>
      <c r="M120" s="50">
        <v>15</v>
      </c>
      <c r="N120" s="50">
        <v>25</v>
      </c>
      <c r="O120" s="50" t="s">
        <v>587</v>
      </c>
      <c r="P120" s="50" t="s">
        <v>2739</v>
      </c>
      <c r="Q120" s="50" t="s">
        <v>1676</v>
      </c>
      <c r="R120" s="53" t="s">
        <v>266</v>
      </c>
    </row>
    <row r="121" spans="1:18" ht="15" customHeight="1" x14ac:dyDescent="0.25">
      <c r="A121" s="50" t="s">
        <v>2890</v>
      </c>
      <c r="B121" s="50" t="s">
        <v>2557</v>
      </c>
      <c r="C121" s="50" t="s">
        <v>565</v>
      </c>
      <c r="D121" s="50" t="s">
        <v>680</v>
      </c>
      <c r="E121" s="51">
        <v>119748.87</v>
      </c>
      <c r="F121" s="51">
        <v>3200000</v>
      </c>
      <c r="G121" s="50">
        <f t="shared" si="6"/>
        <v>3.74</v>
      </c>
      <c r="H121" s="50">
        <v>40</v>
      </c>
      <c r="I121" s="50">
        <f t="shared" si="7"/>
        <v>9.35</v>
      </c>
      <c r="J121" s="50">
        <v>0.20069999999999999</v>
      </c>
      <c r="K121" s="51">
        <v>569296.36</v>
      </c>
      <c r="L121" s="51">
        <v>1181348.57</v>
      </c>
      <c r="M121" s="50">
        <v>15</v>
      </c>
      <c r="N121" s="50">
        <v>25</v>
      </c>
      <c r="O121" s="50" t="s">
        <v>587</v>
      </c>
      <c r="P121" s="50" t="s">
        <v>2739</v>
      </c>
      <c r="Q121" s="50" t="s">
        <v>1676</v>
      </c>
      <c r="R121" s="53" t="s">
        <v>266</v>
      </c>
    </row>
    <row r="122" spans="1:18" ht="15" customHeight="1" x14ac:dyDescent="0.25">
      <c r="A122" s="50" t="s">
        <v>2891</v>
      </c>
      <c r="B122" s="50" t="s">
        <v>2479</v>
      </c>
      <c r="C122" s="50" t="s">
        <v>1227</v>
      </c>
      <c r="D122" s="50" t="s">
        <v>1263</v>
      </c>
      <c r="E122" s="51">
        <v>320366.3</v>
      </c>
      <c r="F122" s="51">
        <v>3200000</v>
      </c>
      <c r="G122" s="50">
        <f t="shared" si="6"/>
        <v>10.01</v>
      </c>
      <c r="H122" s="50">
        <v>40</v>
      </c>
      <c r="I122" s="50">
        <f t="shared" si="7"/>
        <v>25.03</v>
      </c>
      <c r="J122" s="50">
        <v>0.2752</v>
      </c>
      <c r="K122" s="51">
        <v>1269256.19</v>
      </c>
      <c r="L122" s="51">
        <v>2270836.06</v>
      </c>
      <c r="M122" s="50">
        <v>15</v>
      </c>
      <c r="N122" s="50">
        <v>25</v>
      </c>
      <c r="O122" s="50" t="s">
        <v>587</v>
      </c>
      <c r="P122" s="50" t="s">
        <v>2739</v>
      </c>
      <c r="Q122" s="50" t="s">
        <v>1676</v>
      </c>
      <c r="R122" s="53" t="s">
        <v>266</v>
      </c>
    </row>
    <row r="123" spans="1:18" ht="15" customHeight="1" x14ac:dyDescent="0.25">
      <c r="A123" s="50" t="s">
        <v>2892</v>
      </c>
      <c r="B123" s="50" t="s">
        <v>1506</v>
      </c>
      <c r="C123" s="50" t="s">
        <v>2748</v>
      </c>
      <c r="D123" s="50" t="s">
        <v>614</v>
      </c>
      <c r="E123" s="51">
        <v>96321.67</v>
      </c>
      <c r="F123" s="51">
        <v>3200000</v>
      </c>
      <c r="G123" s="50">
        <f t="shared" si="6"/>
        <v>3.01</v>
      </c>
      <c r="H123" s="50">
        <v>25</v>
      </c>
      <c r="I123" s="50">
        <f t="shared" si="7"/>
        <v>12.04</v>
      </c>
      <c r="J123" s="50">
        <v>0.37990000000000002</v>
      </c>
      <c r="K123" s="51">
        <v>501289.7</v>
      </c>
      <c r="L123" s="51">
        <v>1047716.41</v>
      </c>
      <c r="M123" s="50">
        <v>15</v>
      </c>
      <c r="N123" s="50">
        <v>25</v>
      </c>
      <c r="O123" s="50" t="s">
        <v>587</v>
      </c>
      <c r="P123" s="50" t="s">
        <v>2739</v>
      </c>
      <c r="Q123" s="50" t="s">
        <v>1676</v>
      </c>
      <c r="R123" s="53" t="s">
        <v>266</v>
      </c>
    </row>
    <row r="124" spans="1:18" ht="15" customHeight="1" x14ac:dyDescent="0.25">
      <c r="A124" s="50" t="s">
        <v>2893</v>
      </c>
      <c r="B124" s="50" t="s">
        <v>1124</v>
      </c>
      <c r="C124" s="50" t="s">
        <v>2744</v>
      </c>
      <c r="D124" s="50" t="s">
        <v>2755</v>
      </c>
      <c r="E124" s="51">
        <v>96551.24</v>
      </c>
      <c r="F124" s="51">
        <v>3200000</v>
      </c>
      <c r="G124" s="50">
        <f t="shared" si="6"/>
        <v>3.02</v>
      </c>
      <c r="H124" s="50">
        <v>40</v>
      </c>
      <c r="I124" s="50">
        <f t="shared" si="7"/>
        <v>7.55</v>
      </c>
      <c r="J124" s="50">
        <v>0.24640000000000001</v>
      </c>
      <c r="K124" s="51">
        <v>345758.52</v>
      </c>
      <c r="L124" s="51">
        <v>750712.68</v>
      </c>
      <c r="M124" s="50">
        <v>15</v>
      </c>
      <c r="N124" s="50">
        <v>25</v>
      </c>
      <c r="O124" s="50" t="s">
        <v>587</v>
      </c>
      <c r="P124" s="50" t="s">
        <v>2739</v>
      </c>
      <c r="Q124" s="50" t="s">
        <v>1676</v>
      </c>
      <c r="R124" s="53" t="s">
        <v>266</v>
      </c>
    </row>
    <row r="125" spans="1:18" ht="15" customHeight="1" x14ac:dyDescent="0.25">
      <c r="A125" s="50" t="s">
        <v>2894</v>
      </c>
      <c r="B125" s="50" t="s">
        <v>2895</v>
      </c>
      <c r="C125" s="50" t="s">
        <v>2748</v>
      </c>
      <c r="D125" s="50" t="s">
        <v>614</v>
      </c>
      <c r="E125" s="51">
        <v>5776.39</v>
      </c>
      <c r="F125" s="51">
        <v>3200000</v>
      </c>
      <c r="G125" s="50">
        <f t="shared" si="6"/>
        <v>0.18</v>
      </c>
      <c r="H125" s="50">
        <v>25</v>
      </c>
      <c r="I125" s="50">
        <f t="shared" si="7"/>
        <v>0.72</v>
      </c>
      <c r="J125" s="50">
        <v>6.7699999999999996E-2</v>
      </c>
      <c r="K125" s="51">
        <v>21096.6</v>
      </c>
      <c r="L125" s="51">
        <v>43922.49</v>
      </c>
      <c r="M125" s="50">
        <v>15</v>
      </c>
      <c r="N125" s="50">
        <v>25</v>
      </c>
      <c r="O125" s="50" t="s">
        <v>587</v>
      </c>
      <c r="P125" s="50" t="s">
        <v>2739</v>
      </c>
      <c r="Q125" s="50" t="s">
        <v>1676</v>
      </c>
      <c r="R125" s="53" t="s">
        <v>266</v>
      </c>
    </row>
    <row r="126" spans="1:18" ht="15" customHeight="1" x14ac:dyDescent="0.25">
      <c r="A126" s="50" t="s">
        <v>2896</v>
      </c>
      <c r="B126" s="50" t="s">
        <v>2897</v>
      </c>
      <c r="C126" s="50" t="s">
        <v>1227</v>
      </c>
      <c r="D126" s="50" t="s">
        <v>1269</v>
      </c>
      <c r="E126" s="51">
        <v>178104.38</v>
      </c>
      <c r="F126" s="51">
        <v>3200000</v>
      </c>
      <c r="G126" s="50">
        <f t="shared" si="6"/>
        <v>5.57</v>
      </c>
      <c r="H126" s="50">
        <v>40</v>
      </c>
      <c r="I126" s="50">
        <f t="shared" si="7"/>
        <v>13.93</v>
      </c>
      <c r="J126" s="50">
        <v>0.40250000000000002</v>
      </c>
      <c r="K126" s="51">
        <v>906419.4</v>
      </c>
      <c r="L126" s="51">
        <v>1798346.78</v>
      </c>
      <c r="M126" s="50">
        <v>15</v>
      </c>
      <c r="N126" s="50">
        <v>25</v>
      </c>
      <c r="O126" s="50" t="s">
        <v>587</v>
      </c>
      <c r="P126" s="50" t="s">
        <v>2739</v>
      </c>
      <c r="Q126" s="50" t="s">
        <v>1676</v>
      </c>
      <c r="R126" s="53" t="s">
        <v>266</v>
      </c>
    </row>
    <row r="127" spans="1:18" ht="15" customHeight="1" x14ac:dyDescent="0.25">
      <c r="A127" s="50" t="s">
        <v>2898</v>
      </c>
      <c r="B127" s="50" t="s">
        <v>1009</v>
      </c>
      <c r="C127" s="50" t="s">
        <v>565</v>
      </c>
      <c r="D127" s="50" t="s">
        <v>604</v>
      </c>
      <c r="E127" s="51">
        <v>346159.59</v>
      </c>
      <c r="F127" s="51">
        <v>3200000</v>
      </c>
      <c r="G127" s="50">
        <f t="shared" si="6"/>
        <v>10.82</v>
      </c>
      <c r="H127" s="50">
        <v>40</v>
      </c>
      <c r="I127" s="50">
        <f t="shared" si="7"/>
        <v>27.05</v>
      </c>
      <c r="J127" s="50">
        <v>0.129</v>
      </c>
      <c r="K127" s="51">
        <v>1669381.34</v>
      </c>
      <c r="L127" s="51">
        <v>2959035.66</v>
      </c>
      <c r="M127" s="50">
        <v>15</v>
      </c>
      <c r="N127" s="50">
        <v>25</v>
      </c>
      <c r="O127" s="50" t="s">
        <v>587</v>
      </c>
      <c r="P127" s="50" t="s">
        <v>2739</v>
      </c>
      <c r="Q127" s="50" t="s">
        <v>1676</v>
      </c>
      <c r="R127" s="53" t="s">
        <v>266</v>
      </c>
    </row>
    <row r="128" spans="1:18" ht="15" customHeight="1" x14ac:dyDescent="0.25">
      <c r="A128" s="50" t="s">
        <v>2899</v>
      </c>
      <c r="B128" s="50" t="s">
        <v>619</v>
      </c>
      <c r="C128" s="50" t="s">
        <v>2748</v>
      </c>
      <c r="D128" s="50" t="s">
        <v>614</v>
      </c>
      <c r="E128" s="51">
        <v>198460.38</v>
      </c>
      <c r="F128" s="51">
        <v>3200000</v>
      </c>
      <c r="G128" s="50">
        <f t="shared" si="6"/>
        <v>6.2</v>
      </c>
      <c r="H128" s="50">
        <v>25</v>
      </c>
      <c r="I128" s="50">
        <f t="shared" si="7"/>
        <v>24.8</v>
      </c>
      <c r="J128" s="50">
        <v>0.1716</v>
      </c>
      <c r="K128" s="51">
        <v>910958.25</v>
      </c>
      <c r="L128" s="51">
        <v>1566988.7</v>
      </c>
      <c r="M128" s="50">
        <v>15</v>
      </c>
      <c r="N128" s="50">
        <v>25</v>
      </c>
      <c r="O128" s="50" t="s">
        <v>587</v>
      </c>
      <c r="P128" s="50" t="s">
        <v>2739</v>
      </c>
      <c r="Q128" s="50" t="s">
        <v>1676</v>
      </c>
      <c r="R128" s="53" t="s">
        <v>266</v>
      </c>
    </row>
    <row r="129" spans="1:18" ht="15" customHeight="1" x14ac:dyDescent="0.25">
      <c r="A129" s="50" t="s">
        <v>2900</v>
      </c>
      <c r="B129" s="50" t="s">
        <v>1907</v>
      </c>
      <c r="C129" s="50" t="s">
        <v>566</v>
      </c>
      <c r="D129" s="50" t="s">
        <v>644</v>
      </c>
      <c r="E129" s="51">
        <v>228160.83</v>
      </c>
      <c r="F129" s="51">
        <v>3200000</v>
      </c>
      <c r="G129" s="50">
        <f t="shared" si="6"/>
        <v>7.13</v>
      </c>
      <c r="H129" s="50">
        <v>40</v>
      </c>
      <c r="I129" s="50">
        <f t="shared" si="7"/>
        <v>17.829999999999998</v>
      </c>
      <c r="J129" s="50">
        <v>0.4002</v>
      </c>
      <c r="K129" s="51">
        <v>808004.61</v>
      </c>
      <c r="L129" s="51">
        <v>1355772.34</v>
      </c>
      <c r="M129" s="50">
        <v>15</v>
      </c>
      <c r="N129" s="50">
        <v>25</v>
      </c>
      <c r="O129" s="50" t="s">
        <v>587</v>
      </c>
      <c r="P129" s="50" t="s">
        <v>2739</v>
      </c>
      <c r="Q129" s="50" t="s">
        <v>1676</v>
      </c>
      <c r="R129" s="53" t="s">
        <v>266</v>
      </c>
    </row>
    <row r="130" spans="1:18" ht="15" customHeight="1" x14ac:dyDescent="0.25">
      <c r="A130" s="50" t="s">
        <v>2901</v>
      </c>
      <c r="B130" s="50" t="s">
        <v>1423</v>
      </c>
      <c r="C130" s="50" t="s">
        <v>2742</v>
      </c>
      <c r="D130" s="50" t="s">
        <v>593</v>
      </c>
      <c r="E130" s="51">
        <v>105849.24</v>
      </c>
      <c r="F130" s="51">
        <v>3200000</v>
      </c>
      <c r="G130" s="50">
        <f t="shared" si="6"/>
        <v>3.31</v>
      </c>
      <c r="H130" s="50">
        <v>40</v>
      </c>
      <c r="I130" s="50">
        <f t="shared" si="7"/>
        <v>8.2799999999999994</v>
      </c>
      <c r="J130" s="50">
        <v>0.14510000000000001</v>
      </c>
      <c r="K130" s="51">
        <v>404738.17</v>
      </c>
      <c r="L130" s="51">
        <v>751141.28</v>
      </c>
      <c r="M130" s="50">
        <v>15</v>
      </c>
      <c r="N130" s="50">
        <v>25</v>
      </c>
      <c r="O130" s="50" t="s">
        <v>587</v>
      </c>
      <c r="P130" s="50" t="s">
        <v>2739</v>
      </c>
      <c r="Q130" s="50" t="s">
        <v>1676</v>
      </c>
      <c r="R130" s="53" t="s">
        <v>266</v>
      </c>
    </row>
    <row r="131" spans="1:18" ht="15" customHeight="1" x14ac:dyDescent="0.25">
      <c r="A131" s="50" t="s">
        <v>2902</v>
      </c>
      <c r="B131" s="50" t="s">
        <v>2397</v>
      </c>
      <c r="C131" s="50" t="s">
        <v>2738</v>
      </c>
      <c r="D131" s="50" t="s">
        <v>2815</v>
      </c>
      <c r="E131" s="51">
        <v>268956.98</v>
      </c>
      <c r="F131" s="51">
        <v>3200000</v>
      </c>
      <c r="G131" s="50">
        <f t="shared" ref="G131:G162" si="8">ROUND(E131/F131*100,2)</f>
        <v>8.4</v>
      </c>
      <c r="H131" s="50">
        <v>40</v>
      </c>
      <c r="I131" s="50">
        <f t="shared" ref="I131:I162" si="9">ROUND(G131/H131*100,2)</f>
        <v>21</v>
      </c>
      <c r="J131" s="50">
        <v>0.15679999999999999</v>
      </c>
      <c r="K131" s="51">
        <v>1478125.75</v>
      </c>
      <c r="L131" s="51">
        <v>2978326.56</v>
      </c>
      <c r="M131" s="50">
        <v>15</v>
      </c>
      <c r="N131" s="50">
        <v>25</v>
      </c>
      <c r="O131" s="50" t="s">
        <v>587</v>
      </c>
      <c r="P131" s="50" t="s">
        <v>2739</v>
      </c>
      <c r="Q131" s="50" t="s">
        <v>1676</v>
      </c>
      <c r="R131" s="53" t="s">
        <v>266</v>
      </c>
    </row>
    <row r="132" spans="1:18" ht="15" customHeight="1" x14ac:dyDescent="0.25">
      <c r="A132" s="50" t="s">
        <v>2903</v>
      </c>
      <c r="B132" s="50" t="s">
        <v>2904</v>
      </c>
      <c r="C132" s="50" t="s">
        <v>566</v>
      </c>
      <c r="D132" s="50" t="s">
        <v>630</v>
      </c>
      <c r="E132" s="51">
        <v>344070.69</v>
      </c>
      <c r="F132" s="51">
        <v>3200000</v>
      </c>
      <c r="G132" s="50">
        <f t="shared" si="8"/>
        <v>10.75</v>
      </c>
      <c r="H132" s="50">
        <v>40</v>
      </c>
      <c r="I132" s="50">
        <f t="shared" si="9"/>
        <v>26.88</v>
      </c>
      <c r="J132" s="50">
        <v>0.37309999999999999</v>
      </c>
      <c r="K132" s="51">
        <v>1791252.85</v>
      </c>
      <c r="L132" s="51">
        <v>2869581.57</v>
      </c>
      <c r="M132" s="50">
        <v>15</v>
      </c>
      <c r="N132" s="50">
        <v>25</v>
      </c>
      <c r="O132" s="50" t="s">
        <v>587</v>
      </c>
      <c r="P132" s="50" t="s">
        <v>2739</v>
      </c>
      <c r="Q132" s="50" t="s">
        <v>1676</v>
      </c>
      <c r="R132" s="53" t="s">
        <v>266</v>
      </c>
    </row>
    <row r="133" spans="1:18" ht="15" customHeight="1" x14ac:dyDescent="0.25">
      <c r="A133" s="50" t="s">
        <v>2905</v>
      </c>
      <c r="B133" s="50" t="s">
        <v>2906</v>
      </c>
      <c r="C133" s="50" t="s">
        <v>566</v>
      </c>
      <c r="D133" s="50" t="s">
        <v>667</v>
      </c>
      <c r="E133" s="51">
        <v>337974.57</v>
      </c>
      <c r="F133" s="51">
        <v>3200000</v>
      </c>
      <c r="G133" s="50">
        <f t="shared" si="8"/>
        <v>10.56</v>
      </c>
      <c r="H133" s="50">
        <v>40</v>
      </c>
      <c r="I133" s="50">
        <f t="shared" si="9"/>
        <v>26.4</v>
      </c>
      <c r="J133" s="50">
        <v>9.1899999999999996E-2</v>
      </c>
      <c r="K133" s="51">
        <v>1487961.16</v>
      </c>
      <c r="L133" s="51">
        <v>2489155.7999999998</v>
      </c>
      <c r="M133" s="50">
        <v>15</v>
      </c>
      <c r="N133" s="50">
        <v>25</v>
      </c>
      <c r="O133" s="50" t="s">
        <v>587</v>
      </c>
      <c r="P133" s="50" t="s">
        <v>2739</v>
      </c>
      <c r="Q133" s="50" t="s">
        <v>1676</v>
      </c>
      <c r="R133" s="53" t="s">
        <v>266</v>
      </c>
    </row>
    <row r="134" spans="1:18" ht="15" customHeight="1" x14ac:dyDescent="0.25">
      <c r="A134" s="50" t="s">
        <v>2907</v>
      </c>
      <c r="B134" s="50" t="s">
        <v>1517</v>
      </c>
      <c r="C134" s="50" t="s">
        <v>2764</v>
      </c>
      <c r="D134" s="50" t="s">
        <v>601</v>
      </c>
      <c r="E134" s="51">
        <v>47123.64</v>
      </c>
      <c r="F134" s="51">
        <v>3200000</v>
      </c>
      <c r="G134" s="50">
        <f t="shared" si="8"/>
        <v>1.47</v>
      </c>
      <c r="H134" s="50">
        <v>40</v>
      </c>
      <c r="I134" s="50">
        <f t="shared" si="9"/>
        <v>3.68</v>
      </c>
      <c r="J134" s="50">
        <v>0.29720000000000002</v>
      </c>
      <c r="K134" s="51">
        <v>191161.81</v>
      </c>
      <c r="L134" s="51">
        <v>315409.5</v>
      </c>
      <c r="M134" s="50">
        <v>15</v>
      </c>
      <c r="N134" s="50">
        <v>25</v>
      </c>
      <c r="O134" s="50" t="s">
        <v>587</v>
      </c>
      <c r="P134" s="50" t="s">
        <v>2739</v>
      </c>
      <c r="Q134" s="50" t="s">
        <v>1676</v>
      </c>
      <c r="R134" s="53" t="s">
        <v>266</v>
      </c>
    </row>
    <row r="135" spans="1:18" ht="15" customHeight="1" x14ac:dyDescent="0.25">
      <c r="A135" s="50" t="s">
        <v>2908</v>
      </c>
      <c r="B135" s="50" t="s">
        <v>2198</v>
      </c>
      <c r="C135" s="50" t="s">
        <v>2738</v>
      </c>
      <c r="D135" s="50" t="s">
        <v>2178</v>
      </c>
      <c r="E135" s="51">
        <v>138818.84</v>
      </c>
      <c r="F135" s="51">
        <v>3200000</v>
      </c>
      <c r="G135" s="50">
        <f t="shared" si="8"/>
        <v>4.34</v>
      </c>
      <c r="H135" s="50">
        <v>40</v>
      </c>
      <c r="I135" s="50">
        <f t="shared" si="9"/>
        <v>10.85</v>
      </c>
      <c r="J135" s="50">
        <v>0.12</v>
      </c>
      <c r="K135" s="51">
        <v>748217.09</v>
      </c>
      <c r="L135" s="51">
        <v>1522763.3</v>
      </c>
      <c r="M135" s="50">
        <v>15</v>
      </c>
      <c r="N135" s="50">
        <v>25</v>
      </c>
      <c r="O135" s="50" t="s">
        <v>587</v>
      </c>
      <c r="P135" s="50" t="s">
        <v>2739</v>
      </c>
      <c r="Q135" s="50" t="s">
        <v>1676</v>
      </c>
      <c r="R135" s="53" t="s">
        <v>266</v>
      </c>
    </row>
    <row r="136" spans="1:18" ht="15" customHeight="1" x14ac:dyDescent="0.25">
      <c r="A136" s="50" t="s">
        <v>2909</v>
      </c>
      <c r="B136" s="50" t="s">
        <v>1115</v>
      </c>
      <c r="C136" s="50" t="s">
        <v>566</v>
      </c>
      <c r="D136" s="50" t="s">
        <v>630</v>
      </c>
      <c r="E136" s="51">
        <v>60990.79</v>
      </c>
      <c r="F136" s="51">
        <v>3200000</v>
      </c>
      <c r="G136" s="50">
        <f t="shared" si="8"/>
        <v>1.91</v>
      </c>
      <c r="H136" s="50">
        <v>40</v>
      </c>
      <c r="I136" s="50">
        <f t="shared" si="9"/>
        <v>4.78</v>
      </c>
      <c r="J136" s="50">
        <v>0.17660000000000001</v>
      </c>
      <c r="K136" s="51">
        <v>277152.73</v>
      </c>
      <c r="L136" s="51">
        <v>558107.41</v>
      </c>
      <c r="M136" s="50">
        <v>15</v>
      </c>
      <c r="N136" s="50">
        <v>25</v>
      </c>
      <c r="O136" s="50" t="s">
        <v>587</v>
      </c>
      <c r="P136" s="50" t="s">
        <v>2739</v>
      </c>
      <c r="Q136" s="50" t="s">
        <v>1676</v>
      </c>
      <c r="R136" s="53" t="s">
        <v>266</v>
      </c>
    </row>
    <row r="137" spans="1:18" ht="15" customHeight="1" x14ac:dyDescent="0.25">
      <c r="A137" s="50" t="s">
        <v>2910</v>
      </c>
      <c r="B137" s="50" t="s">
        <v>1081</v>
      </c>
      <c r="C137" s="50" t="s">
        <v>2764</v>
      </c>
      <c r="D137" s="50" t="s">
        <v>674</v>
      </c>
      <c r="E137" s="51">
        <v>222891.74</v>
      </c>
      <c r="F137" s="51">
        <v>3200000</v>
      </c>
      <c r="G137" s="50">
        <f t="shared" si="8"/>
        <v>6.97</v>
      </c>
      <c r="H137" s="50">
        <v>40</v>
      </c>
      <c r="I137" s="50">
        <f t="shared" si="9"/>
        <v>17.43</v>
      </c>
      <c r="J137" s="50">
        <v>6.0999999999999999E-2</v>
      </c>
      <c r="K137" s="51">
        <v>1160600.07</v>
      </c>
      <c r="L137" s="51">
        <v>2408940.56</v>
      </c>
      <c r="M137" s="50">
        <v>15</v>
      </c>
      <c r="N137" s="50">
        <v>25</v>
      </c>
      <c r="O137" s="50" t="s">
        <v>587</v>
      </c>
      <c r="P137" s="50" t="s">
        <v>2739</v>
      </c>
      <c r="Q137" s="50" t="s">
        <v>1676</v>
      </c>
      <c r="R137" s="53" t="s">
        <v>266</v>
      </c>
    </row>
    <row r="138" spans="1:18" ht="15" customHeight="1" x14ac:dyDescent="0.25">
      <c r="A138" s="50" t="s">
        <v>2911</v>
      </c>
      <c r="B138" s="50" t="s">
        <v>2296</v>
      </c>
      <c r="C138" s="50" t="s">
        <v>566</v>
      </c>
      <c r="D138" s="50" t="s">
        <v>597</v>
      </c>
      <c r="E138" s="51">
        <v>78264.19</v>
      </c>
      <c r="F138" s="51">
        <v>3200000</v>
      </c>
      <c r="G138" s="50">
        <f t="shared" si="8"/>
        <v>2.4500000000000002</v>
      </c>
      <c r="H138" s="50">
        <v>40</v>
      </c>
      <c r="I138" s="50">
        <f t="shared" si="9"/>
        <v>6.13</v>
      </c>
      <c r="J138" s="50">
        <v>0.12039999999999999</v>
      </c>
      <c r="K138" s="51">
        <v>373709.82</v>
      </c>
      <c r="L138" s="51">
        <v>771366.23</v>
      </c>
      <c r="M138" s="50">
        <v>15</v>
      </c>
      <c r="N138" s="50">
        <v>25</v>
      </c>
      <c r="O138" s="50" t="s">
        <v>587</v>
      </c>
      <c r="P138" s="50" t="s">
        <v>2739</v>
      </c>
      <c r="Q138" s="50" t="s">
        <v>1676</v>
      </c>
      <c r="R138" s="53" t="s">
        <v>266</v>
      </c>
    </row>
    <row r="139" spans="1:18" ht="15" customHeight="1" x14ac:dyDescent="0.25">
      <c r="A139" s="50" t="s">
        <v>2912</v>
      </c>
      <c r="B139" s="50" t="s">
        <v>2684</v>
      </c>
      <c r="C139" s="50" t="s">
        <v>2748</v>
      </c>
      <c r="D139" s="50" t="s">
        <v>659</v>
      </c>
      <c r="E139" s="51">
        <v>327159.7</v>
      </c>
      <c r="F139" s="51">
        <v>3200000</v>
      </c>
      <c r="G139" s="50">
        <f t="shared" si="8"/>
        <v>10.220000000000001</v>
      </c>
      <c r="H139" s="50">
        <v>25</v>
      </c>
      <c r="I139" s="50">
        <f t="shared" si="9"/>
        <v>40.880000000000003</v>
      </c>
      <c r="J139" s="50">
        <v>0.33889999999999998</v>
      </c>
      <c r="K139" s="51">
        <v>1509814.38</v>
      </c>
      <c r="L139" s="51">
        <v>2830467</v>
      </c>
      <c r="M139" s="50">
        <v>15</v>
      </c>
      <c r="N139" s="50">
        <v>25</v>
      </c>
      <c r="O139" s="50" t="s">
        <v>587</v>
      </c>
      <c r="P139" s="50" t="s">
        <v>2739</v>
      </c>
      <c r="Q139" s="50" t="s">
        <v>1676</v>
      </c>
      <c r="R139" s="53" t="s">
        <v>266</v>
      </c>
    </row>
    <row r="140" spans="1:18" ht="15" customHeight="1" x14ac:dyDescent="0.25">
      <c r="A140" s="50" t="s">
        <v>2913</v>
      </c>
      <c r="B140" s="50" t="s">
        <v>1170</v>
      </c>
      <c r="C140" s="50" t="s">
        <v>2738</v>
      </c>
      <c r="D140" s="50" t="s">
        <v>2178</v>
      </c>
      <c r="E140" s="51">
        <v>315489.83</v>
      </c>
      <c r="F140" s="51">
        <v>3200000</v>
      </c>
      <c r="G140" s="50">
        <f t="shared" si="8"/>
        <v>9.86</v>
      </c>
      <c r="H140" s="50">
        <v>40</v>
      </c>
      <c r="I140" s="50">
        <f t="shared" si="9"/>
        <v>24.65</v>
      </c>
      <c r="J140" s="50">
        <v>6.3500000000000001E-2</v>
      </c>
      <c r="K140" s="51">
        <v>1222889.3899999999</v>
      </c>
      <c r="L140" s="51">
        <v>2375540.39</v>
      </c>
      <c r="M140" s="50">
        <v>15</v>
      </c>
      <c r="N140" s="50">
        <v>25</v>
      </c>
      <c r="O140" s="50" t="s">
        <v>587</v>
      </c>
      <c r="P140" s="50" t="s">
        <v>2739</v>
      </c>
      <c r="Q140" s="50" t="s">
        <v>1676</v>
      </c>
      <c r="R140" s="53" t="s">
        <v>266</v>
      </c>
    </row>
    <row r="141" spans="1:18" ht="15" customHeight="1" x14ac:dyDescent="0.25">
      <c r="A141" s="50" t="s">
        <v>2914</v>
      </c>
      <c r="B141" s="50" t="s">
        <v>1734</v>
      </c>
      <c r="C141" s="50" t="s">
        <v>2738</v>
      </c>
      <c r="D141" s="50" t="s">
        <v>2249</v>
      </c>
      <c r="E141" s="51">
        <v>148359.12</v>
      </c>
      <c r="F141" s="51">
        <v>3200000</v>
      </c>
      <c r="G141" s="50">
        <f t="shared" si="8"/>
        <v>4.6399999999999997</v>
      </c>
      <c r="H141" s="50">
        <v>40</v>
      </c>
      <c r="I141" s="50">
        <f t="shared" si="9"/>
        <v>11.6</v>
      </c>
      <c r="J141" s="50">
        <v>0.3599</v>
      </c>
      <c r="K141" s="51">
        <v>806950.1</v>
      </c>
      <c r="L141" s="51">
        <v>1708478.07</v>
      </c>
      <c r="M141" s="50">
        <v>15</v>
      </c>
      <c r="N141" s="50">
        <v>25</v>
      </c>
      <c r="O141" s="50" t="s">
        <v>587</v>
      </c>
      <c r="P141" s="50" t="s">
        <v>2739</v>
      </c>
      <c r="Q141" s="50" t="s">
        <v>1676</v>
      </c>
      <c r="R141" s="53" t="s">
        <v>266</v>
      </c>
    </row>
    <row r="142" spans="1:18" ht="15" customHeight="1" x14ac:dyDescent="0.25">
      <c r="A142" s="50" t="s">
        <v>2915</v>
      </c>
      <c r="B142" s="50" t="s">
        <v>2916</v>
      </c>
      <c r="C142" s="50" t="s">
        <v>2742</v>
      </c>
      <c r="D142" s="50" t="s">
        <v>572</v>
      </c>
      <c r="E142" s="51">
        <v>210153.73</v>
      </c>
      <c r="F142" s="51">
        <v>3200000</v>
      </c>
      <c r="G142" s="50">
        <f t="shared" si="8"/>
        <v>6.57</v>
      </c>
      <c r="H142" s="50">
        <v>40</v>
      </c>
      <c r="I142" s="50">
        <f t="shared" si="9"/>
        <v>16.43</v>
      </c>
      <c r="J142" s="50">
        <v>0.25769999999999998</v>
      </c>
      <c r="K142" s="51">
        <v>784501.31</v>
      </c>
      <c r="L142" s="51">
        <v>1319109.28</v>
      </c>
      <c r="M142" s="50">
        <v>15</v>
      </c>
      <c r="N142" s="50">
        <v>25</v>
      </c>
      <c r="O142" s="50" t="s">
        <v>587</v>
      </c>
      <c r="P142" s="50" t="s">
        <v>2739</v>
      </c>
      <c r="Q142" s="50" t="s">
        <v>1676</v>
      </c>
      <c r="R142" s="53" t="s">
        <v>266</v>
      </c>
    </row>
    <row r="143" spans="1:18" ht="15" customHeight="1" x14ac:dyDescent="0.25">
      <c r="A143" s="50" t="s">
        <v>2917</v>
      </c>
      <c r="B143" s="50" t="s">
        <v>675</v>
      </c>
      <c r="C143" s="50" t="s">
        <v>2738</v>
      </c>
      <c r="D143" s="50" t="s">
        <v>2815</v>
      </c>
      <c r="E143" s="51">
        <v>220606.56</v>
      </c>
      <c r="F143" s="51">
        <v>3200000</v>
      </c>
      <c r="G143" s="50">
        <f t="shared" si="8"/>
        <v>6.89</v>
      </c>
      <c r="H143" s="50">
        <v>40</v>
      </c>
      <c r="I143" s="50">
        <f t="shared" si="9"/>
        <v>17.23</v>
      </c>
      <c r="J143" s="50">
        <v>6.2E-2</v>
      </c>
      <c r="K143" s="51">
        <v>1140635.94</v>
      </c>
      <c r="L143" s="51">
        <v>2042012.25</v>
      </c>
      <c r="M143" s="50">
        <v>15</v>
      </c>
      <c r="N143" s="50">
        <v>25</v>
      </c>
      <c r="O143" s="50" t="s">
        <v>587</v>
      </c>
      <c r="P143" s="50" t="s">
        <v>2739</v>
      </c>
      <c r="Q143" s="50" t="s">
        <v>1676</v>
      </c>
      <c r="R143" s="53" t="s">
        <v>266</v>
      </c>
    </row>
    <row r="144" spans="1:18" ht="15" customHeight="1" x14ac:dyDescent="0.25">
      <c r="A144" s="50" t="s">
        <v>2918</v>
      </c>
      <c r="B144" s="50" t="s">
        <v>1983</v>
      </c>
      <c r="C144" s="50" t="s">
        <v>1227</v>
      </c>
      <c r="D144" s="50" t="s">
        <v>1295</v>
      </c>
      <c r="E144" s="51">
        <v>18433.88</v>
      </c>
      <c r="F144" s="51">
        <v>3200000</v>
      </c>
      <c r="G144" s="50">
        <f t="shared" si="8"/>
        <v>0.57999999999999996</v>
      </c>
      <c r="H144" s="50">
        <v>40</v>
      </c>
      <c r="I144" s="50">
        <f t="shared" si="9"/>
        <v>1.45</v>
      </c>
      <c r="J144" s="50">
        <v>8.9399999999999993E-2</v>
      </c>
      <c r="K144" s="51">
        <v>99139.199999999997</v>
      </c>
      <c r="L144" s="51">
        <v>198168.77</v>
      </c>
      <c r="M144" s="50">
        <v>15</v>
      </c>
      <c r="N144" s="50">
        <v>25</v>
      </c>
      <c r="O144" s="50" t="s">
        <v>587</v>
      </c>
      <c r="P144" s="50" t="s">
        <v>2739</v>
      </c>
      <c r="Q144" s="50" t="s">
        <v>1676</v>
      </c>
      <c r="R144" s="53" t="s">
        <v>266</v>
      </c>
    </row>
    <row r="145" spans="1:18" ht="15" customHeight="1" x14ac:dyDescent="0.25">
      <c r="A145" s="50" t="s">
        <v>2919</v>
      </c>
      <c r="B145" s="50" t="s">
        <v>2920</v>
      </c>
      <c r="C145" s="50" t="s">
        <v>2744</v>
      </c>
      <c r="D145" s="50" t="s">
        <v>2755</v>
      </c>
      <c r="E145" s="51">
        <v>349751.86</v>
      </c>
      <c r="F145" s="51">
        <v>3200000</v>
      </c>
      <c r="G145" s="50">
        <f t="shared" si="8"/>
        <v>10.93</v>
      </c>
      <c r="H145" s="50">
        <v>40</v>
      </c>
      <c r="I145" s="50">
        <f t="shared" si="9"/>
        <v>27.33</v>
      </c>
      <c r="J145" s="50">
        <v>0.15379999999999999</v>
      </c>
      <c r="K145" s="51">
        <v>1818525.7</v>
      </c>
      <c r="L145" s="51">
        <v>3980363.88</v>
      </c>
      <c r="M145" s="50">
        <v>15</v>
      </c>
      <c r="N145" s="50">
        <v>25</v>
      </c>
      <c r="O145" s="50" t="s">
        <v>587</v>
      </c>
      <c r="P145" s="50" t="s">
        <v>2739</v>
      </c>
      <c r="Q145" s="50" t="s">
        <v>1676</v>
      </c>
      <c r="R145" s="53" t="s">
        <v>266</v>
      </c>
    </row>
    <row r="146" spans="1:18" ht="15" customHeight="1" x14ac:dyDescent="0.25">
      <c r="A146" s="50" t="s">
        <v>2921</v>
      </c>
      <c r="B146" s="50" t="s">
        <v>1892</v>
      </c>
      <c r="C146" s="50" t="s">
        <v>2738</v>
      </c>
      <c r="D146" s="50" t="s">
        <v>2815</v>
      </c>
      <c r="E146" s="51">
        <v>176909.03</v>
      </c>
      <c r="F146" s="51">
        <v>3200000</v>
      </c>
      <c r="G146" s="50">
        <f t="shared" si="8"/>
        <v>5.53</v>
      </c>
      <c r="H146" s="50">
        <v>40</v>
      </c>
      <c r="I146" s="50">
        <f t="shared" si="9"/>
        <v>13.83</v>
      </c>
      <c r="J146" s="50">
        <v>0.32329999999999998</v>
      </c>
      <c r="K146" s="51">
        <v>763139.87</v>
      </c>
      <c r="L146" s="51">
        <v>1232996.44</v>
      </c>
      <c r="M146" s="50">
        <v>15</v>
      </c>
      <c r="N146" s="50">
        <v>25</v>
      </c>
      <c r="O146" s="50" t="s">
        <v>587</v>
      </c>
      <c r="P146" s="50" t="s">
        <v>2739</v>
      </c>
      <c r="Q146" s="50" t="s">
        <v>1676</v>
      </c>
      <c r="R146" s="53" t="s">
        <v>266</v>
      </c>
    </row>
    <row r="147" spans="1:18" ht="15" customHeight="1" x14ac:dyDescent="0.25">
      <c r="A147" s="50" t="s">
        <v>2922</v>
      </c>
      <c r="B147" s="50" t="s">
        <v>2257</v>
      </c>
      <c r="C147" s="50" t="s">
        <v>2738</v>
      </c>
      <c r="D147" s="50" t="s">
        <v>2178</v>
      </c>
      <c r="E147" s="51">
        <v>250571.11</v>
      </c>
      <c r="F147" s="51">
        <v>3200000</v>
      </c>
      <c r="G147" s="50">
        <f t="shared" si="8"/>
        <v>7.83</v>
      </c>
      <c r="H147" s="50">
        <v>40</v>
      </c>
      <c r="I147" s="50">
        <f t="shared" si="9"/>
        <v>19.579999999999998</v>
      </c>
      <c r="J147" s="50">
        <v>0.37169999999999997</v>
      </c>
      <c r="K147" s="51">
        <v>1343767.92</v>
      </c>
      <c r="L147" s="51">
        <v>2636128.4500000002</v>
      </c>
      <c r="M147" s="50">
        <v>15</v>
      </c>
      <c r="N147" s="50">
        <v>25</v>
      </c>
      <c r="O147" s="50" t="s">
        <v>587</v>
      </c>
      <c r="P147" s="50" t="s">
        <v>2739</v>
      </c>
      <c r="Q147" s="50" t="s">
        <v>1676</v>
      </c>
      <c r="R147" s="53" t="s">
        <v>266</v>
      </c>
    </row>
    <row r="148" spans="1:18" ht="15" customHeight="1" x14ac:dyDescent="0.25">
      <c r="A148" s="50" t="s">
        <v>2923</v>
      </c>
      <c r="B148" s="50" t="s">
        <v>916</v>
      </c>
      <c r="C148" s="50" t="s">
        <v>2738</v>
      </c>
      <c r="D148" s="50" t="s">
        <v>2815</v>
      </c>
      <c r="E148" s="51">
        <v>37829.26</v>
      </c>
      <c r="F148" s="51">
        <v>3200000</v>
      </c>
      <c r="G148" s="50">
        <f t="shared" si="8"/>
        <v>1.18</v>
      </c>
      <c r="H148" s="50">
        <v>40</v>
      </c>
      <c r="I148" s="50">
        <f t="shared" si="9"/>
        <v>2.95</v>
      </c>
      <c r="J148" s="50">
        <v>0.14779999999999999</v>
      </c>
      <c r="K148" s="51">
        <v>157656.1</v>
      </c>
      <c r="L148" s="51">
        <v>336287.56</v>
      </c>
      <c r="M148" s="50">
        <v>15</v>
      </c>
      <c r="N148" s="50">
        <v>25</v>
      </c>
      <c r="O148" s="50" t="s">
        <v>587</v>
      </c>
      <c r="P148" s="50" t="s">
        <v>2739</v>
      </c>
      <c r="Q148" s="50" t="s">
        <v>1676</v>
      </c>
      <c r="R148" s="53" t="s">
        <v>266</v>
      </c>
    </row>
    <row r="149" spans="1:18" ht="15" customHeight="1" x14ac:dyDescent="0.25">
      <c r="A149" s="50" t="s">
        <v>2924</v>
      </c>
      <c r="B149" s="50" t="s">
        <v>2925</v>
      </c>
      <c r="C149" s="50" t="s">
        <v>2748</v>
      </c>
      <c r="D149" s="50" t="s">
        <v>625</v>
      </c>
      <c r="E149" s="51">
        <v>281128.2</v>
      </c>
      <c r="F149" s="51">
        <v>3200000</v>
      </c>
      <c r="G149" s="50">
        <f t="shared" si="8"/>
        <v>8.7899999999999991</v>
      </c>
      <c r="H149" s="50">
        <v>25</v>
      </c>
      <c r="I149" s="50">
        <f t="shared" si="9"/>
        <v>35.159999999999997</v>
      </c>
      <c r="J149" s="50">
        <v>0.13569999999999999</v>
      </c>
      <c r="K149" s="51">
        <v>1139420.97</v>
      </c>
      <c r="L149" s="51">
        <v>2398344.77</v>
      </c>
      <c r="M149" s="50">
        <v>15</v>
      </c>
      <c r="N149" s="50">
        <v>25</v>
      </c>
      <c r="O149" s="50" t="s">
        <v>587</v>
      </c>
      <c r="P149" s="50" t="s">
        <v>2739</v>
      </c>
      <c r="Q149" s="50" t="s">
        <v>1676</v>
      </c>
      <c r="R149" s="53" t="s">
        <v>266</v>
      </c>
    </row>
    <row r="150" spans="1:18" ht="15" customHeight="1" x14ac:dyDescent="0.25">
      <c r="A150" s="50" t="s">
        <v>2926</v>
      </c>
      <c r="B150" s="50" t="s">
        <v>2364</v>
      </c>
      <c r="C150" s="50" t="s">
        <v>566</v>
      </c>
      <c r="D150" s="50" t="s">
        <v>667</v>
      </c>
      <c r="E150" s="51">
        <v>317680.2</v>
      </c>
      <c r="F150" s="51">
        <v>3200000</v>
      </c>
      <c r="G150" s="50">
        <f t="shared" si="8"/>
        <v>9.93</v>
      </c>
      <c r="H150" s="50">
        <v>40</v>
      </c>
      <c r="I150" s="50">
        <f t="shared" si="9"/>
        <v>24.83</v>
      </c>
      <c r="J150" s="50">
        <v>0.29339999999999999</v>
      </c>
      <c r="K150" s="51">
        <v>1175693.58</v>
      </c>
      <c r="L150" s="51">
        <v>2165850.7999999998</v>
      </c>
      <c r="M150" s="50">
        <v>15</v>
      </c>
      <c r="N150" s="50">
        <v>25</v>
      </c>
      <c r="O150" s="50" t="s">
        <v>587</v>
      </c>
      <c r="P150" s="50" t="s">
        <v>2739</v>
      </c>
      <c r="Q150" s="50" t="s">
        <v>1676</v>
      </c>
      <c r="R150" s="53" t="s">
        <v>266</v>
      </c>
    </row>
    <row r="151" spans="1:18" ht="15" customHeight="1" x14ac:dyDescent="0.25">
      <c r="A151" s="50" t="s">
        <v>2927</v>
      </c>
      <c r="B151" s="50" t="s">
        <v>1853</v>
      </c>
      <c r="C151" s="50" t="s">
        <v>2744</v>
      </c>
      <c r="D151" s="50" t="s">
        <v>2755</v>
      </c>
      <c r="E151" s="51">
        <v>37073.78</v>
      </c>
      <c r="F151" s="51">
        <v>3200000</v>
      </c>
      <c r="G151" s="50">
        <f t="shared" si="8"/>
        <v>1.1599999999999999</v>
      </c>
      <c r="H151" s="50">
        <v>40</v>
      </c>
      <c r="I151" s="50">
        <f t="shared" si="9"/>
        <v>2.9</v>
      </c>
      <c r="J151" s="50">
        <v>0.17330000000000001</v>
      </c>
      <c r="K151" s="51">
        <v>184708.57</v>
      </c>
      <c r="L151" s="51">
        <v>310704.75</v>
      </c>
      <c r="M151" s="50">
        <v>15</v>
      </c>
      <c r="N151" s="50">
        <v>25</v>
      </c>
      <c r="O151" s="50" t="s">
        <v>587</v>
      </c>
      <c r="P151" s="50" t="s">
        <v>2739</v>
      </c>
      <c r="Q151" s="50" t="s">
        <v>1676</v>
      </c>
      <c r="R151" s="53" t="s">
        <v>266</v>
      </c>
    </row>
    <row r="152" spans="1:18" ht="15" customHeight="1" x14ac:dyDescent="0.25">
      <c r="A152" s="50" t="s">
        <v>2928</v>
      </c>
      <c r="B152" s="50" t="s">
        <v>2929</v>
      </c>
      <c r="C152" s="50" t="s">
        <v>565</v>
      </c>
      <c r="D152" s="50" t="s">
        <v>671</v>
      </c>
      <c r="E152" s="51">
        <v>312533.82</v>
      </c>
      <c r="F152" s="51">
        <v>3200000</v>
      </c>
      <c r="G152" s="50">
        <f t="shared" si="8"/>
        <v>9.77</v>
      </c>
      <c r="H152" s="50">
        <v>40</v>
      </c>
      <c r="I152" s="50">
        <f t="shared" si="9"/>
        <v>24.43</v>
      </c>
      <c r="J152" s="50">
        <v>6.5699999999999995E-2</v>
      </c>
      <c r="K152" s="51">
        <v>1599860.99</v>
      </c>
      <c r="L152" s="51">
        <v>2949492.86</v>
      </c>
      <c r="M152" s="50">
        <v>15</v>
      </c>
      <c r="N152" s="50">
        <v>25</v>
      </c>
      <c r="O152" s="50" t="s">
        <v>587</v>
      </c>
      <c r="P152" s="50" t="s">
        <v>2739</v>
      </c>
      <c r="Q152" s="50" t="s">
        <v>1676</v>
      </c>
      <c r="R152" s="53" t="s">
        <v>266</v>
      </c>
    </row>
    <row r="153" spans="1:18" ht="15" customHeight="1" x14ac:dyDescent="0.25">
      <c r="A153" s="50" t="s">
        <v>2930</v>
      </c>
      <c r="B153" s="50" t="s">
        <v>2277</v>
      </c>
      <c r="C153" s="50" t="s">
        <v>2744</v>
      </c>
      <c r="D153" s="50" t="s">
        <v>586</v>
      </c>
      <c r="E153" s="51">
        <v>208844.58</v>
      </c>
      <c r="F153" s="51">
        <v>3200000</v>
      </c>
      <c r="G153" s="50">
        <f t="shared" si="8"/>
        <v>6.53</v>
      </c>
      <c r="H153" s="50">
        <v>40</v>
      </c>
      <c r="I153" s="50">
        <f t="shared" si="9"/>
        <v>16.329999999999998</v>
      </c>
      <c r="J153" s="50">
        <v>0.2576</v>
      </c>
      <c r="K153" s="51">
        <v>1062645.97</v>
      </c>
      <c r="L153" s="51">
        <v>1752521.39</v>
      </c>
      <c r="M153" s="50">
        <v>15</v>
      </c>
      <c r="N153" s="50">
        <v>25</v>
      </c>
      <c r="O153" s="50" t="s">
        <v>587</v>
      </c>
      <c r="P153" s="50" t="s">
        <v>2739</v>
      </c>
      <c r="Q153" s="50" t="s">
        <v>1676</v>
      </c>
      <c r="R153" s="53" t="s">
        <v>266</v>
      </c>
    </row>
    <row r="154" spans="1:18" ht="15" customHeight="1" x14ac:dyDescent="0.25">
      <c r="A154" s="50" t="s">
        <v>2931</v>
      </c>
      <c r="B154" s="50" t="s">
        <v>1764</v>
      </c>
      <c r="C154" s="50" t="s">
        <v>2742</v>
      </c>
      <c r="D154" s="50" t="s">
        <v>593</v>
      </c>
      <c r="E154" s="51">
        <v>321766.28999999998</v>
      </c>
      <c r="F154" s="51">
        <v>3200000</v>
      </c>
      <c r="G154" s="50">
        <f t="shared" si="8"/>
        <v>10.06</v>
      </c>
      <c r="H154" s="50">
        <v>40</v>
      </c>
      <c r="I154" s="50">
        <f t="shared" si="9"/>
        <v>25.15</v>
      </c>
      <c r="J154" s="50">
        <v>0.30930000000000002</v>
      </c>
      <c r="K154" s="51">
        <v>1193028.19</v>
      </c>
      <c r="L154" s="51">
        <v>2490266.11</v>
      </c>
      <c r="M154" s="50">
        <v>15</v>
      </c>
      <c r="N154" s="50">
        <v>25</v>
      </c>
      <c r="O154" s="50" t="s">
        <v>587</v>
      </c>
      <c r="P154" s="50" t="s">
        <v>2739</v>
      </c>
      <c r="Q154" s="50" t="s">
        <v>1676</v>
      </c>
      <c r="R154" s="53" t="s">
        <v>266</v>
      </c>
    </row>
    <row r="155" spans="1:18" ht="15" customHeight="1" x14ac:dyDescent="0.25">
      <c r="A155" s="50" t="s">
        <v>2932</v>
      </c>
      <c r="B155" s="50" t="s">
        <v>2933</v>
      </c>
      <c r="C155" s="50" t="s">
        <v>2748</v>
      </c>
      <c r="D155" s="50" t="s">
        <v>659</v>
      </c>
      <c r="E155" s="51">
        <v>249315.72</v>
      </c>
      <c r="F155" s="51">
        <v>3200000</v>
      </c>
      <c r="G155" s="50">
        <f t="shared" si="8"/>
        <v>7.79</v>
      </c>
      <c r="H155" s="50">
        <v>25</v>
      </c>
      <c r="I155" s="50">
        <f t="shared" si="9"/>
        <v>31.16</v>
      </c>
      <c r="J155" s="50">
        <v>0.11269999999999999</v>
      </c>
      <c r="K155" s="51">
        <v>1349940.69</v>
      </c>
      <c r="L155" s="51">
        <v>2859572.85</v>
      </c>
      <c r="M155" s="50">
        <v>15</v>
      </c>
      <c r="N155" s="50">
        <v>25</v>
      </c>
      <c r="O155" s="50" t="s">
        <v>587</v>
      </c>
      <c r="P155" s="50" t="s">
        <v>2739</v>
      </c>
      <c r="Q155" s="50" t="s">
        <v>1676</v>
      </c>
      <c r="R155" s="53" t="s">
        <v>266</v>
      </c>
    </row>
    <row r="156" spans="1:18" ht="15" customHeight="1" x14ac:dyDescent="0.25">
      <c r="A156" s="50" t="s">
        <v>2934</v>
      </c>
      <c r="B156" s="50" t="s">
        <v>1992</v>
      </c>
      <c r="C156" s="50" t="s">
        <v>2748</v>
      </c>
      <c r="D156" s="50" t="s">
        <v>614</v>
      </c>
      <c r="E156" s="51">
        <v>6823.84</v>
      </c>
      <c r="F156" s="51">
        <v>3200000</v>
      </c>
      <c r="G156" s="50">
        <f t="shared" si="8"/>
        <v>0.21</v>
      </c>
      <c r="H156" s="50">
        <v>25</v>
      </c>
      <c r="I156" s="50">
        <f t="shared" si="9"/>
        <v>0.84</v>
      </c>
      <c r="J156" s="50">
        <v>0.24349999999999999</v>
      </c>
      <c r="K156" s="51">
        <v>27613.55</v>
      </c>
      <c r="L156" s="51">
        <v>57347.73</v>
      </c>
      <c r="M156" s="50">
        <v>15</v>
      </c>
      <c r="N156" s="50">
        <v>25</v>
      </c>
      <c r="O156" s="50" t="s">
        <v>587</v>
      </c>
      <c r="P156" s="50" t="s">
        <v>2739</v>
      </c>
      <c r="Q156" s="50" t="s">
        <v>1676</v>
      </c>
      <c r="R156" s="53" t="s">
        <v>266</v>
      </c>
    </row>
    <row r="157" spans="1:18" ht="15" customHeight="1" x14ac:dyDescent="0.25">
      <c r="A157" s="50" t="s">
        <v>2935</v>
      </c>
      <c r="B157" s="50" t="s">
        <v>1645</v>
      </c>
      <c r="C157" s="50" t="s">
        <v>2764</v>
      </c>
      <c r="D157" s="50" t="s">
        <v>601</v>
      </c>
      <c r="E157" s="51">
        <v>87079.54</v>
      </c>
      <c r="F157" s="51">
        <v>3200000</v>
      </c>
      <c r="G157" s="50">
        <f t="shared" si="8"/>
        <v>2.72</v>
      </c>
      <c r="H157" s="50">
        <v>40</v>
      </c>
      <c r="I157" s="50">
        <f t="shared" si="9"/>
        <v>6.8</v>
      </c>
      <c r="J157" s="50">
        <v>0.20899999999999999</v>
      </c>
      <c r="K157" s="51">
        <v>411582.83</v>
      </c>
      <c r="L157" s="51">
        <v>754457.95</v>
      </c>
      <c r="M157" s="50">
        <v>15</v>
      </c>
      <c r="N157" s="50">
        <v>25</v>
      </c>
      <c r="O157" s="50" t="s">
        <v>587</v>
      </c>
      <c r="P157" s="50" t="s">
        <v>2739</v>
      </c>
      <c r="Q157" s="50" t="s">
        <v>1676</v>
      </c>
      <c r="R157" s="53" t="s">
        <v>266</v>
      </c>
    </row>
    <row r="158" spans="1:18" ht="15" customHeight="1" x14ac:dyDescent="0.25">
      <c r="A158" s="50" t="s">
        <v>2936</v>
      </c>
      <c r="B158" s="50" t="s">
        <v>2337</v>
      </c>
      <c r="C158" s="50" t="s">
        <v>2744</v>
      </c>
      <c r="D158" s="50" t="s">
        <v>602</v>
      </c>
      <c r="E158" s="51">
        <v>51992.63</v>
      </c>
      <c r="F158" s="51">
        <v>3200000</v>
      </c>
      <c r="G158" s="50">
        <f t="shared" si="8"/>
        <v>1.62</v>
      </c>
      <c r="H158" s="50">
        <v>40</v>
      </c>
      <c r="I158" s="50">
        <f t="shared" si="9"/>
        <v>4.05</v>
      </c>
      <c r="J158" s="50">
        <v>0.4103</v>
      </c>
      <c r="K158" s="51">
        <v>224768.61</v>
      </c>
      <c r="L158" s="51">
        <v>437624.26</v>
      </c>
      <c r="M158" s="50">
        <v>15</v>
      </c>
      <c r="N158" s="50">
        <v>25</v>
      </c>
      <c r="O158" s="50" t="s">
        <v>587</v>
      </c>
      <c r="P158" s="50" t="s">
        <v>2739</v>
      </c>
      <c r="Q158" s="50" t="s">
        <v>1676</v>
      </c>
      <c r="R158" s="53" t="s">
        <v>266</v>
      </c>
    </row>
    <row r="159" spans="1:18" ht="15" customHeight="1" x14ac:dyDescent="0.25">
      <c r="A159" s="50" t="s">
        <v>2937</v>
      </c>
      <c r="B159" s="50" t="s">
        <v>2239</v>
      </c>
      <c r="C159" s="50" t="s">
        <v>2748</v>
      </c>
      <c r="D159" s="50" t="s">
        <v>625</v>
      </c>
      <c r="E159" s="51">
        <v>300368.28999999998</v>
      </c>
      <c r="F159" s="51">
        <v>3200000</v>
      </c>
      <c r="G159" s="50">
        <f t="shared" si="8"/>
        <v>9.39</v>
      </c>
      <c r="H159" s="50">
        <v>25</v>
      </c>
      <c r="I159" s="50">
        <f t="shared" si="9"/>
        <v>37.56</v>
      </c>
      <c r="J159" s="50">
        <v>9.6100000000000005E-2</v>
      </c>
      <c r="K159" s="51">
        <v>1303733.05</v>
      </c>
      <c r="L159" s="51">
        <v>2593128.39</v>
      </c>
      <c r="M159" s="50">
        <v>15</v>
      </c>
      <c r="N159" s="50">
        <v>25</v>
      </c>
      <c r="O159" s="50" t="s">
        <v>587</v>
      </c>
      <c r="P159" s="50" t="s">
        <v>2739</v>
      </c>
      <c r="Q159" s="50" t="s">
        <v>1676</v>
      </c>
      <c r="R159" s="53" t="s">
        <v>266</v>
      </c>
    </row>
    <row r="160" spans="1:18" ht="15" customHeight="1" x14ac:dyDescent="0.25">
      <c r="A160" s="50" t="s">
        <v>2938</v>
      </c>
      <c r="B160" s="50" t="s">
        <v>1415</v>
      </c>
      <c r="C160" s="50" t="s">
        <v>565</v>
      </c>
      <c r="D160" s="50" t="s">
        <v>671</v>
      </c>
      <c r="E160" s="51">
        <v>144913.01</v>
      </c>
      <c r="F160" s="51">
        <v>3200000</v>
      </c>
      <c r="G160" s="50">
        <f t="shared" si="8"/>
        <v>4.53</v>
      </c>
      <c r="H160" s="50">
        <v>40</v>
      </c>
      <c r="I160" s="50">
        <f t="shared" si="9"/>
        <v>11.33</v>
      </c>
      <c r="J160" s="50">
        <v>0.1207</v>
      </c>
      <c r="K160" s="51">
        <v>580503.03</v>
      </c>
      <c r="L160" s="51">
        <v>973454.02</v>
      </c>
      <c r="M160" s="50">
        <v>15</v>
      </c>
      <c r="N160" s="50">
        <v>25</v>
      </c>
      <c r="O160" s="50" t="s">
        <v>587</v>
      </c>
      <c r="P160" s="50" t="s">
        <v>2739</v>
      </c>
      <c r="Q160" s="50" t="s">
        <v>1676</v>
      </c>
      <c r="R160" s="53" t="s">
        <v>266</v>
      </c>
    </row>
    <row r="161" spans="1:18" ht="15" customHeight="1" x14ac:dyDescent="0.25">
      <c r="A161" s="50" t="s">
        <v>2939</v>
      </c>
      <c r="B161" s="50" t="s">
        <v>2940</v>
      </c>
      <c r="C161" s="50" t="s">
        <v>566</v>
      </c>
      <c r="D161" s="50" t="s">
        <v>578</v>
      </c>
      <c r="E161" s="51">
        <v>50694.76</v>
      </c>
      <c r="F161" s="51">
        <v>3200000</v>
      </c>
      <c r="G161" s="50">
        <f t="shared" si="8"/>
        <v>1.58</v>
      </c>
      <c r="H161" s="50">
        <v>40</v>
      </c>
      <c r="I161" s="50">
        <f t="shared" si="9"/>
        <v>3.95</v>
      </c>
      <c r="J161" s="50">
        <v>6.4899999999999999E-2</v>
      </c>
      <c r="K161" s="51">
        <v>278633.09999999998</v>
      </c>
      <c r="L161" s="51">
        <v>570341.92000000004</v>
      </c>
      <c r="M161" s="50">
        <v>15</v>
      </c>
      <c r="N161" s="50">
        <v>25</v>
      </c>
      <c r="O161" s="50" t="s">
        <v>587</v>
      </c>
      <c r="P161" s="50" t="s">
        <v>2739</v>
      </c>
      <c r="Q161" s="50" t="s">
        <v>1676</v>
      </c>
      <c r="R161" s="53" t="s">
        <v>266</v>
      </c>
    </row>
    <row r="162" spans="1:18" ht="15" customHeight="1" x14ac:dyDescent="0.25">
      <c r="A162" s="50" t="s">
        <v>2941</v>
      </c>
      <c r="B162" s="50" t="s">
        <v>2942</v>
      </c>
      <c r="C162" s="50" t="s">
        <v>1227</v>
      </c>
      <c r="D162" s="50" t="s">
        <v>1290</v>
      </c>
      <c r="E162" s="51">
        <v>338000.86</v>
      </c>
      <c r="F162" s="51">
        <v>3200000</v>
      </c>
      <c r="G162" s="50">
        <f t="shared" si="8"/>
        <v>10.56</v>
      </c>
      <c r="H162" s="50">
        <v>40</v>
      </c>
      <c r="I162" s="50">
        <f t="shared" si="9"/>
        <v>26.4</v>
      </c>
      <c r="J162" s="50">
        <v>0.15229999999999999</v>
      </c>
      <c r="K162" s="51">
        <v>1259129.97</v>
      </c>
      <c r="L162" s="51">
        <v>2016736.64</v>
      </c>
      <c r="M162" s="50">
        <v>15</v>
      </c>
      <c r="N162" s="50">
        <v>25</v>
      </c>
      <c r="O162" s="50" t="s">
        <v>587</v>
      </c>
      <c r="P162" s="50" t="s">
        <v>2739</v>
      </c>
      <c r="Q162" s="50" t="s">
        <v>1676</v>
      </c>
      <c r="R162" s="53" t="s">
        <v>266</v>
      </c>
    </row>
    <row r="163" spans="1:18" ht="15" customHeight="1" x14ac:dyDescent="0.25">
      <c r="A163" s="50" t="s">
        <v>2943</v>
      </c>
      <c r="B163" s="50" t="s">
        <v>2666</v>
      </c>
      <c r="C163" s="50" t="s">
        <v>566</v>
      </c>
      <c r="D163" s="50" t="s">
        <v>656</v>
      </c>
      <c r="E163" s="51">
        <v>147607.76</v>
      </c>
      <c r="F163" s="51">
        <v>3200000</v>
      </c>
      <c r="G163" s="50">
        <f t="shared" ref="G163:G194" si="10">ROUND(E163/F163*100,2)</f>
        <v>4.6100000000000003</v>
      </c>
      <c r="H163" s="50">
        <v>40</v>
      </c>
      <c r="I163" s="50">
        <f t="shared" ref="I163:I194" si="11">ROUND(G163/H163*100,2)</f>
        <v>11.53</v>
      </c>
      <c r="J163" s="50">
        <v>0.17630000000000001</v>
      </c>
      <c r="K163" s="51">
        <v>648610.49</v>
      </c>
      <c r="L163" s="51">
        <v>1094979.3899999999</v>
      </c>
      <c r="M163" s="50">
        <v>15</v>
      </c>
      <c r="N163" s="50">
        <v>25</v>
      </c>
      <c r="O163" s="50" t="s">
        <v>587</v>
      </c>
      <c r="P163" s="50" t="s">
        <v>2739</v>
      </c>
      <c r="Q163" s="50" t="s">
        <v>1676</v>
      </c>
      <c r="R163" s="53" t="s">
        <v>266</v>
      </c>
    </row>
    <row r="164" spans="1:18" ht="15" customHeight="1" x14ac:dyDescent="0.25">
      <c r="A164" s="50" t="s">
        <v>2944</v>
      </c>
      <c r="B164" s="50" t="s">
        <v>2867</v>
      </c>
      <c r="C164" s="50" t="s">
        <v>566</v>
      </c>
      <c r="D164" s="50" t="s">
        <v>644</v>
      </c>
      <c r="E164" s="51">
        <v>117163.51</v>
      </c>
      <c r="F164" s="51">
        <v>3200000</v>
      </c>
      <c r="G164" s="50">
        <f t="shared" si="10"/>
        <v>3.66</v>
      </c>
      <c r="H164" s="50">
        <v>40</v>
      </c>
      <c r="I164" s="50">
        <f t="shared" si="11"/>
        <v>9.15</v>
      </c>
      <c r="J164" s="50">
        <v>0.2021</v>
      </c>
      <c r="K164" s="51">
        <v>564615.68999999994</v>
      </c>
      <c r="L164" s="51">
        <v>1133854.8600000001</v>
      </c>
      <c r="M164" s="50">
        <v>15</v>
      </c>
      <c r="N164" s="50">
        <v>25</v>
      </c>
      <c r="O164" s="50" t="s">
        <v>587</v>
      </c>
      <c r="P164" s="50" t="s">
        <v>2739</v>
      </c>
      <c r="Q164" s="50" t="s">
        <v>1676</v>
      </c>
      <c r="R164" s="53" t="s">
        <v>266</v>
      </c>
    </row>
    <row r="165" spans="1:18" ht="15" customHeight="1" x14ac:dyDescent="0.25">
      <c r="A165" s="50" t="s">
        <v>2945</v>
      </c>
      <c r="B165" s="50" t="s">
        <v>2946</v>
      </c>
      <c r="C165" s="50" t="s">
        <v>2748</v>
      </c>
      <c r="D165" s="50" t="s">
        <v>659</v>
      </c>
      <c r="E165" s="51">
        <v>55340.84</v>
      </c>
      <c r="F165" s="51">
        <v>3200000</v>
      </c>
      <c r="G165" s="50">
        <f t="shared" si="10"/>
        <v>1.73</v>
      </c>
      <c r="H165" s="50">
        <v>25</v>
      </c>
      <c r="I165" s="50">
        <f t="shared" si="11"/>
        <v>6.92</v>
      </c>
      <c r="J165" s="50">
        <v>0.19400000000000001</v>
      </c>
      <c r="K165" s="51">
        <v>214501.17</v>
      </c>
      <c r="L165" s="51">
        <v>428898.13</v>
      </c>
      <c r="M165" s="50">
        <v>15</v>
      </c>
      <c r="N165" s="50">
        <v>25</v>
      </c>
      <c r="O165" s="50" t="s">
        <v>587</v>
      </c>
      <c r="P165" s="50" t="s">
        <v>2739</v>
      </c>
      <c r="Q165" s="50" t="s">
        <v>1676</v>
      </c>
      <c r="R165" s="53" t="s">
        <v>266</v>
      </c>
    </row>
    <row r="166" spans="1:18" ht="15" customHeight="1" x14ac:dyDescent="0.25">
      <c r="A166" s="50" t="s">
        <v>2947</v>
      </c>
      <c r="B166" s="50" t="s">
        <v>1957</v>
      </c>
      <c r="C166" s="50" t="s">
        <v>2748</v>
      </c>
      <c r="D166" s="50" t="s">
        <v>614</v>
      </c>
      <c r="E166" s="51">
        <v>173675.16</v>
      </c>
      <c r="F166" s="51">
        <v>3200000</v>
      </c>
      <c r="G166" s="50">
        <f t="shared" si="10"/>
        <v>5.43</v>
      </c>
      <c r="H166" s="50">
        <v>25</v>
      </c>
      <c r="I166" s="50">
        <f t="shared" si="11"/>
        <v>21.72</v>
      </c>
      <c r="J166" s="50">
        <v>0.15129999999999999</v>
      </c>
      <c r="K166" s="51">
        <v>624860.1</v>
      </c>
      <c r="L166" s="51">
        <v>1000922.43</v>
      </c>
      <c r="M166" s="50">
        <v>15</v>
      </c>
      <c r="N166" s="50">
        <v>25</v>
      </c>
      <c r="O166" s="50" t="s">
        <v>587</v>
      </c>
      <c r="P166" s="50" t="s">
        <v>2739</v>
      </c>
      <c r="Q166" s="50" t="s">
        <v>1676</v>
      </c>
      <c r="R166" s="53" t="s">
        <v>266</v>
      </c>
    </row>
    <row r="167" spans="1:18" ht="15" customHeight="1" x14ac:dyDescent="0.25">
      <c r="A167" s="50" t="s">
        <v>2948</v>
      </c>
      <c r="B167" s="50" t="s">
        <v>737</v>
      </c>
      <c r="C167" s="50" t="s">
        <v>2742</v>
      </c>
      <c r="D167" s="50" t="s">
        <v>572</v>
      </c>
      <c r="E167" s="51">
        <v>274580.62</v>
      </c>
      <c r="F167" s="51">
        <v>3200000</v>
      </c>
      <c r="G167" s="50">
        <f t="shared" si="10"/>
        <v>8.58</v>
      </c>
      <c r="H167" s="50">
        <v>40</v>
      </c>
      <c r="I167" s="50">
        <f t="shared" si="11"/>
        <v>21.45</v>
      </c>
      <c r="J167" s="50">
        <v>0.35849999999999999</v>
      </c>
      <c r="K167" s="51">
        <v>1371982.88</v>
      </c>
      <c r="L167" s="51">
        <v>2626756.16</v>
      </c>
      <c r="M167" s="50">
        <v>15</v>
      </c>
      <c r="N167" s="50">
        <v>25</v>
      </c>
      <c r="O167" s="50" t="s">
        <v>587</v>
      </c>
      <c r="P167" s="50" t="s">
        <v>2739</v>
      </c>
      <c r="Q167" s="50" t="s">
        <v>1676</v>
      </c>
      <c r="R167" s="53" t="s">
        <v>266</v>
      </c>
    </row>
    <row r="168" spans="1:18" ht="15" customHeight="1" x14ac:dyDescent="0.25">
      <c r="A168" s="50" t="s">
        <v>2949</v>
      </c>
      <c r="B168" s="50" t="s">
        <v>2950</v>
      </c>
      <c r="C168" s="50" t="s">
        <v>1227</v>
      </c>
      <c r="D168" s="50" t="s">
        <v>1269</v>
      </c>
      <c r="E168" s="51">
        <v>309050.77</v>
      </c>
      <c r="F168" s="51">
        <v>3200000</v>
      </c>
      <c r="G168" s="50">
        <f t="shared" si="10"/>
        <v>9.66</v>
      </c>
      <c r="H168" s="50">
        <v>40</v>
      </c>
      <c r="I168" s="50">
        <f t="shared" si="11"/>
        <v>24.15</v>
      </c>
      <c r="J168" s="50">
        <v>0.1021</v>
      </c>
      <c r="K168" s="51">
        <v>1254330.81</v>
      </c>
      <c r="L168" s="51">
        <v>2327650.86</v>
      </c>
      <c r="M168" s="50">
        <v>15</v>
      </c>
      <c r="N168" s="50">
        <v>25</v>
      </c>
      <c r="O168" s="50" t="s">
        <v>587</v>
      </c>
      <c r="P168" s="50" t="s">
        <v>2739</v>
      </c>
      <c r="Q168" s="50" t="s">
        <v>1676</v>
      </c>
      <c r="R168" s="53" t="s">
        <v>266</v>
      </c>
    </row>
    <row r="169" spans="1:18" ht="15" customHeight="1" x14ac:dyDescent="0.25">
      <c r="A169" s="50" t="s">
        <v>2951</v>
      </c>
      <c r="B169" s="50" t="s">
        <v>2542</v>
      </c>
      <c r="C169" s="50" t="s">
        <v>2764</v>
      </c>
      <c r="D169" s="50" t="s">
        <v>674</v>
      </c>
      <c r="E169" s="51">
        <v>268108.5</v>
      </c>
      <c r="F169" s="51">
        <v>3200000</v>
      </c>
      <c r="G169" s="50">
        <f t="shared" si="10"/>
        <v>8.3800000000000008</v>
      </c>
      <c r="H169" s="50">
        <v>40</v>
      </c>
      <c r="I169" s="50">
        <f t="shared" si="11"/>
        <v>20.95</v>
      </c>
      <c r="J169" s="50">
        <v>7.4200000000000002E-2</v>
      </c>
      <c r="K169" s="51">
        <v>1182052.33</v>
      </c>
      <c r="L169" s="51">
        <v>2106319.63</v>
      </c>
      <c r="M169" s="50">
        <v>15</v>
      </c>
      <c r="N169" s="50">
        <v>25</v>
      </c>
      <c r="O169" s="50" t="s">
        <v>587</v>
      </c>
      <c r="P169" s="50" t="s">
        <v>2739</v>
      </c>
      <c r="Q169" s="50" t="s">
        <v>1676</v>
      </c>
      <c r="R169" s="53" t="s">
        <v>266</v>
      </c>
    </row>
    <row r="170" spans="1:18" ht="15" customHeight="1" x14ac:dyDescent="0.25">
      <c r="A170" s="50" t="s">
        <v>2952</v>
      </c>
      <c r="B170" s="50" t="s">
        <v>758</v>
      </c>
      <c r="C170" s="50" t="s">
        <v>2764</v>
      </c>
      <c r="D170" s="50" t="s">
        <v>574</v>
      </c>
      <c r="E170" s="51">
        <v>242508.66</v>
      </c>
      <c r="F170" s="51">
        <v>3200000</v>
      </c>
      <c r="G170" s="50">
        <f t="shared" si="10"/>
        <v>7.58</v>
      </c>
      <c r="H170" s="50">
        <v>40</v>
      </c>
      <c r="I170" s="50">
        <f t="shared" si="11"/>
        <v>18.95</v>
      </c>
      <c r="J170" s="50">
        <v>0.152</v>
      </c>
      <c r="K170" s="51">
        <v>1080053.6499999999</v>
      </c>
      <c r="L170" s="51">
        <v>1981203.91</v>
      </c>
      <c r="M170" s="50">
        <v>15</v>
      </c>
      <c r="N170" s="50">
        <v>25</v>
      </c>
      <c r="O170" s="50" t="s">
        <v>587</v>
      </c>
      <c r="P170" s="50" t="s">
        <v>2739</v>
      </c>
      <c r="Q170" s="50" t="s">
        <v>1676</v>
      </c>
      <c r="R170" s="53" t="s">
        <v>266</v>
      </c>
    </row>
    <row r="171" spans="1:18" ht="15" customHeight="1" x14ac:dyDescent="0.25">
      <c r="A171" s="50" t="s">
        <v>2953</v>
      </c>
      <c r="B171" s="50" t="s">
        <v>1107</v>
      </c>
      <c r="C171" s="50" t="s">
        <v>2764</v>
      </c>
      <c r="D171" s="50" t="s">
        <v>574</v>
      </c>
      <c r="E171" s="51">
        <v>156154.60999999999</v>
      </c>
      <c r="F171" s="51">
        <v>3200000</v>
      </c>
      <c r="G171" s="50">
        <f t="shared" si="10"/>
        <v>4.88</v>
      </c>
      <c r="H171" s="50">
        <v>40</v>
      </c>
      <c r="I171" s="50">
        <f t="shared" si="11"/>
        <v>12.2</v>
      </c>
      <c r="J171" s="50">
        <v>9.9400000000000002E-2</v>
      </c>
      <c r="K171" s="51">
        <v>790457.08</v>
      </c>
      <c r="L171" s="51">
        <v>1570742.73</v>
      </c>
      <c r="M171" s="50">
        <v>15</v>
      </c>
      <c r="N171" s="50">
        <v>25</v>
      </c>
      <c r="O171" s="50" t="s">
        <v>587</v>
      </c>
      <c r="P171" s="50" t="s">
        <v>2739</v>
      </c>
      <c r="Q171" s="50" t="s">
        <v>1676</v>
      </c>
      <c r="R171" s="53" t="s">
        <v>266</v>
      </c>
    </row>
    <row r="172" spans="1:18" ht="15" customHeight="1" x14ac:dyDescent="0.25">
      <c r="A172" s="50" t="s">
        <v>2954</v>
      </c>
      <c r="B172" s="50" t="s">
        <v>1369</v>
      </c>
      <c r="C172" s="50" t="s">
        <v>2748</v>
      </c>
      <c r="D172" s="50" t="s">
        <v>625</v>
      </c>
      <c r="E172" s="51">
        <v>180845.71</v>
      </c>
      <c r="F172" s="51">
        <v>3200000</v>
      </c>
      <c r="G172" s="50">
        <f t="shared" si="10"/>
        <v>5.65</v>
      </c>
      <c r="H172" s="50">
        <v>25</v>
      </c>
      <c r="I172" s="50">
        <f t="shared" si="11"/>
        <v>22.6</v>
      </c>
      <c r="J172" s="50">
        <v>0.39560000000000001</v>
      </c>
      <c r="K172" s="51">
        <v>672682.53</v>
      </c>
      <c r="L172" s="51">
        <v>1367392.45</v>
      </c>
      <c r="M172" s="50">
        <v>15</v>
      </c>
      <c r="N172" s="50">
        <v>25</v>
      </c>
      <c r="O172" s="50" t="s">
        <v>587</v>
      </c>
      <c r="P172" s="50" t="s">
        <v>2739</v>
      </c>
      <c r="Q172" s="50" t="s">
        <v>1676</v>
      </c>
      <c r="R172" s="53" t="s">
        <v>266</v>
      </c>
    </row>
    <row r="173" spans="1:18" ht="15" customHeight="1" x14ac:dyDescent="0.25">
      <c r="A173" s="50" t="s">
        <v>2955</v>
      </c>
      <c r="B173" s="50" t="s">
        <v>1813</v>
      </c>
      <c r="C173" s="50" t="s">
        <v>2744</v>
      </c>
      <c r="D173" s="50" t="s">
        <v>2857</v>
      </c>
      <c r="E173" s="51">
        <v>98775.18</v>
      </c>
      <c r="F173" s="51">
        <v>3200000</v>
      </c>
      <c r="G173" s="50">
        <f t="shared" si="10"/>
        <v>3.09</v>
      </c>
      <c r="H173" s="50">
        <v>40</v>
      </c>
      <c r="I173" s="50">
        <f t="shared" si="11"/>
        <v>7.73</v>
      </c>
      <c r="J173" s="50">
        <v>0.29360000000000003</v>
      </c>
      <c r="K173" s="51">
        <v>503647</v>
      </c>
      <c r="L173" s="51">
        <v>1031389.36</v>
      </c>
      <c r="M173" s="50">
        <v>15</v>
      </c>
      <c r="N173" s="50">
        <v>25</v>
      </c>
      <c r="O173" s="50" t="s">
        <v>587</v>
      </c>
      <c r="P173" s="50" t="s">
        <v>2739</v>
      </c>
      <c r="Q173" s="50" t="s">
        <v>1676</v>
      </c>
      <c r="R173" s="53" t="s">
        <v>266</v>
      </c>
    </row>
    <row r="174" spans="1:18" ht="15" customHeight="1" x14ac:dyDescent="0.25">
      <c r="A174" s="50" t="s">
        <v>2956</v>
      </c>
      <c r="B174" s="50" t="s">
        <v>1810</v>
      </c>
      <c r="C174" s="50" t="s">
        <v>566</v>
      </c>
      <c r="D174" s="50" t="s">
        <v>630</v>
      </c>
      <c r="E174" s="51">
        <v>88222.89</v>
      </c>
      <c r="F174" s="51">
        <v>3200000</v>
      </c>
      <c r="G174" s="50">
        <f t="shared" si="10"/>
        <v>2.76</v>
      </c>
      <c r="H174" s="50">
        <v>40</v>
      </c>
      <c r="I174" s="50">
        <f t="shared" si="11"/>
        <v>6.9</v>
      </c>
      <c r="J174" s="50">
        <v>0.15459999999999999</v>
      </c>
      <c r="K174" s="51">
        <v>451650.05</v>
      </c>
      <c r="L174" s="51">
        <v>927979.23</v>
      </c>
      <c r="M174" s="50">
        <v>15</v>
      </c>
      <c r="N174" s="50">
        <v>25</v>
      </c>
      <c r="O174" s="50" t="s">
        <v>587</v>
      </c>
      <c r="P174" s="50" t="s">
        <v>2739</v>
      </c>
      <c r="Q174" s="50" t="s">
        <v>1676</v>
      </c>
      <c r="R174" s="53" t="s">
        <v>266</v>
      </c>
    </row>
    <row r="175" spans="1:18" ht="15" customHeight="1" x14ac:dyDescent="0.25">
      <c r="A175" s="50" t="s">
        <v>2957</v>
      </c>
      <c r="B175" s="50" t="s">
        <v>1124</v>
      </c>
      <c r="C175" s="50" t="s">
        <v>2742</v>
      </c>
      <c r="D175" s="50" t="s">
        <v>593</v>
      </c>
      <c r="E175" s="51">
        <v>176477.66</v>
      </c>
      <c r="F175" s="51">
        <v>3200000</v>
      </c>
      <c r="G175" s="50">
        <f t="shared" si="10"/>
        <v>5.51</v>
      </c>
      <c r="H175" s="50">
        <v>40</v>
      </c>
      <c r="I175" s="50">
        <f t="shared" si="11"/>
        <v>13.78</v>
      </c>
      <c r="J175" s="50">
        <v>0.2455</v>
      </c>
      <c r="K175" s="51">
        <v>670296.14</v>
      </c>
      <c r="L175" s="51">
        <v>1080344.46</v>
      </c>
      <c r="M175" s="50">
        <v>15</v>
      </c>
      <c r="N175" s="50">
        <v>25</v>
      </c>
      <c r="O175" s="50" t="s">
        <v>587</v>
      </c>
      <c r="P175" s="50" t="s">
        <v>2739</v>
      </c>
      <c r="Q175" s="50" t="s">
        <v>1676</v>
      </c>
      <c r="R175" s="53" t="s">
        <v>266</v>
      </c>
    </row>
    <row r="176" spans="1:18" ht="15" customHeight="1" x14ac:dyDescent="0.25">
      <c r="A176" s="50" t="s">
        <v>2958</v>
      </c>
      <c r="B176" s="50" t="s">
        <v>782</v>
      </c>
      <c r="C176" s="50" t="s">
        <v>1227</v>
      </c>
      <c r="D176" s="50" t="s">
        <v>1295</v>
      </c>
      <c r="E176" s="51">
        <v>5503.88</v>
      </c>
      <c r="F176" s="51">
        <v>3200000</v>
      </c>
      <c r="G176" s="50">
        <f t="shared" si="10"/>
        <v>0.17</v>
      </c>
      <c r="H176" s="50">
        <v>40</v>
      </c>
      <c r="I176" s="50">
        <f t="shared" si="11"/>
        <v>0.43</v>
      </c>
      <c r="J176" s="50">
        <v>0.1216</v>
      </c>
      <c r="K176" s="51">
        <v>20457.55</v>
      </c>
      <c r="L176" s="51">
        <v>36492.239999999998</v>
      </c>
      <c r="M176" s="50">
        <v>15</v>
      </c>
      <c r="N176" s="50">
        <v>25</v>
      </c>
      <c r="O176" s="50" t="s">
        <v>587</v>
      </c>
      <c r="P176" s="50" t="s">
        <v>2739</v>
      </c>
      <c r="Q176" s="50" t="s">
        <v>1676</v>
      </c>
      <c r="R176" s="53" t="s">
        <v>266</v>
      </c>
    </row>
    <row r="177" spans="1:18" ht="15" customHeight="1" x14ac:dyDescent="0.25">
      <c r="A177" s="50" t="s">
        <v>2959</v>
      </c>
      <c r="B177" s="50" t="s">
        <v>1487</v>
      </c>
      <c r="C177" s="50" t="s">
        <v>2744</v>
      </c>
      <c r="D177" s="50" t="s">
        <v>602</v>
      </c>
      <c r="E177" s="51">
        <v>207236.36</v>
      </c>
      <c r="F177" s="51">
        <v>3200000</v>
      </c>
      <c r="G177" s="50">
        <f t="shared" si="10"/>
        <v>6.48</v>
      </c>
      <c r="H177" s="50">
        <v>40</v>
      </c>
      <c r="I177" s="50">
        <f t="shared" si="11"/>
        <v>16.2</v>
      </c>
      <c r="J177" s="50">
        <v>0.28270000000000001</v>
      </c>
      <c r="K177" s="51">
        <v>1002956.13</v>
      </c>
      <c r="L177" s="51">
        <v>2182826.09</v>
      </c>
      <c r="M177" s="50">
        <v>15</v>
      </c>
      <c r="N177" s="50">
        <v>25</v>
      </c>
      <c r="O177" s="50" t="s">
        <v>587</v>
      </c>
      <c r="P177" s="50" t="s">
        <v>2739</v>
      </c>
      <c r="Q177" s="50" t="s">
        <v>1676</v>
      </c>
      <c r="R177" s="53" t="s">
        <v>266</v>
      </c>
    </row>
    <row r="178" spans="1:18" ht="15" customHeight="1" x14ac:dyDescent="0.25">
      <c r="A178" s="50" t="s">
        <v>2960</v>
      </c>
      <c r="B178" s="50" t="s">
        <v>1519</v>
      </c>
      <c r="C178" s="50" t="s">
        <v>2738</v>
      </c>
      <c r="D178" s="50" t="s">
        <v>2815</v>
      </c>
      <c r="E178" s="51">
        <v>136072.92000000001</v>
      </c>
      <c r="F178" s="51">
        <v>3200000</v>
      </c>
      <c r="G178" s="50">
        <f t="shared" si="10"/>
        <v>4.25</v>
      </c>
      <c r="H178" s="50">
        <v>40</v>
      </c>
      <c r="I178" s="50">
        <f t="shared" si="11"/>
        <v>10.63</v>
      </c>
      <c r="J178" s="50">
        <v>0.28110000000000002</v>
      </c>
      <c r="K178" s="51">
        <v>718534.98</v>
      </c>
      <c r="L178" s="51">
        <v>1289647.44</v>
      </c>
      <c r="M178" s="50">
        <v>15</v>
      </c>
      <c r="N178" s="50">
        <v>25</v>
      </c>
      <c r="O178" s="50" t="s">
        <v>587</v>
      </c>
      <c r="P178" s="50" t="s">
        <v>2739</v>
      </c>
      <c r="Q178" s="50" t="s">
        <v>1676</v>
      </c>
      <c r="R178" s="53" t="s">
        <v>266</v>
      </c>
    </row>
    <row r="179" spans="1:18" ht="15" customHeight="1" x14ac:dyDescent="0.25">
      <c r="A179" s="50" t="s">
        <v>2961</v>
      </c>
      <c r="B179" s="50" t="s">
        <v>1496</v>
      </c>
      <c r="C179" s="50" t="s">
        <v>2738</v>
      </c>
      <c r="D179" s="50" t="s">
        <v>2185</v>
      </c>
      <c r="E179" s="51">
        <v>266829.65000000002</v>
      </c>
      <c r="F179" s="51">
        <v>3200000</v>
      </c>
      <c r="G179" s="50">
        <f t="shared" si="10"/>
        <v>8.34</v>
      </c>
      <c r="H179" s="50">
        <v>40</v>
      </c>
      <c r="I179" s="50">
        <f t="shared" si="11"/>
        <v>20.85</v>
      </c>
      <c r="J179" s="50">
        <v>0.247</v>
      </c>
      <c r="K179" s="51">
        <v>1197078.1499999999</v>
      </c>
      <c r="L179" s="51">
        <v>2224762.46</v>
      </c>
      <c r="M179" s="50">
        <v>15</v>
      </c>
      <c r="N179" s="50">
        <v>25</v>
      </c>
      <c r="O179" s="50" t="s">
        <v>587</v>
      </c>
      <c r="P179" s="50" t="s">
        <v>2739</v>
      </c>
      <c r="Q179" s="50" t="s">
        <v>1676</v>
      </c>
      <c r="R179" s="53" t="s">
        <v>266</v>
      </c>
    </row>
    <row r="180" spans="1:18" ht="15" customHeight="1" x14ac:dyDescent="0.25">
      <c r="A180" s="50" t="s">
        <v>2962</v>
      </c>
      <c r="B180" s="50" t="s">
        <v>831</v>
      </c>
      <c r="C180" s="50" t="s">
        <v>565</v>
      </c>
      <c r="D180" s="50" t="s">
        <v>671</v>
      </c>
      <c r="E180" s="51">
        <v>40601.379999999997</v>
      </c>
      <c r="F180" s="51">
        <v>3200000</v>
      </c>
      <c r="G180" s="50">
        <f t="shared" si="10"/>
        <v>1.27</v>
      </c>
      <c r="H180" s="50">
        <v>40</v>
      </c>
      <c r="I180" s="50">
        <f t="shared" si="11"/>
        <v>3.18</v>
      </c>
      <c r="J180" s="50">
        <v>0.38150000000000001</v>
      </c>
      <c r="K180" s="51">
        <v>160887.39000000001</v>
      </c>
      <c r="L180" s="51">
        <v>341070.15</v>
      </c>
      <c r="M180" s="50">
        <v>15</v>
      </c>
      <c r="N180" s="50">
        <v>25</v>
      </c>
      <c r="O180" s="50" t="s">
        <v>587</v>
      </c>
      <c r="P180" s="50" t="s">
        <v>2739</v>
      </c>
      <c r="Q180" s="50" t="s">
        <v>1676</v>
      </c>
      <c r="R180" s="53" t="s">
        <v>266</v>
      </c>
    </row>
    <row r="181" spans="1:18" ht="15" customHeight="1" x14ac:dyDescent="0.25">
      <c r="A181" s="50" t="s">
        <v>2963</v>
      </c>
      <c r="B181" s="50" t="s">
        <v>1335</v>
      </c>
      <c r="C181" s="50" t="s">
        <v>2764</v>
      </c>
      <c r="D181" s="50" t="s">
        <v>594</v>
      </c>
      <c r="E181" s="51">
        <v>189568.35</v>
      </c>
      <c r="F181" s="51">
        <v>3200000</v>
      </c>
      <c r="G181" s="50">
        <f t="shared" si="10"/>
        <v>5.92</v>
      </c>
      <c r="H181" s="50">
        <v>40</v>
      </c>
      <c r="I181" s="50">
        <f t="shared" si="11"/>
        <v>14.8</v>
      </c>
      <c r="J181" s="50">
        <v>0.32329999999999998</v>
      </c>
      <c r="K181" s="51">
        <v>702394.4</v>
      </c>
      <c r="L181" s="51">
        <v>1540958.32</v>
      </c>
      <c r="M181" s="50">
        <v>15</v>
      </c>
      <c r="N181" s="50">
        <v>25</v>
      </c>
      <c r="O181" s="50" t="s">
        <v>587</v>
      </c>
      <c r="P181" s="50" t="s">
        <v>2739</v>
      </c>
      <c r="Q181" s="50" t="s">
        <v>1676</v>
      </c>
      <c r="R181" s="53" t="s">
        <v>266</v>
      </c>
    </row>
    <row r="182" spans="1:18" ht="15" customHeight="1" x14ac:dyDescent="0.25">
      <c r="A182" s="50" t="s">
        <v>2964</v>
      </c>
      <c r="B182" s="50" t="s">
        <v>1314</v>
      </c>
      <c r="C182" s="50" t="s">
        <v>2764</v>
      </c>
      <c r="D182" s="50" t="s">
        <v>585</v>
      </c>
      <c r="E182" s="51">
        <v>51823.83</v>
      </c>
      <c r="F182" s="51">
        <v>3200000</v>
      </c>
      <c r="G182" s="50">
        <f t="shared" si="10"/>
        <v>1.62</v>
      </c>
      <c r="H182" s="50">
        <v>40</v>
      </c>
      <c r="I182" s="50">
        <f t="shared" si="11"/>
        <v>4.05</v>
      </c>
      <c r="J182" s="50">
        <v>0.3231</v>
      </c>
      <c r="K182" s="51">
        <v>204027.36</v>
      </c>
      <c r="L182" s="51">
        <v>338300.56</v>
      </c>
      <c r="M182" s="50">
        <v>15</v>
      </c>
      <c r="N182" s="50">
        <v>25</v>
      </c>
      <c r="O182" s="50" t="s">
        <v>587</v>
      </c>
      <c r="P182" s="50" t="s">
        <v>2739</v>
      </c>
      <c r="Q182" s="50" t="s">
        <v>1676</v>
      </c>
      <c r="R182" s="53" t="s">
        <v>266</v>
      </c>
    </row>
    <row r="183" spans="1:18" ht="15" customHeight="1" x14ac:dyDescent="0.25">
      <c r="A183" s="50" t="s">
        <v>2965</v>
      </c>
      <c r="B183" s="50" t="s">
        <v>2333</v>
      </c>
      <c r="C183" s="50" t="s">
        <v>565</v>
      </c>
      <c r="D183" s="50" t="s">
        <v>655</v>
      </c>
      <c r="E183" s="51">
        <v>146152.67000000001</v>
      </c>
      <c r="F183" s="51">
        <v>3200000</v>
      </c>
      <c r="G183" s="50">
        <f t="shared" si="10"/>
        <v>4.57</v>
      </c>
      <c r="H183" s="50">
        <v>40</v>
      </c>
      <c r="I183" s="50">
        <f t="shared" si="11"/>
        <v>11.43</v>
      </c>
      <c r="J183" s="50">
        <v>0.4168</v>
      </c>
      <c r="K183" s="51">
        <v>699492.3</v>
      </c>
      <c r="L183" s="51">
        <v>1492633.29</v>
      </c>
      <c r="M183" s="50">
        <v>15</v>
      </c>
      <c r="N183" s="50">
        <v>25</v>
      </c>
      <c r="O183" s="50" t="s">
        <v>587</v>
      </c>
      <c r="P183" s="50" t="s">
        <v>2739</v>
      </c>
      <c r="Q183" s="50" t="s">
        <v>1676</v>
      </c>
      <c r="R183" s="53" t="s">
        <v>266</v>
      </c>
    </row>
    <row r="184" spans="1:18" ht="15" customHeight="1" x14ac:dyDescent="0.25">
      <c r="A184" s="50" t="s">
        <v>2966</v>
      </c>
      <c r="B184" s="50" t="s">
        <v>1795</v>
      </c>
      <c r="C184" s="50" t="s">
        <v>566</v>
      </c>
      <c r="D184" s="50" t="s">
        <v>644</v>
      </c>
      <c r="E184" s="51">
        <v>323630.67</v>
      </c>
      <c r="F184" s="51">
        <v>3200000</v>
      </c>
      <c r="G184" s="50">
        <f t="shared" si="10"/>
        <v>10.11</v>
      </c>
      <c r="H184" s="50">
        <v>40</v>
      </c>
      <c r="I184" s="50">
        <f t="shared" si="11"/>
        <v>25.28</v>
      </c>
      <c r="J184" s="50">
        <v>0.27639999999999998</v>
      </c>
      <c r="K184" s="51">
        <v>1193232.8500000001</v>
      </c>
      <c r="L184" s="51">
        <v>2088384.21</v>
      </c>
      <c r="M184" s="50">
        <v>15</v>
      </c>
      <c r="N184" s="50">
        <v>25</v>
      </c>
      <c r="O184" s="50" t="s">
        <v>587</v>
      </c>
      <c r="P184" s="50" t="s">
        <v>2739</v>
      </c>
      <c r="Q184" s="50" t="s">
        <v>1676</v>
      </c>
      <c r="R184" s="53" t="s">
        <v>266</v>
      </c>
    </row>
    <row r="185" spans="1:18" ht="15" customHeight="1" x14ac:dyDescent="0.25">
      <c r="A185" s="50" t="s">
        <v>2967</v>
      </c>
      <c r="B185" s="50" t="s">
        <v>1889</v>
      </c>
      <c r="C185" s="50" t="s">
        <v>2748</v>
      </c>
      <c r="D185" s="50" t="s">
        <v>582</v>
      </c>
      <c r="E185" s="51">
        <v>169224.3</v>
      </c>
      <c r="F185" s="51">
        <v>3200000</v>
      </c>
      <c r="G185" s="50">
        <f t="shared" si="10"/>
        <v>5.29</v>
      </c>
      <c r="H185" s="50">
        <v>25</v>
      </c>
      <c r="I185" s="50">
        <f t="shared" si="11"/>
        <v>21.16</v>
      </c>
      <c r="J185" s="50">
        <v>0.1525</v>
      </c>
      <c r="K185" s="51">
        <v>648818.74</v>
      </c>
      <c r="L185" s="51">
        <v>1332930.52</v>
      </c>
      <c r="M185" s="50">
        <v>15</v>
      </c>
      <c r="N185" s="50">
        <v>25</v>
      </c>
      <c r="O185" s="50" t="s">
        <v>587</v>
      </c>
      <c r="P185" s="50" t="s">
        <v>2739</v>
      </c>
      <c r="Q185" s="50" t="s">
        <v>1676</v>
      </c>
      <c r="R185" s="53" t="s">
        <v>266</v>
      </c>
    </row>
    <row r="186" spans="1:18" ht="15" customHeight="1" x14ac:dyDescent="0.25">
      <c r="A186" s="50" t="s">
        <v>2968</v>
      </c>
      <c r="B186" s="50" t="s">
        <v>2075</v>
      </c>
      <c r="C186" s="50" t="s">
        <v>2764</v>
      </c>
      <c r="D186" s="50" t="s">
        <v>674</v>
      </c>
      <c r="E186" s="51">
        <v>347328.65</v>
      </c>
      <c r="F186" s="51">
        <v>3200000</v>
      </c>
      <c r="G186" s="50">
        <f t="shared" si="10"/>
        <v>10.85</v>
      </c>
      <c r="H186" s="50">
        <v>40</v>
      </c>
      <c r="I186" s="50">
        <f t="shared" si="11"/>
        <v>27.13</v>
      </c>
      <c r="J186" s="50">
        <v>0.34439999999999998</v>
      </c>
      <c r="K186" s="51">
        <v>1832136.59</v>
      </c>
      <c r="L186" s="51">
        <v>3041449.57</v>
      </c>
      <c r="M186" s="50">
        <v>15</v>
      </c>
      <c r="N186" s="50">
        <v>25</v>
      </c>
      <c r="O186" s="50" t="s">
        <v>587</v>
      </c>
      <c r="P186" s="50" t="s">
        <v>2739</v>
      </c>
      <c r="Q186" s="50" t="s">
        <v>1676</v>
      </c>
      <c r="R186" s="53" t="s">
        <v>266</v>
      </c>
    </row>
    <row r="187" spans="1:18" ht="15" customHeight="1" x14ac:dyDescent="0.25">
      <c r="A187" s="50" t="s">
        <v>2969</v>
      </c>
      <c r="B187" s="50" t="s">
        <v>1635</v>
      </c>
      <c r="C187" s="50" t="s">
        <v>2748</v>
      </c>
      <c r="D187" s="50" t="s">
        <v>625</v>
      </c>
      <c r="E187" s="51">
        <v>100796.14</v>
      </c>
      <c r="F187" s="51">
        <v>3200000</v>
      </c>
      <c r="G187" s="50">
        <f t="shared" si="10"/>
        <v>3.15</v>
      </c>
      <c r="H187" s="50">
        <v>25</v>
      </c>
      <c r="I187" s="50">
        <f t="shared" si="11"/>
        <v>12.6</v>
      </c>
      <c r="J187" s="50">
        <v>0.20799999999999999</v>
      </c>
      <c r="K187" s="51">
        <v>423133.89</v>
      </c>
      <c r="L187" s="51">
        <v>767624.03</v>
      </c>
      <c r="M187" s="50">
        <v>15</v>
      </c>
      <c r="N187" s="50">
        <v>25</v>
      </c>
      <c r="O187" s="50" t="s">
        <v>587</v>
      </c>
      <c r="P187" s="50" t="s">
        <v>2739</v>
      </c>
      <c r="Q187" s="50" t="s">
        <v>1676</v>
      </c>
      <c r="R187" s="53" t="s">
        <v>266</v>
      </c>
    </row>
    <row r="188" spans="1:18" ht="15" customHeight="1" x14ac:dyDescent="0.25">
      <c r="A188" s="50" t="s">
        <v>2970</v>
      </c>
      <c r="B188" s="50" t="s">
        <v>966</v>
      </c>
      <c r="C188" s="50" t="s">
        <v>2742</v>
      </c>
      <c r="D188" s="50" t="s">
        <v>572</v>
      </c>
      <c r="E188" s="51">
        <v>259920.74</v>
      </c>
      <c r="F188" s="51">
        <v>3200000</v>
      </c>
      <c r="G188" s="50">
        <f t="shared" si="10"/>
        <v>8.1199999999999992</v>
      </c>
      <c r="H188" s="50">
        <v>40</v>
      </c>
      <c r="I188" s="50">
        <f t="shared" si="11"/>
        <v>20.3</v>
      </c>
      <c r="J188" s="50">
        <v>0.41289999999999999</v>
      </c>
      <c r="K188" s="51">
        <v>1206918.1599999999</v>
      </c>
      <c r="L188" s="51">
        <v>2414293.9300000002</v>
      </c>
      <c r="M188" s="50">
        <v>15</v>
      </c>
      <c r="N188" s="50">
        <v>25</v>
      </c>
      <c r="O188" s="50" t="s">
        <v>587</v>
      </c>
      <c r="P188" s="50" t="s">
        <v>2739</v>
      </c>
      <c r="Q188" s="50" t="s">
        <v>1676</v>
      </c>
      <c r="R188" s="53" t="s">
        <v>266</v>
      </c>
    </row>
    <row r="189" spans="1:18" ht="15" customHeight="1" x14ac:dyDescent="0.25">
      <c r="A189" s="50" t="s">
        <v>2971</v>
      </c>
      <c r="B189" s="50" t="s">
        <v>1576</v>
      </c>
      <c r="C189" s="50" t="s">
        <v>2742</v>
      </c>
      <c r="D189" s="50" t="s">
        <v>642</v>
      </c>
      <c r="E189" s="51">
        <v>85805.75</v>
      </c>
      <c r="F189" s="51">
        <v>3200000</v>
      </c>
      <c r="G189" s="50">
        <f t="shared" si="10"/>
        <v>2.68</v>
      </c>
      <c r="H189" s="50">
        <v>40</v>
      </c>
      <c r="I189" s="50">
        <f t="shared" si="11"/>
        <v>6.7</v>
      </c>
      <c r="J189" s="50">
        <v>6.6699999999999995E-2</v>
      </c>
      <c r="K189" s="51">
        <v>331105.78000000003</v>
      </c>
      <c r="L189" s="51">
        <v>694119.06</v>
      </c>
      <c r="M189" s="50">
        <v>15</v>
      </c>
      <c r="N189" s="50">
        <v>25</v>
      </c>
      <c r="O189" s="50" t="s">
        <v>587</v>
      </c>
      <c r="P189" s="50" t="s">
        <v>2739</v>
      </c>
      <c r="Q189" s="50" t="s">
        <v>1676</v>
      </c>
      <c r="R189" s="53" t="s">
        <v>266</v>
      </c>
    </row>
    <row r="190" spans="1:18" ht="15" customHeight="1" x14ac:dyDescent="0.25">
      <c r="A190" s="50" t="s">
        <v>2972</v>
      </c>
      <c r="B190" s="50" t="s">
        <v>901</v>
      </c>
      <c r="C190" s="50" t="s">
        <v>2742</v>
      </c>
      <c r="D190" s="50" t="s">
        <v>626</v>
      </c>
      <c r="E190" s="51">
        <v>163995.01999999999</v>
      </c>
      <c r="F190" s="51">
        <v>3200000</v>
      </c>
      <c r="G190" s="50">
        <f t="shared" si="10"/>
        <v>5.12</v>
      </c>
      <c r="H190" s="50">
        <v>40</v>
      </c>
      <c r="I190" s="50">
        <f t="shared" si="11"/>
        <v>12.8</v>
      </c>
      <c r="J190" s="50">
        <v>0.29480000000000001</v>
      </c>
      <c r="K190" s="51">
        <v>647985.38</v>
      </c>
      <c r="L190" s="51">
        <v>1089074.8799999999</v>
      </c>
      <c r="M190" s="50">
        <v>15</v>
      </c>
      <c r="N190" s="50">
        <v>25</v>
      </c>
      <c r="O190" s="50" t="s">
        <v>587</v>
      </c>
      <c r="P190" s="50" t="s">
        <v>2739</v>
      </c>
      <c r="Q190" s="50" t="s">
        <v>1676</v>
      </c>
      <c r="R190" s="53" t="s">
        <v>266</v>
      </c>
    </row>
    <row r="191" spans="1:18" ht="15" customHeight="1" x14ac:dyDescent="0.25">
      <c r="A191" s="50" t="s">
        <v>2973</v>
      </c>
      <c r="B191" s="50" t="s">
        <v>1447</v>
      </c>
      <c r="C191" s="50" t="s">
        <v>2748</v>
      </c>
      <c r="D191" s="50" t="s">
        <v>571</v>
      </c>
      <c r="E191" s="51">
        <v>221360.05</v>
      </c>
      <c r="F191" s="51">
        <v>3200000</v>
      </c>
      <c r="G191" s="50">
        <f t="shared" si="10"/>
        <v>6.92</v>
      </c>
      <c r="H191" s="50">
        <v>25</v>
      </c>
      <c r="I191" s="50">
        <f t="shared" si="11"/>
        <v>27.68</v>
      </c>
      <c r="J191" s="50">
        <v>0.37569999999999998</v>
      </c>
      <c r="K191" s="51">
        <v>907396.3</v>
      </c>
      <c r="L191" s="51">
        <v>1825732.03</v>
      </c>
      <c r="M191" s="50">
        <v>15</v>
      </c>
      <c r="N191" s="50">
        <v>25</v>
      </c>
      <c r="O191" s="50" t="s">
        <v>587</v>
      </c>
      <c r="P191" s="50" t="s">
        <v>2739</v>
      </c>
      <c r="Q191" s="50" t="s">
        <v>1676</v>
      </c>
      <c r="R191" s="53" t="s">
        <v>266</v>
      </c>
    </row>
    <row r="192" spans="1:18" ht="15" customHeight="1" x14ac:dyDescent="0.25">
      <c r="A192" s="50" t="s">
        <v>2974</v>
      </c>
      <c r="B192" s="50" t="s">
        <v>1062</v>
      </c>
      <c r="C192" s="50" t="s">
        <v>566</v>
      </c>
      <c r="D192" s="50" t="s">
        <v>661</v>
      </c>
      <c r="E192" s="51">
        <v>168436.87</v>
      </c>
      <c r="F192" s="51">
        <v>3200000</v>
      </c>
      <c r="G192" s="50">
        <f t="shared" si="10"/>
        <v>5.26</v>
      </c>
      <c r="H192" s="50">
        <v>40</v>
      </c>
      <c r="I192" s="50">
        <f t="shared" si="11"/>
        <v>13.15</v>
      </c>
      <c r="J192" s="50">
        <v>5.28E-2</v>
      </c>
      <c r="K192" s="51">
        <v>715700.27</v>
      </c>
      <c r="L192" s="51">
        <v>1374014.12</v>
      </c>
      <c r="M192" s="50">
        <v>15</v>
      </c>
      <c r="N192" s="50">
        <v>25</v>
      </c>
      <c r="O192" s="50" t="s">
        <v>587</v>
      </c>
      <c r="P192" s="50" t="s">
        <v>2739</v>
      </c>
      <c r="Q192" s="50" t="s">
        <v>1676</v>
      </c>
      <c r="R192" s="53" t="s">
        <v>266</v>
      </c>
    </row>
    <row r="193" spans="1:18" ht="15" customHeight="1" x14ac:dyDescent="0.25">
      <c r="A193" s="50" t="s">
        <v>2975</v>
      </c>
      <c r="B193" s="50" t="s">
        <v>2976</v>
      </c>
      <c r="C193" s="50" t="s">
        <v>1227</v>
      </c>
      <c r="D193" s="50" t="s">
        <v>1269</v>
      </c>
      <c r="E193" s="51">
        <v>34265.42</v>
      </c>
      <c r="F193" s="51">
        <v>3200000</v>
      </c>
      <c r="G193" s="50">
        <f t="shared" si="10"/>
        <v>1.07</v>
      </c>
      <c r="H193" s="50">
        <v>40</v>
      </c>
      <c r="I193" s="50">
        <f t="shared" si="11"/>
        <v>2.68</v>
      </c>
      <c r="J193" s="50">
        <v>0.10829999999999999</v>
      </c>
      <c r="K193" s="51">
        <v>124946.32</v>
      </c>
      <c r="L193" s="51">
        <v>231029.71</v>
      </c>
      <c r="M193" s="50">
        <v>15</v>
      </c>
      <c r="N193" s="50">
        <v>25</v>
      </c>
      <c r="O193" s="50" t="s">
        <v>587</v>
      </c>
      <c r="P193" s="50" t="s">
        <v>2739</v>
      </c>
      <c r="Q193" s="50" t="s">
        <v>1676</v>
      </c>
      <c r="R193" s="53" t="s">
        <v>266</v>
      </c>
    </row>
    <row r="194" spans="1:18" ht="15" customHeight="1" x14ac:dyDescent="0.25">
      <c r="A194" s="50" t="s">
        <v>2977</v>
      </c>
      <c r="B194" s="50" t="s">
        <v>1866</v>
      </c>
      <c r="C194" s="50" t="s">
        <v>2748</v>
      </c>
      <c r="D194" s="50" t="s">
        <v>659</v>
      </c>
      <c r="E194" s="51">
        <v>285346.84000000003</v>
      </c>
      <c r="F194" s="51">
        <v>3200000</v>
      </c>
      <c r="G194" s="50">
        <f t="shared" si="10"/>
        <v>8.92</v>
      </c>
      <c r="H194" s="50">
        <v>25</v>
      </c>
      <c r="I194" s="50">
        <f t="shared" si="11"/>
        <v>35.68</v>
      </c>
      <c r="J194" s="50">
        <v>0.14849999999999999</v>
      </c>
      <c r="K194" s="51">
        <v>1295624.1000000001</v>
      </c>
      <c r="L194" s="51">
        <v>2504439.31</v>
      </c>
      <c r="M194" s="50">
        <v>15</v>
      </c>
      <c r="N194" s="50">
        <v>25</v>
      </c>
      <c r="O194" s="50" t="s">
        <v>587</v>
      </c>
      <c r="P194" s="50" t="s">
        <v>2739</v>
      </c>
      <c r="Q194" s="50" t="s">
        <v>1676</v>
      </c>
      <c r="R194" s="53" t="s">
        <v>266</v>
      </c>
    </row>
    <row r="195" spans="1:18" ht="15" customHeight="1" x14ac:dyDescent="0.25">
      <c r="A195" s="50" t="s">
        <v>2978</v>
      </c>
      <c r="B195" s="50" t="s">
        <v>2979</v>
      </c>
      <c r="C195" s="50" t="s">
        <v>2738</v>
      </c>
      <c r="D195" s="50" t="s">
        <v>2185</v>
      </c>
      <c r="E195" s="51">
        <v>59302.02</v>
      </c>
      <c r="F195" s="51">
        <v>3200000</v>
      </c>
      <c r="G195" s="50">
        <f t="shared" ref="G195:G226" si="12">ROUND(E195/F195*100,2)</f>
        <v>1.85</v>
      </c>
      <c r="H195" s="50">
        <v>40</v>
      </c>
      <c r="I195" s="50">
        <f t="shared" ref="I195:I226" si="13">ROUND(G195/H195*100,2)</f>
        <v>4.63</v>
      </c>
      <c r="J195" s="50">
        <v>0.41899999999999998</v>
      </c>
      <c r="K195" s="51">
        <v>270754.96999999997</v>
      </c>
      <c r="L195" s="51">
        <v>525366.49</v>
      </c>
      <c r="M195" s="50">
        <v>15</v>
      </c>
      <c r="N195" s="50">
        <v>25</v>
      </c>
      <c r="O195" s="50" t="s">
        <v>587</v>
      </c>
      <c r="P195" s="50" t="s">
        <v>2739</v>
      </c>
      <c r="Q195" s="50" t="s">
        <v>1676</v>
      </c>
      <c r="R195" s="53" t="s">
        <v>266</v>
      </c>
    </row>
    <row r="196" spans="1:18" ht="15" customHeight="1" x14ac:dyDescent="0.25">
      <c r="A196" s="50" t="s">
        <v>2980</v>
      </c>
      <c r="B196" s="50" t="s">
        <v>2378</v>
      </c>
      <c r="C196" s="50" t="s">
        <v>1227</v>
      </c>
      <c r="D196" s="50" t="s">
        <v>1290</v>
      </c>
      <c r="E196" s="51">
        <v>215777.32</v>
      </c>
      <c r="F196" s="51">
        <v>3200000</v>
      </c>
      <c r="G196" s="50">
        <f t="shared" si="12"/>
        <v>6.74</v>
      </c>
      <c r="H196" s="50">
        <v>40</v>
      </c>
      <c r="I196" s="50">
        <f t="shared" si="13"/>
        <v>16.850000000000001</v>
      </c>
      <c r="J196" s="50">
        <v>0.34399999999999997</v>
      </c>
      <c r="K196" s="51">
        <v>875700.05</v>
      </c>
      <c r="L196" s="51">
        <v>1537849.43</v>
      </c>
      <c r="M196" s="50">
        <v>15</v>
      </c>
      <c r="N196" s="50">
        <v>25</v>
      </c>
      <c r="O196" s="50" t="s">
        <v>587</v>
      </c>
      <c r="P196" s="50" t="s">
        <v>2739</v>
      </c>
      <c r="Q196" s="50" t="s">
        <v>1676</v>
      </c>
      <c r="R196" s="53" t="s">
        <v>266</v>
      </c>
    </row>
    <row r="197" spans="1:18" ht="15" customHeight="1" x14ac:dyDescent="0.25">
      <c r="A197" s="50" t="s">
        <v>2981</v>
      </c>
      <c r="B197" s="50" t="s">
        <v>1751</v>
      </c>
      <c r="C197" s="50" t="s">
        <v>565</v>
      </c>
      <c r="D197" s="50" t="s">
        <v>700</v>
      </c>
      <c r="E197" s="51">
        <v>145006.57999999999</v>
      </c>
      <c r="F197" s="51">
        <v>3200000</v>
      </c>
      <c r="G197" s="50">
        <f t="shared" si="12"/>
        <v>4.53</v>
      </c>
      <c r="H197" s="50">
        <v>40</v>
      </c>
      <c r="I197" s="50">
        <f t="shared" si="13"/>
        <v>11.33</v>
      </c>
      <c r="J197" s="50">
        <v>0.18890000000000001</v>
      </c>
      <c r="K197" s="51">
        <v>662809.92000000004</v>
      </c>
      <c r="L197" s="51">
        <v>1429249.2</v>
      </c>
      <c r="M197" s="50">
        <v>15</v>
      </c>
      <c r="N197" s="50">
        <v>25</v>
      </c>
      <c r="O197" s="50" t="s">
        <v>587</v>
      </c>
      <c r="P197" s="50" t="s">
        <v>2739</v>
      </c>
      <c r="Q197" s="50" t="s">
        <v>1676</v>
      </c>
      <c r="R197" s="53" t="s">
        <v>266</v>
      </c>
    </row>
    <row r="198" spans="1:18" ht="15" customHeight="1" x14ac:dyDescent="0.25">
      <c r="A198" s="50" t="s">
        <v>2982</v>
      </c>
      <c r="B198" s="50" t="s">
        <v>1895</v>
      </c>
      <c r="C198" s="50" t="s">
        <v>566</v>
      </c>
      <c r="D198" s="50" t="s">
        <v>661</v>
      </c>
      <c r="E198" s="51">
        <v>315786.67</v>
      </c>
      <c r="F198" s="51">
        <v>3200000</v>
      </c>
      <c r="G198" s="50">
        <f t="shared" si="12"/>
        <v>9.8699999999999992</v>
      </c>
      <c r="H198" s="50">
        <v>40</v>
      </c>
      <c r="I198" s="50">
        <f t="shared" si="13"/>
        <v>24.68</v>
      </c>
      <c r="J198" s="50">
        <v>0.13500000000000001</v>
      </c>
      <c r="K198" s="51">
        <v>1547524.94</v>
      </c>
      <c r="L198" s="51">
        <v>3357723</v>
      </c>
      <c r="M198" s="50">
        <v>15</v>
      </c>
      <c r="N198" s="50">
        <v>25</v>
      </c>
      <c r="O198" s="50" t="s">
        <v>587</v>
      </c>
      <c r="P198" s="50" t="s">
        <v>2739</v>
      </c>
      <c r="Q198" s="50" t="s">
        <v>1676</v>
      </c>
      <c r="R198" s="53" t="s">
        <v>266</v>
      </c>
    </row>
    <row r="199" spans="1:18" ht="15" customHeight="1" x14ac:dyDescent="0.25">
      <c r="A199" s="50" t="s">
        <v>2983</v>
      </c>
      <c r="B199" s="50" t="s">
        <v>2984</v>
      </c>
      <c r="C199" s="50" t="s">
        <v>2764</v>
      </c>
      <c r="D199" s="50" t="s">
        <v>594</v>
      </c>
      <c r="E199" s="51">
        <v>318719.88</v>
      </c>
      <c r="F199" s="51">
        <v>3200000</v>
      </c>
      <c r="G199" s="50">
        <f t="shared" si="12"/>
        <v>9.9600000000000009</v>
      </c>
      <c r="H199" s="50">
        <v>40</v>
      </c>
      <c r="I199" s="50">
        <f t="shared" si="13"/>
        <v>24.9</v>
      </c>
      <c r="J199" s="50">
        <v>0.26479999999999998</v>
      </c>
      <c r="K199" s="51">
        <v>1585702.97</v>
      </c>
      <c r="L199" s="51">
        <v>2665774.2400000002</v>
      </c>
      <c r="M199" s="50">
        <v>15</v>
      </c>
      <c r="N199" s="50">
        <v>25</v>
      </c>
      <c r="O199" s="50" t="s">
        <v>587</v>
      </c>
      <c r="P199" s="50" t="s">
        <v>2739</v>
      </c>
      <c r="Q199" s="50" t="s">
        <v>1676</v>
      </c>
      <c r="R199" s="53" t="s">
        <v>266</v>
      </c>
    </row>
    <row r="200" spans="1:18" ht="15" customHeight="1" x14ac:dyDescent="0.25">
      <c r="A200" s="50" t="s">
        <v>2985</v>
      </c>
      <c r="B200" s="50" t="s">
        <v>2986</v>
      </c>
      <c r="C200" s="50" t="s">
        <v>2742</v>
      </c>
      <c r="D200" s="50" t="s">
        <v>583</v>
      </c>
      <c r="E200" s="51">
        <v>307150.68</v>
      </c>
      <c r="F200" s="51">
        <v>3200000</v>
      </c>
      <c r="G200" s="50">
        <f t="shared" si="12"/>
        <v>9.6</v>
      </c>
      <c r="H200" s="50">
        <v>40</v>
      </c>
      <c r="I200" s="50">
        <f t="shared" si="13"/>
        <v>24</v>
      </c>
      <c r="J200" s="50">
        <v>0.34560000000000002</v>
      </c>
      <c r="K200" s="51">
        <v>1222756.3600000001</v>
      </c>
      <c r="L200" s="51">
        <v>1993649.1</v>
      </c>
      <c r="M200" s="50">
        <v>15</v>
      </c>
      <c r="N200" s="50">
        <v>25</v>
      </c>
      <c r="O200" s="50" t="s">
        <v>587</v>
      </c>
      <c r="P200" s="50" t="s">
        <v>2739</v>
      </c>
      <c r="Q200" s="50" t="s">
        <v>1676</v>
      </c>
      <c r="R200" s="53" t="s">
        <v>266</v>
      </c>
    </row>
    <row r="201" spans="1:18" ht="15" customHeight="1" x14ac:dyDescent="0.25">
      <c r="A201" s="50" t="s">
        <v>2987</v>
      </c>
      <c r="B201" s="50" t="s">
        <v>1990</v>
      </c>
      <c r="C201" s="50" t="s">
        <v>566</v>
      </c>
      <c r="D201" s="50" t="s">
        <v>578</v>
      </c>
      <c r="E201" s="51">
        <v>190956</v>
      </c>
      <c r="F201" s="51">
        <v>3200000</v>
      </c>
      <c r="G201" s="50">
        <f t="shared" si="12"/>
        <v>5.97</v>
      </c>
      <c r="H201" s="50">
        <v>40</v>
      </c>
      <c r="I201" s="50">
        <f t="shared" si="13"/>
        <v>14.93</v>
      </c>
      <c r="J201" s="50">
        <v>8.09E-2</v>
      </c>
      <c r="K201" s="51">
        <v>868878.78</v>
      </c>
      <c r="L201" s="51">
        <v>1438969.19</v>
      </c>
      <c r="M201" s="50">
        <v>15</v>
      </c>
      <c r="N201" s="50">
        <v>25</v>
      </c>
      <c r="O201" s="50" t="s">
        <v>587</v>
      </c>
      <c r="P201" s="50" t="s">
        <v>2739</v>
      </c>
      <c r="Q201" s="50" t="s">
        <v>1676</v>
      </c>
      <c r="R201" s="53" t="s">
        <v>266</v>
      </c>
    </row>
    <row r="202" spans="1:18" ht="15" customHeight="1" x14ac:dyDescent="0.25">
      <c r="A202" s="50" t="s">
        <v>2988</v>
      </c>
      <c r="B202" s="50" t="s">
        <v>2495</v>
      </c>
      <c r="C202" s="50" t="s">
        <v>2738</v>
      </c>
      <c r="D202" s="50" t="s">
        <v>2178</v>
      </c>
      <c r="E202" s="51">
        <v>290697.99</v>
      </c>
      <c r="F202" s="51">
        <v>3200000</v>
      </c>
      <c r="G202" s="50">
        <f t="shared" si="12"/>
        <v>9.08</v>
      </c>
      <c r="H202" s="50">
        <v>40</v>
      </c>
      <c r="I202" s="50">
        <f t="shared" si="13"/>
        <v>22.7</v>
      </c>
      <c r="J202" s="50">
        <v>6.6299999999999998E-2</v>
      </c>
      <c r="K202" s="51">
        <v>1302622.55</v>
      </c>
      <c r="L202" s="51">
        <v>2739077.66</v>
      </c>
      <c r="M202" s="50">
        <v>15</v>
      </c>
      <c r="N202" s="50">
        <v>25</v>
      </c>
      <c r="O202" s="50" t="s">
        <v>587</v>
      </c>
      <c r="P202" s="50" t="s">
        <v>2739</v>
      </c>
      <c r="Q202" s="50" t="s">
        <v>1676</v>
      </c>
      <c r="R202" s="53" t="s">
        <v>266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defaultColWidth="8.7109375" defaultRowHeight="15" x14ac:dyDescent="0.25"/>
  <cols>
    <col min="1" max="1" width="9.85546875" customWidth="1"/>
    <col min="2" max="2" width="10.5703125" customWidth="1"/>
    <col min="3" max="3" width="9.5703125" customWidth="1"/>
    <col min="4" max="4" width="14.28515625" customWidth="1"/>
    <col min="5" max="5" width="14.42578125" customWidth="1"/>
    <col min="6" max="6" width="22.42578125" customWidth="1"/>
    <col min="7" max="7" width="24.42578125" customWidth="1"/>
    <col min="8" max="8" width="24.7109375" customWidth="1"/>
    <col min="9" max="9" width="15.85546875" customWidth="1"/>
    <col min="10" max="10" width="18.5703125" customWidth="1"/>
    <col min="11" max="11" width="18.42578125" customWidth="1"/>
    <col min="12" max="12" width="20.85546875" customWidth="1"/>
    <col min="13" max="13" width="28" customWidth="1"/>
    <col min="14" max="16" width="21.42578125" customWidth="1"/>
    <col min="17" max="18" width="19.28515625" customWidth="1"/>
    <col min="19" max="19" width="13.42578125" customWidth="1"/>
    <col min="20" max="20" width="16.7109375" customWidth="1"/>
    <col min="21" max="21" width="17.5703125" customWidth="1"/>
    <col min="22" max="22" width="23" customWidth="1"/>
    <col min="23" max="23" width="7.42578125" customWidth="1"/>
    <col min="24" max="24" width="6.42578125" customWidth="1"/>
  </cols>
  <sheetData>
    <row r="1" spans="1:24" ht="37.5" customHeight="1" x14ac:dyDescent="0.25">
      <c r="A1" s="138" t="s">
        <v>2989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40"/>
    </row>
    <row r="2" spans="1:24" ht="21.75" customHeight="1" x14ac:dyDescent="0.25">
      <c r="A2" s="58" t="s">
        <v>2990</v>
      </c>
      <c r="B2" s="58" t="s">
        <v>548</v>
      </c>
      <c r="C2" s="58" t="s">
        <v>565</v>
      </c>
      <c r="D2" s="58" t="s">
        <v>2991</v>
      </c>
      <c r="E2" s="58" t="s">
        <v>2725</v>
      </c>
      <c r="F2" s="58" t="s">
        <v>2992</v>
      </c>
      <c r="G2" s="58" t="s">
        <v>2993</v>
      </c>
      <c r="H2" s="58" t="s">
        <v>2994</v>
      </c>
      <c r="I2" s="58" t="s">
        <v>2995</v>
      </c>
      <c r="J2" s="58" t="s">
        <v>2996</v>
      </c>
      <c r="K2" s="58" t="s">
        <v>2997</v>
      </c>
      <c r="L2" s="58" t="s">
        <v>2998</v>
      </c>
      <c r="M2" s="58" t="s">
        <v>2999</v>
      </c>
      <c r="N2" s="58" t="s">
        <v>3000</v>
      </c>
      <c r="O2" s="58" t="s">
        <v>3001</v>
      </c>
      <c r="P2" s="58" t="s">
        <v>3002</v>
      </c>
      <c r="Q2" s="58" t="s">
        <v>3003</v>
      </c>
      <c r="R2" s="58" t="s">
        <v>3004</v>
      </c>
      <c r="S2" s="58" t="s">
        <v>3005</v>
      </c>
      <c r="T2" s="58" t="s">
        <v>3006</v>
      </c>
      <c r="U2" s="58" t="s">
        <v>3007</v>
      </c>
      <c r="V2" s="58" t="s">
        <v>3008</v>
      </c>
      <c r="W2" s="58" t="s">
        <v>567</v>
      </c>
      <c r="X2" s="58" t="s">
        <v>568</v>
      </c>
    </row>
    <row r="3" spans="1:24" ht="15" customHeight="1" x14ac:dyDescent="0.25">
      <c r="A3" s="50" t="s">
        <v>3009</v>
      </c>
      <c r="B3" s="50" t="s">
        <v>3010</v>
      </c>
      <c r="C3" s="50" t="s">
        <v>611</v>
      </c>
      <c r="D3" s="50" t="s">
        <v>688</v>
      </c>
      <c r="E3" s="51">
        <v>563.52</v>
      </c>
      <c r="F3" s="50">
        <v>7.3</v>
      </c>
      <c r="G3" s="50">
        <v>1.8</v>
      </c>
      <c r="H3" s="50">
        <f t="shared" ref="H3:H34" si="0">ROUND((F3+G3)/2,1)</f>
        <v>4.5999999999999996</v>
      </c>
      <c r="I3" s="50">
        <v>16.8</v>
      </c>
      <c r="J3" s="50">
        <v>36</v>
      </c>
      <c r="K3" s="50">
        <v>29.2</v>
      </c>
      <c r="L3" s="50">
        <v>6.7</v>
      </c>
      <c r="M3" s="50">
        <v>186.1</v>
      </c>
      <c r="N3" s="50">
        <v>3136</v>
      </c>
      <c r="O3" s="50">
        <v>2087</v>
      </c>
      <c r="P3" s="50">
        <v>3697</v>
      </c>
      <c r="Q3" s="50" t="s">
        <v>3011</v>
      </c>
      <c r="R3" s="50" t="s">
        <v>587</v>
      </c>
      <c r="S3" s="50" t="s">
        <v>602</v>
      </c>
      <c r="T3" s="50" t="s">
        <v>576</v>
      </c>
      <c r="U3" s="51">
        <f t="shared" ref="U3:U34" si="1">ROUND(E3*H3/100*0.5,2)</f>
        <v>12.96</v>
      </c>
      <c r="V3" s="50" t="s">
        <v>1676</v>
      </c>
      <c r="W3" s="50" t="s">
        <v>1676</v>
      </c>
      <c r="X3" s="53" t="s">
        <v>266</v>
      </c>
    </row>
    <row r="4" spans="1:24" ht="15" customHeight="1" x14ac:dyDescent="0.25">
      <c r="A4" s="54" t="s">
        <v>3012</v>
      </c>
      <c r="B4" s="54" t="s">
        <v>3013</v>
      </c>
      <c r="C4" s="54" t="s">
        <v>614</v>
      </c>
      <c r="D4" s="54" t="s">
        <v>656</v>
      </c>
      <c r="E4" s="55">
        <v>557.03</v>
      </c>
      <c r="F4" s="54">
        <v>8</v>
      </c>
      <c r="G4" s="54">
        <v>7.2</v>
      </c>
      <c r="H4" s="54">
        <f t="shared" si="0"/>
        <v>7.6</v>
      </c>
      <c r="I4" s="54">
        <v>74</v>
      </c>
      <c r="J4" s="54">
        <v>55.6</v>
      </c>
      <c r="K4" s="54">
        <v>8.1999999999999993</v>
      </c>
      <c r="L4" s="54">
        <v>2.5</v>
      </c>
      <c r="M4" s="54">
        <v>116.5</v>
      </c>
      <c r="N4" s="54">
        <v>702</v>
      </c>
      <c r="O4" s="54">
        <v>349</v>
      </c>
      <c r="P4" s="54">
        <v>432</v>
      </c>
      <c r="Q4" s="54" t="s">
        <v>3014</v>
      </c>
      <c r="R4" s="54" t="s">
        <v>3015</v>
      </c>
      <c r="S4" s="54" t="s">
        <v>586</v>
      </c>
      <c r="T4" s="54" t="s">
        <v>587</v>
      </c>
      <c r="U4" s="55">
        <f t="shared" si="1"/>
        <v>21.17</v>
      </c>
      <c r="V4" s="54" t="s">
        <v>1676</v>
      </c>
      <c r="W4" s="54" t="s">
        <v>622</v>
      </c>
      <c r="X4" s="57" t="s">
        <v>495</v>
      </c>
    </row>
    <row r="5" spans="1:24" ht="15" customHeight="1" x14ac:dyDescent="0.25">
      <c r="A5" s="50" t="s">
        <v>3016</v>
      </c>
      <c r="B5" s="50" t="s">
        <v>3017</v>
      </c>
      <c r="C5" s="50" t="s">
        <v>596</v>
      </c>
      <c r="D5" s="50" t="s">
        <v>688</v>
      </c>
      <c r="E5" s="51">
        <v>631.29</v>
      </c>
      <c r="F5" s="50">
        <v>6.8</v>
      </c>
      <c r="G5" s="50">
        <v>1.5</v>
      </c>
      <c r="H5" s="50">
        <f t="shared" si="0"/>
        <v>4.2</v>
      </c>
      <c r="I5" s="50">
        <v>55.5</v>
      </c>
      <c r="J5" s="50">
        <v>72.8</v>
      </c>
      <c r="K5" s="50">
        <v>4.5999999999999996</v>
      </c>
      <c r="L5" s="50">
        <v>2.2999999999999998</v>
      </c>
      <c r="M5" s="50">
        <v>309</v>
      </c>
      <c r="N5" s="50">
        <v>3605</v>
      </c>
      <c r="O5" s="50">
        <v>671</v>
      </c>
      <c r="P5" s="50">
        <v>14020</v>
      </c>
      <c r="Q5" s="50" t="s">
        <v>3018</v>
      </c>
      <c r="R5" s="50" t="s">
        <v>3015</v>
      </c>
      <c r="S5" s="50" t="s">
        <v>575</v>
      </c>
      <c r="T5" s="50" t="s">
        <v>587</v>
      </c>
      <c r="U5" s="51">
        <f t="shared" si="1"/>
        <v>13.26</v>
      </c>
      <c r="V5" s="50" t="s">
        <v>1640</v>
      </c>
      <c r="W5" s="50" t="s">
        <v>1676</v>
      </c>
      <c r="X5" s="53" t="s">
        <v>266</v>
      </c>
    </row>
    <row r="6" spans="1:24" ht="25.5" customHeight="1" x14ac:dyDescent="0.25">
      <c r="A6" s="50" t="s">
        <v>3019</v>
      </c>
      <c r="B6" s="50" t="s">
        <v>3020</v>
      </c>
      <c r="C6" s="50" t="s">
        <v>611</v>
      </c>
      <c r="D6" s="50" t="s">
        <v>578</v>
      </c>
      <c r="E6" s="51">
        <v>404.75</v>
      </c>
      <c r="F6" s="50">
        <v>2.2999999999999998</v>
      </c>
      <c r="G6" s="50">
        <v>7</v>
      </c>
      <c r="H6" s="50">
        <f t="shared" si="0"/>
        <v>4.7</v>
      </c>
      <c r="I6" s="50">
        <v>48.2</v>
      </c>
      <c r="J6" s="50">
        <v>25.1</v>
      </c>
      <c r="K6" s="50">
        <v>35.4</v>
      </c>
      <c r="L6" s="50">
        <v>7.9</v>
      </c>
      <c r="M6" s="50">
        <v>217.8</v>
      </c>
      <c r="N6" s="50">
        <v>2867</v>
      </c>
      <c r="O6" s="50">
        <v>2253</v>
      </c>
      <c r="P6" s="50">
        <v>11185</v>
      </c>
      <c r="Q6" s="50" t="s">
        <v>3014</v>
      </c>
      <c r="R6" s="50" t="s">
        <v>587</v>
      </c>
      <c r="S6" s="50" t="s">
        <v>618</v>
      </c>
      <c r="T6" s="50" t="s">
        <v>587</v>
      </c>
      <c r="U6" s="51">
        <f t="shared" si="1"/>
        <v>9.51</v>
      </c>
      <c r="V6" s="50" t="s">
        <v>1676</v>
      </c>
      <c r="W6" s="50" t="s">
        <v>1676</v>
      </c>
      <c r="X6" s="53" t="s">
        <v>266</v>
      </c>
    </row>
    <row r="7" spans="1:24" ht="15" customHeight="1" x14ac:dyDescent="0.25">
      <c r="A7" s="50" t="s">
        <v>3021</v>
      </c>
      <c r="B7" s="50" t="s">
        <v>3022</v>
      </c>
      <c r="C7" s="50" t="s">
        <v>680</v>
      </c>
      <c r="D7" s="50" t="s">
        <v>649</v>
      </c>
      <c r="E7" s="51">
        <v>353.75</v>
      </c>
      <c r="F7" s="50">
        <v>1.4</v>
      </c>
      <c r="G7" s="50">
        <v>1.4</v>
      </c>
      <c r="H7" s="50">
        <f t="shared" si="0"/>
        <v>1.4</v>
      </c>
      <c r="I7" s="50">
        <v>58</v>
      </c>
      <c r="J7" s="50">
        <v>67</v>
      </c>
      <c r="K7" s="50">
        <v>26.4</v>
      </c>
      <c r="L7" s="50">
        <v>6.7</v>
      </c>
      <c r="M7" s="50">
        <v>31.5</v>
      </c>
      <c r="N7" s="50">
        <v>791</v>
      </c>
      <c r="O7" s="50">
        <v>314</v>
      </c>
      <c r="P7" s="50">
        <v>1226</v>
      </c>
      <c r="Q7" s="50" t="s">
        <v>3018</v>
      </c>
      <c r="R7" s="50" t="s">
        <v>576</v>
      </c>
      <c r="S7" s="50" t="s">
        <v>618</v>
      </c>
      <c r="T7" s="50" t="s">
        <v>587</v>
      </c>
      <c r="U7" s="51">
        <f t="shared" si="1"/>
        <v>2.48</v>
      </c>
      <c r="V7" s="50" t="s">
        <v>622</v>
      </c>
      <c r="W7" s="50" t="s">
        <v>1676</v>
      </c>
      <c r="X7" s="53" t="s">
        <v>266</v>
      </c>
    </row>
    <row r="8" spans="1:24" ht="15" customHeight="1" x14ac:dyDescent="0.25">
      <c r="A8" s="46" t="s">
        <v>3023</v>
      </c>
      <c r="B8" s="46" t="s">
        <v>3024</v>
      </c>
      <c r="C8" s="46" t="s">
        <v>713</v>
      </c>
      <c r="D8" s="46" t="s">
        <v>661</v>
      </c>
      <c r="E8" s="47">
        <v>318.43</v>
      </c>
      <c r="F8" s="46">
        <v>8.1999999999999993</v>
      </c>
      <c r="G8" s="46">
        <v>5.6</v>
      </c>
      <c r="H8" s="46">
        <f t="shared" si="0"/>
        <v>6.9</v>
      </c>
      <c r="I8" s="46">
        <v>84.3</v>
      </c>
      <c r="J8" s="46">
        <v>30.9</v>
      </c>
      <c r="K8" s="46">
        <v>6</v>
      </c>
      <c r="L8" s="46">
        <v>3.8</v>
      </c>
      <c r="M8" s="46">
        <v>226.6</v>
      </c>
      <c r="N8" s="46">
        <v>5225</v>
      </c>
      <c r="O8" s="46">
        <v>1737</v>
      </c>
      <c r="P8" s="46">
        <v>12953</v>
      </c>
      <c r="Q8" s="46" t="s">
        <v>3014</v>
      </c>
      <c r="R8" s="46" t="s">
        <v>3015</v>
      </c>
      <c r="S8" s="46" t="s">
        <v>678</v>
      </c>
      <c r="T8" s="46" t="s">
        <v>576</v>
      </c>
      <c r="U8" s="47">
        <f t="shared" si="1"/>
        <v>10.99</v>
      </c>
      <c r="V8" s="46" t="s">
        <v>622</v>
      </c>
      <c r="W8" s="46" t="s">
        <v>1640</v>
      </c>
      <c r="X8" s="49" t="s">
        <v>321</v>
      </c>
    </row>
    <row r="9" spans="1:24" ht="15" customHeight="1" x14ac:dyDescent="0.25">
      <c r="A9" s="50" t="s">
        <v>3025</v>
      </c>
      <c r="B9" s="50" t="s">
        <v>3026</v>
      </c>
      <c r="C9" s="50" t="s">
        <v>596</v>
      </c>
      <c r="D9" s="50" t="s">
        <v>656</v>
      </c>
      <c r="E9" s="51">
        <v>314.38</v>
      </c>
      <c r="F9" s="50">
        <v>3.2</v>
      </c>
      <c r="G9" s="50">
        <v>6.4</v>
      </c>
      <c r="H9" s="50">
        <f t="shared" si="0"/>
        <v>4.8</v>
      </c>
      <c r="I9" s="50">
        <v>54.1</v>
      </c>
      <c r="J9" s="50">
        <v>37.200000000000003</v>
      </c>
      <c r="K9" s="50">
        <v>25</v>
      </c>
      <c r="L9" s="50">
        <v>10</v>
      </c>
      <c r="M9" s="50">
        <v>497.6</v>
      </c>
      <c r="N9" s="50">
        <v>5712</v>
      </c>
      <c r="O9" s="50">
        <v>2353</v>
      </c>
      <c r="P9" s="50">
        <v>4027</v>
      </c>
      <c r="Q9" s="50" t="s">
        <v>3027</v>
      </c>
      <c r="R9" s="50" t="s">
        <v>576</v>
      </c>
      <c r="S9" s="50" t="s">
        <v>716</v>
      </c>
      <c r="T9" s="50" t="s">
        <v>587</v>
      </c>
      <c r="U9" s="51">
        <f t="shared" si="1"/>
        <v>7.55</v>
      </c>
      <c r="V9" s="50" t="s">
        <v>1676</v>
      </c>
      <c r="W9" s="50" t="s">
        <v>1676</v>
      </c>
      <c r="X9" s="53" t="s">
        <v>266</v>
      </c>
    </row>
    <row r="10" spans="1:24" ht="15" customHeight="1" x14ac:dyDescent="0.25">
      <c r="A10" s="50" t="s">
        <v>3028</v>
      </c>
      <c r="B10" s="50" t="s">
        <v>3029</v>
      </c>
      <c r="C10" s="50" t="s">
        <v>666</v>
      </c>
      <c r="D10" s="50" t="s">
        <v>578</v>
      </c>
      <c r="E10" s="51">
        <v>612.41</v>
      </c>
      <c r="F10" s="50">
        <v>3.3</v>
      </c>
      <c r="G10" s="50">
        <v>5.8</v>
      </c>
      <c r="H10" s="50">
        <f t="shared" si="0"/>
        <v>4.5999999999999996</v>
      </c>
      <c r="I10" s="50">
        <v>76.2</v>
      </c>
      <c r="J10" s="50">
        <v>69.099999999999994</v>
      </c>
      <c r="K10" s="50">
        <v>48.8</v>
      </c>
      <c r="L10" s="50">
        <v>3.4</v>
      </c>
      <c r="M10" s="50">
        <v>115.3</v>
      </c>
      <c r="N10" s="50">
        <v>927</v>
      </c>
      <c r="O10" s="50">
        <v>379</v>
      </c>
      <c r="P10" s="50">
        <v>826</v>
      </c>
      <c r="Q10" s="50" t="s">
        <v>3018</v>
      </c>
      <c r="R10" s="50" t="s">
        <v>587</v>
      </c>
      <c r="S10" s="50" t="s">
        <v>3030</v>
      </c>
      <c r="T10" s="50" t="s">
        <v>576</v>
      </c>
      <c r="U10" s="51">
        <f t="shared" si="1"/>
        <v>14.09</v>
      </c>
      <c r="V10" s="50" t="s">
        <v>622</v>
      </c>
      <c r="W10" s="50" t="s">
        <v>1676</v>
      </c>
      <c r="X10" s="53" t="s">
        <v>266</v>
      </c>
    </row>
    <row r="11" spans="1:24" ht="15" customHeight="1" x14ac:dyDescent="0.25">
      <c r="A11" s="50" t="s">
        <v>3031</v>
      </c>
      <c r="B11" s="50" t="s">
        <v>3032</v>
      </c>
      <c r="C11" s="50" t="s">
        <v>3033</v>
      </c>
      <c r="D11" s="50" t="s">
        <v>649</v>
      </c>
      <c r="E11" s="51">
        <v>516.82000000000005</v>
      </c>
      <c r="F11" s="50">
        <v>2.7</v>
      </c>
      <c r="G11" s="50">
        <v>6.8</v>
      </c>
      <c r="H11" s="50">
        <f t="shared" si="0"/>
        <v>4.8</v>
      </c>
      <c r="I11" s="50">
        <v>37</v>
      </c>
      <c r="J11" s="50">
        <v>22</v>
      </c>
      <c r="K11" s="50">
        <v>44.7</v>
      </c>
      <c r="L11" s="50">
        <v>2.2999999999999998</v>
      </c>
      <c r="M11" s="50">
        <v>330</v>
      </c>
      <c r="N11" s="50">
        <v>2917</v>
      </c>
      <c r="O11" s="50">
        <v>899</v>
      </c>
      <c r="P11" s="50">
        <v>9547</v>
      </c>
      <c r="Q11" s="50" t="s">
        <v>3018</v>
      </c>
      <c r="R11" s="50" t="s">
        <v>3015</v>
      </c>
      <c r="S11" s="50" t="s">
        <v>653</v>
      </c>
      <c r="T11" s="50" t="s">
        <v>587</v>
      </c>
      <c r="U11" s="51">
        <f t="shared" si="1"/>
        <v>12.4</v>
      </c>
      <c r="V11" s="50" t="s">
        <v>1640</v>
      </c>
      <c r="W11" s="50" t="s">
        <v>1676</v>
      </c>
      <c r="X11" s="53" t="s">
        <v>266</v>
      </c>
    </row>
    <row r="12" spans="1:24" ht="15" customHeight="1" x14ac:dyDescent="0.25">
      <c r="A12" s="54" t="s">
        <v>3034</v>
      </c>
      <c r="B12" s="54" t="s">
        <v>3035</v>
      </c>
      <c r="C12" s="54" t="s">
        <v>840</v>
      </c>
      <c r="D12" s="54" t="s">
        <v>667</v>
      </c>
      <c r="E12" s="55">
        <v>63.46</v>
      </c>
      <c r="F12" s="54">
        <v>8.9</v>
      </c>
      <c r="G12" s="54">
        <v>7.8</v>
      </c>
      <c r="H12" s="54">
        <f t="shared" si="0"/>
        <v>8.4</v>
      </c>
      <c r="I12" s="54">
        <v>15.4</v>
      </c>
      <c r="J12" s="54">
        <v>55.6</v>
      </c>
      <c r="K12" s="54">
        <v>55.4</v>
      </c>
      <c r="L12" s="54">
        <v>4.9000000000000004</v>
      </c>
      <c r="M12" s="54">
        <v>196.8</v>
      </c>
      <c r="N12" s="54">
        <v>2563</v>
      </c>
      <c r="O12" s="54">
        <v>536</v>
      </c>
      <c r="P12" s="54">
        <v>8568</v>
      </c>
      <c r="Q12" s="54" t="s">
        <v>3014</v>
      </c>
      <c r="R12" s="54" t="s">
        <v>587</v>
      </c>
      <c r="S12" s="54" t="s">
        <v>575</v>
      </c>
      <c r="T12" s="54" t="s">
        <v>587</v>
      </c>
      <c r="U12" s="55">
        <f t="shared" si="1"/>
        <v>2.67</v>
      </c>
      <c r="V12" s="54" t="s">
        <v>1676</v>
      </c>
      <c r="W12" s="54" t="s">
        <v>622</v>
      </c>
      <c r="X12" s="57" t="s">
        <v>495</v>
      </c>
    </row>
    <row r="13" spans="1:24" ht="15" customHeight="1" x14ac:dyDescent="0.25">
      <c r="A13" s="46" t="s">
        <v>3036</v>
      </c>
      <c r="B13" s="46" t="s">
        <v>3037</v>
      </c>
      <c r="C13" s="46" t="s">
        <v>671</v>
      </c>
      <c r="D13" s="46" t="s">
        <v>688</v>
      </c>
      <c r="E13" s="47">
        <v>292.88</v>
      </c>
      <c r="F13" s="46">
        <v>3.6</v>
      </c>
      <c r="G13" s="46">
        <v>8.9</v>
      </c>
      <c r="H13" s="46">
        <f t="shared" si="0"/>
        <v>6.3</v>
      </c>
      <c r="I13" s="46">
        <v>19.899999999999999</v>
      </c>
      <c r="J13" s="46">
        <v>60.2</v>
      </c>
      <c r="K13" s="46">
        <v>47.7</v>
      </c>
      <c r="L13" s="46">
        <v>4.3</v>
      </c>
      <c r="M13" s="46">
        <v>394.6</v>
      </c>
      <c r="N13" s="46">
        <v>2031</v>
      </c>
      <c r="O13" s="46">
        <v>1403</v>
      </c>
      <c r="P13" s="46">
        <v>4140</v>
      </c>
      <c r="Q13" s="46" t="s">
        <v>3011</v>
      </c>
      <c r="R13" s="46" t="s">
        <v>576</v>
      </c>
      <c r="S13" s="46" t="s">
        <v>653</v>
      </c>
      <c r="T13" s="46" t="s">
        <v>576</v>
      </c>
      <c r="U13" s="47">
        <f t="shared" si="1"/>
        <v>9.23</v>
      </c>
      <c r="V13" s="46" t="s">
        <v>1640</v>
      </c>
      <c r="W13" s="46" t="s">
        <v>1640</v>
      </c>
      <c r="X13" s="49" t="s">
        <v>321</v>
      </c>
    </row>
    <row r="14" spans="1:24" ht="15" customHeight="1" x14ac:dyDescent="0.25">
      <c r="A14" s="50" t="s">
        <v>3038</v>
      </c>
      <c r="B14" s="50" t="s">
        <v>3039</v>
      </c>
      <c r="C14" s="50" t="s">
        <v>3040</v>
      </c>
      <c r="D14" s="50" t="s">
        <v>630</v>
      </c>
      <c r="E14" s="51">
        <v>317.27</v>
      </c>
      <c r="F14" s="50">
        <v>3.5</v>
      </c>
      <c r="G14" s="50">
        <v>3.6</v>
      </c>
      <c r="H14" s="50">
        <f t="shared" si="0"/>
        <v>3.6</v>
      </c>
      <c r="I14" s="50">
        <v>51.1</v>
      </c>
      <c r="J14" s="50">
        <v>62</v>
      </c>
      <c r="K14" s="50">
        <v>34.299999999999997</v>
      </c>
      <c r="L14" s="50">
        <v>9.3000000000000007</v>
      </c>
      <c r="M14" s="50">
        <v>497.4</v>
      </c>
      <c r="N14" s="50">
        <v>1392</v>
      </c>
      <c r="O14" s="50">
        <v>1708</v>
      </c>
      <c r="P14" s="50">
        <v>4955</v>
      </c>
      <c r="Q14" s="50" t="s">
        <v>3018</v>
      </c>
      <c r="R14" s="50" t="s">
        <v>3015</v>
      </c>
      <c r="S14" s="50" t="s">
        <v>628</v>
      </c>
      <c r="T14" s="50" t="s">
        <v>576</v>
      </c>
      <c r="U14" s="51">
        <f t="shared" si="1"/>
        <v>5.71</v>
      </c>
      <c r="V14" s="50" t="s">
        <v>1640</v>
      </c>
      <c r="W14" s="50" t="s">
        <v>1676</v>
      </c>
      <c r="X14" s="53" t="s">
        <v>266</v>
      </c>
    </row>
    <row r="15" spans="1:24" ht="15" customHeight="1" x14ac:dyDescent="0.25">
      <c r="A15" s="46" t="s">
        <v>3041</v>
      </c>
      <c r="B15" s="46" t="s">
        <v>3042</v>
      </c>
      <c r="C15" s="46" t="s">
        <v>671</v>
      </c>
      <c r="D15" s="46" t="s">
        <v>621</v>
      </c>
      <c r="E15" s="47">
        <v>682.11</v>
      </c>
      <c r="F15" s="46">
        <v>5.2</v>
      </c>
      <c r="G15" s="46">
        <v>8.5</v>
      </c>
      <c r="H15" s="46">
        <f t="shared" si="0"/>
        <v>6.9</v>
      </c>
      <c r="I15" s="46">
        <v>9.9</v>
      </c>
      <c r="J15" s="46">
        <v>53.2</v>
      </c>
      <c r="K15" s="46">
        <v>5.3</v>
      </c>
      <c r="L15" s="46">
        <v>7.2</v>
      </c>
      <c r="M15" s="46">
        <v>175.9</v>
      </c>
      <c r="N15" s="46">
        <v>2886</v>
      </c>
      <c r="O15" s="46">
        <v>1178</v>
      </c>
      <c r="P15" s="46">
        <v>4352</v>
      </c>
      <c r="Q15" s="46" t="s">
        <v>3027</v>
      </c>
      <c r="R15" s="46" t="s">
        <v>576</v>
      </c>
      <c r="S15" s="46" t="s">
        <v>602</v>
      </c>
      <c r="T15" s="46" t="s">
        <v>576</v>
      </c>
      <c r="U15" s="47">
        <f t="shared" si="1"/>
        <v>23.53</v>
      </c>
      <c r="V15" s="46" t="s">
        <v>622</v>
      </c>
      <c r="W15" s="46" t="s">
        <v>1640</v>
      </c>
      <c r="X15" s="49" t="s">
        <v>321</v>
      </c>
    </row>
    <row r="16" spans="1:24" ht="15" customHeight="1" x14ac:dyDescent="0.25">
      <c r="A16" s="46" t="s">
        <v>3043</v>
      </c>
      <c r="B16" s="46" t="s">
        <v>3044</v>
      </c>
      <c r="C16" s="46" t="s">
        <v>840</v>
      </c>
      <c r="D16" s="46" t="s">
        <v>589</v>
      </c>
      <c r="E16" s="47">
        <v>254.8</v>
      </c>
      <c r="F16" s="46">
        <v>7.4</v>
      </c>
      <c r="G16" s="46">
        <v>4.5999999999999996</v>
      </c>
      <c r="H16" s="46">
        <f t="shared" si="0"/>
        <v>6</v>
      </c>
      <c r="I16" s="46">
        <v>22.8</v>
      </c>
      <c r="J16" s="46">
        <v>14.9</v>
      </c>
      <c r="K16" s="46">
        <v>9.3000000000000007</v>
      </c>
      <c r="L16" s="46">
        <v>1.9</v>
      </c>
      <c r="M16" s="46">
        <v>419.9</v>
      </c>
      <c r="N16" s="46">
        <v>4810</v>
      </c>
      <c r="O16" s="46">
        <v>2110</v>
      </c>
      <c r="P16" s="46">
        <v>12816</v>
      </c>
      <c r="Q16" s="46" t="s">
        <v>3014</v>
      </c>
      <c r="R16" s="46" t="s">
        <v>3015</v>
      </c>
      <c r="S16" s="46" t="s">
        <v>716</v>
      </c>
      <c r="T16" s="46" t="s">
        <v>576</v>
      </c>
      <c r="U16" s="47">
        <f t="shared" si="1"/>
        <v>7.64</v>
      </c>
      <c r="V16" s="46" t="s">
        <v>1676</v>
      </c>
      <c r="W16" s="46" t="s">
        <v>1640</v>
      </c>
      <c r="X16" s="49" t="s">
        <v>321</v>
      </c>
    </row>
    <row r="17" spans="1:24" ht="15" customHeight="1" x14ac:dyDescent="0.25">
      <c r="A17" s="50" t="s">
        <v>3045</v>
      </c>
      <c r="B17" s="50" t="s">
        <v>3046</v>
      </c>
      <c r="C17" s="50" t="s">
        <v>695</v>
      </c>
      <c r="D17" s="50" t="s">
        <v>578</v>
      </c>
      <c r="E17" s="51">
        <v>460.07</v>
      </c>
      <c r="F17" s="50">
        <v>2.8</v>
      </c>
      <c r="G17" s="50">
        <v>3</v>
      </c>
      <c r="H17" s="50">
        <f t="shared" si="0"/>
        <v>2.9</v>
      </c>
      <c r="I17" s="50">
        <v>37.4</v>
      </c>
      <c r="J17" s="50">
        <v>27.6</v>
      </c>
      <c r="K17" s="50">
        <v>17</v>
      </c>
      <c r="L17" s="50">
        <v>8.9</v>
      </c>
      <c r="M17" s="50">
        <v>131.1</v>
      </c>
      <c r="N17" s="50">
        <v>790</v>
      </c>
      <c r="O17" s="50">
        <v>89</v>
      </c>
      <c r="P17" s="50">
        <v>443</v>
      </c>
      <c r="Q17" s="50" t="s">
        <v>3018</v>
      </c>
      <c r="R17" s="50" t="s">
        <v>3015</v>
      </c>
      <c r="S17" s="50" t="s">
        <v>3030</v>
      </c>
      <c r="T17" s="50" t="s">
        <v>587</v>
      </c>
      <c r="U17" s="51">
        <f t="shared" si="1"/>
        <v>6.67</v>
      </c>
      <c r="V17" s="50" t="s">
        <v>1640</v>
      </c>
      <c r="W17" s="50" t="s">
        <v>1676</v>
      </c>
      <c r="X17" s="53" t="s">
        <v>266</v>
      </c>
    </row>
    <row r="18" spans="1:24" ht="15" customHeight="1" x14ac:dyDescent="0.25">
      <c r="A18" s="54" t="s">
        <v>3047</v>
      </c>
      <c r="B18" s="54" t="s">
        <v>3048</v>
      </c>
      <c r="C18" s="54" t="s">
        <v>713</v>
      </c>
      <c r="D18" s="54" t="s">
        <v>3049</v>
      </c>
      <c r="E18" s="55">
        <v>674.48</v>
      </c>
      <c r="F18" s="54">
        <v>8.6999999999999993</v>
      </c>
      <c r="G18" s="54">
        <v>8</v>
      </c>
      <c r="H18" s="54">
        <f t="shared" si="0"/>
        <v>8.4</v>
      </c>
      <c r="I18" s="54">
        <v>62.6</v>
      </c>
      <c r="J18" s="54">
        <v>41.7</v>
      </c>
      <c r="K18" s="54">
        <v>3.5</v>
      </c>
      <c r="L18" s="54">
        <v>9.1999999999999993</v>
      </c>
      <c r="M18" s="54">
        <v>243.9</v>
      </c>
      <c r="N18" s="54">
        <v>717</v>
      </c>
      <c r="O18" s="54">
        <v>320</v>
      </c>
      <c r="P18" s="54">
        <v>10602</v>
      </c>
      <c r="Q18" s="54" t="s">
        <v>3014</v>
      </c>
      <c r="R18" s="54" t="s">
        <v>587</v>
      </c>
      <c r="S18" s="54" t="s">
        <v>618</v>
      </c>
      <c r="T18" s="54" t="s">
        <v>576</v>
      </c>
      <c r="U18" s="55">
        <f t="shared" si="1"/>
        <v>28.33</v>
      </c>
      <c r="V18" s="54" t="s">
        <v>622</v>
      </c>
      <c r="W18" s="54" t="s">
        <v>622</v>
      </c>
      <c r="X18" s="57" t="s">
        <v>495</v>
      </c>
    </row>
    <row r="19" spans="1:24" ht="15" customHeight="1" x14ac:dyDescent="0.25">
      <c r="A19" s="46" t="s">
        <v>3050</v>
      </c>
      <c r="B19" s="46" t="s">
        <v>3051</v>
      </c>
      <c r="C19" s="46" t="s">
        <v>611</v>
      </c>
      <c r="D19" s="46" t="s">
        <v>3052</v>
      </c>
      <c r="E19" s="47">
        <v>438.18</v>
      </c>
      <c r="F19" s="46">
        <v>9.3000000000000007</v>
      </c>
      <c r="G19" s="46">
        <v>3.2</v>
      </c>
      <c r="H19" s="46">
        <f t="shared" si="0"/>
        <v>6.3</v>
      </c>
      <c r="I19" s="46">
        <v>35.200000000000003</v>
      </c>
      <c r="J19" s="46">
        <v>38.1</v>
      </c>
      <c r="K19" s="46">
        <v>46.6</v>
      </c>
      <c r="L19" s="46">
        <v>3.4</v>
      </c>
      <c r="M19" s="46">
        <v>277.60000000000002</v>
      </c>
      <c r="N19" s="46">
        <v>5383</v>
      </c>
      <c r="O19" s="46">
        <v>690</v>
      </c>
      <c r="P19" s="46">
        <v>12874</v>
      </c>
      <c r="Q19" s="46" t="s">
        <v>3053</v>
      </c>
      <c r="R19" s="46" t="s">
        <v>576</v>
      </c>
      <c r="S19" s="46" t="s">
        <v>3054</v>
      </c>
      <c r="T19" s="46" t="s">
        <v>576</v>
      </c>
      <c r="U19" s="47">
        <f t="shared" si="1"/>
        <v>13.8</v>
      </c>
      <c r="V19" s="46" t="s">
        <v>1640</v>
      </c>
      <c r="W19" s="46" t="s">
        <v>1640</v>
      </c>
      <c r="X19" s="49" t="s">
        <v>321</v>
      </c>
    </row>
    <row r="20" spans="1:24" ht="15" customHeight="1" x14ac:dyDescent="0.25">
      <c r="A20" s="50" t="s">
        <v>3055</v>
      </c>
      <c r="B20" s="50" t="s">
        <v>3056</v>
      </c>
      <c r="C20" s="50" t="s">
        <v>671</v>
      </c>
      <c r="D20" s="50" t="s">
        <v>589</v>
      </c>
      <c r="E20" s="51">
        <v>564.85</v>
      </c>
      <c r="F20" s="50">
        <v>2.2000000000000002</v>
      </c>
      <c r="G20" s="50">
        <v>1.5</v>
      </c>
      <c r="H20" s="50">
        <f t="shared" si="0"/>
        <v>1.9</v>
      </c>
      <c r="I20" s="50">
        <v>29.9</v>
      </c>
      <c r="J20" s="50">
        <v>10</v>
      </c>
      <c r="K20" s="50">
        <v>10.6</v>
      </c>
      <c r="L20" s="50">
        <v>5.7</v>
      </c>
      <c r="M20" s="50">
        <v>497.3</v>
      </c>
      <c r="N20" s="50">
        <v>2849</v>
      </c>
      <c r="O20" s="50">
        <v>645</v>
      </c>
      <c r="P20" s="50">
        <v>9834</v>
      </c>
      <c r="Q20" s="50" t="s">
        <v>3057</v>
      </c>
      <c r="R20" s="50" t="s">
        <v>576</v>
      </c>
      <c r="S20" s="50" t="s">
        <v>586</v>
      </c>
      <c r="T20" s="50" t="s">
        <v>587</v>
      </c>
      <c r="U20" s="51">
        <f t="shared" si="1"/>
        <v>5.37</v>
      </c>
      <c r="V20" s="50" t="s">
        <v>622</v>
      </c>
      <c r="W20" s="50" t="s">
        <v>1676</v>
      </c>
      <c r="X20" s="53" t="s">
        <v>266</v>
      </c>
    </row>
    <row r="21" spans="1:24" ht="15" customHeight="1" x14ac:dyDescent="0.25">
      <c r="A21" s="54" t="s">
        <v>3058</v>
      </c>
      <c r="B21" s="54" t="s">
        <v>3059</v>
      </c>
      <c r="C21" s="54" t="s">
        <v>596</v>
      </c>
      <c r="D21" s="54" t="s">
        <v>597</v>
      </c>
      <c r="E21" s="55">
        <v>594.74</v>
      </c>
      <c r="F21" s="54">
        <v>6.3</v>
      </c>
      <c r="G21" s="54">
        <v>7.8</v>
      </c>
      <c r="H21" s="54">
        <f t="shared" si="0"/>
        <v>7.1</v>
      </c>
      <c r="I21" s="54">
        <v>37.6</v>
      </c>
      <c r="J21" s="54">
        <v>16.899999999999999</v>
      </c>
      <c r="K21" s="54">
        <v>47.8</v>
      </c>
      <c r="L21" s="54">
        <v>9.5</v>
      </c>
      <c r="M21" s="54">
        <v>423</v>
      </c>
      <c r="N21" s="54">
        <v>4643</v>
      </c>
      <c r="O21" s="54">
        <v>805</v>
      </c>
      <c r="P21" s="54">
        <v>2204</v>
      </c>
      <c r="Q21" s="54" t="s">
        <v>3027</v>
      </c>
      <c r="R21" s="54" t="s">
        <v>587</v>
      </c>
      <c r="S21" s="54" t="s">
        <v>575</v>
      </c>
      <c r="T21" s="54" t="s">
        <v>587</v>
      </c>
      <c r="U21" s="55">
        <f t="shared" si="1"/>
        <v>21.11</v>
      </c>
      <c r="V21" s="54" t="s">
        <v>1640</v>
      </c>
      <c r="W21" s="54" t="s">
        <v>622</v>
      </c>
      <c r="X21" s="57" t="s">
        <v>495</v>
      </c>
    </row>
    <row r="22" spans="1:24" ht="15" customHeight="1" x14ac:dyDescent="0.25">
      <c r="A22" s="54" t="s">
        <v>3060</v>
      </c>
      <c r="B22" s="54" t="s">
        <v>3061</v>
      </c>
      <c r="C22" s="54" t="s">
        <v>3040</v>
      </c>
      <c r="D22" s="54" t="s">
        <v>578</v>
      </c>
      <c r="E22" s="55">
        <v>109.95</v>
      </c>
      <c r="F22" s="54">
        <v>9.4</v>
      </c>
      <c r="G22" s="54">
        <v>7.3</v>
      </c>
      <c r="H22" s="54">
        <f t="shared" si="0"/>
        <v>8.4</v>
      </c>
      <c r="I22" s="54">
        <v>73.599999999999994</v>
      </c>
      <c r="J22" s="54">
        <v>25.6</v>
      </c>
      <c r="K22" s="54">
        <v>35.200000000000003</v>
      </c>
      <c r="L22" s="54">
        <v>4.7</v>
      </c>
      <c r="M22" s="54">
        <v>486.2</v>
      </c>
      <c r="N22" s="54">
        <v>3505</v>
      </c>
      <c r="O22" s="54">
        <v>287</v>
      </c>
      <c r="P22" s="54">
        <v>13747</v>
      </c>
      <c r="Q22" s="54" t="s">
        <v>3057</v>
      </c>
      <c r="R22" s="54" t="s">
        <v>576</v>
      </c>
      <c r="S22" s="54" t="s">
        <v>3030</v>
      </c>
      <c r="T22" s="54" t="s">
        <v>587</v>
      </c>
      <c r="U22" s="55">
        <f t="shared" si="1"/>
        <v>4.62</v>
      </c>
      <c r="V22" s="54" t="s">
        <v>1640</v>
      </c>
      <c r="W22" s="54" t="s">
        <v>622</v>
      </c>
      <c r="X22" s="57" t="s">
        <v>495</v>
      </c>
    </row>
    <row r="23" spans="1:24" ht="15" customHeight="1" x14ac:dyDescent="0.25">
      <c r="A23" s="50" t="s">
        <v>3062</v>
      </c>
      <c r="B23" s="50" t="s">
        <v>3063</v>
      </c>
      <c r="C23" s="50" t="s">
        <v>3040</v>
      </c>
      <c r="D23" s="50" t="s">
        <v>688</v>
      </c>
      <c r="E23" s="51">
        <v>533.44000000000005</v>
      </c>
      <c r="F23" s="50">
        <v>5.7</v>
      </c>
      <c r="G23" s="50">
        <v>1.9</v>
      </c>
      <c r="H23" s="50">
        <f t="shared" si="0"/>
        <v>3.8</v>
      </c>
      <c r="I23" s="50">
        <v>64.7</v>
      </c>
      <c r="J23" s="50">
        <v>34.9</v>
      </c>
      <c r="K23" s="50">
        <v>55.5</v>
      </c>
      <c r="L23" s="50">
        <v>9.4</v>
      </c>
      <c r="M23" s="50">
        <v>574.70000000000005</v>
      </c>
      <c r="N23" s="50">
        <v>953</v>
      </c>
      <c r="O23" s="50">
        <v>2330</v>
      </c>
      <c r="P23" s="50">
        <v>4328</v>
      </c>
      <c r="Q23" s="50" t="s">
        <v>3057</v>
      </c>
      <c r="R23" s="50" t="s">
        <v>587</v>
      </c>
      <c r="S23" s="50" t="s">
        <v>618</v>
      </c>
      <c r="T23" s="50" t="s">
        <v>576</v>
      </c>
      <c r="U23" s="51">
        <f t="shared" si="1"/>
        <v>10.14</v>
      </c>
      <c r="V23" s="50" t="s">
        <v>1676</v>
      </c>
      <c r="W23" s="50" t="s">
        <v>1676</v>
      </c>
      <c r="X23" s="53" t="s">
        <v>266</v>
      </c>
    </row>
    <row r="24" spans="1:24" ht="15" customHeight="1" x14ac:dyDescent="0.25">
      <c r="A24" s="46" t="s">
        <v>3064</v>
      </c>
      <c r="B24" s="46" t="s">
        <v>3065</v>
      </c>
      <c r="C24" s="46" t="s">
        <v>3040</v>
      </c>
      <c r="D24" s="46" t="s">
        <v>667</v>
      </c>
      <c r="E24" s="47">
        <v>495.19</v>
      </c>
      <c r="F24" s="46">
        <v>1.7</v>
      </c>
      <c r="G24" s="46">
        <v>9.5</v>
      </c>
      <c r="H24" s="46">
        <f t="shared" si="0"/>
        <v>5.6</v>
      </c>
      <c r="I24" s="46">
        <v>22</v>
      </c>
      <c r="J24" s="46">
        <v>71.7</v>
      </c>
      <c r="K24" s="46">
        <v>50.6</v>
      </c>
      <c r="L24" s="46">
        <v>3.3</v>
      </c>
      <c r="M24" s="46">
        <v>303.2</v>
      </c>
      <c r="N24" s="46">
        <v>926</v>
      </c>
      <c r="O24" s="46">
        <v>1960</v>
      </c>
      <c r="P24" s="46">
        <v>9340</v>
      </c>
      <c r="Q24" s="46" t="s">
        <v>3018</v>
      </c>
      <c r="R24" s="46" t="s">
        <v>576</v>
      </c>
      <c r="S24" s="46" t="s">
        <v>618</v>
      </c>
      <c r="T24" s="46" t="s">
        <v>576</v>
      </c>
      <c r="U24" s="47">
        <f t="shared" si="1"/>
        <v>13.87</v>
      </c>
      <c r="V24" s="46" t="s">
        <v>1640</v>
      </c>
      <c r="W24" s="46" t="s">
        <v>1640</v>
      </c>
      <c r="X24" s="49" t="s">
        <v>321</v>
      </c>
    </row>
    <row r="25" spans="1:24" ht="15" customHeight="1" x14ac:dyDescent="0.25">
      <c r="A25" s="54" t="s">
        <v>3066</v>
      </c>
      <c r="B25" s="54" t="s">
        <v>3067</v>
      </c>
      <c r="C25" s="54" t="s">
        <v>571</v>
      </c>
      <c r="D25" s="54" t="s">
        <v>3052</v>
      </c>
      <c r="E25" s="55">
        <v>365.43</v>
      </c>
      <c r="F25" s="54">
        <v>7.9</v>
      </c>
      <c r="G25" s="54">
        <v>6.8</v>
      </c>
      <c r="H25" s="54">
        <f t="shared" si="0"/>
        <v>7.4</v>
      </c>
      <c r="I25" s="54">
        <v>16.399999999999999</v>
      </c>
      <c r="J25" s="54">
        <v>19.8</v>
      </c>
      <c r="K25" s="54">
        <v>35.5</v>
      </c>
      <c r="L25" s="54">
        <v>3.4</v>
      </c>
      <c r="M25" s="54">
        <v>117.5</v>
      </c>
      <c r="N25" s="54">
        <v>91</v>
      </c>
      <c r="O25" s="54">
        <v>109</v>
      </c>
      <c r="P25" s="54">
        <v>1091</v>
      </c>
      <c r="Q25" s="54" t="s">
        <v>3057</v>
      </c>
      <c r="R25" s="54" t="s">
        <v>3015</v>
      </c>
      <c r="S25" s="54" t="s">
        <v>716</v>
      </c>
      <c r="T25" s="54" t="s">
        <v>587</v>
      </c>
      <c r="U25" s="55">
        <f t="shared" si="1"/>
        <v>13.52</v>
      </c>
      <c r="V25" s="54" t="s">
        <v>1676</v>
      </c>
      <c r="W25" s="54" t="s">
        <v>622</v>
      </c>
      <c r="X25" s="57" t="s">
        <v>495</v>
      </c>
    </row>
    <row r="26" spans="1:24" ht="15" customHeight="1" x14ac:dyDescent="0.25">
      <c r="A26" s="54" t="s">
        <v>3068</v>
      </c>
      <c r="B26" s="54" t="s">
        <v>3069</v>
      </c>
      <c r="C26" s="54" t="s">
        <v>671</v>
      </c>
      <c r="D26" s="54" t="s">
        <v>630</v>
      </c>
      <c r="E26" s="55">
        <v>204.33</v>
      </c>
      <c r="F26" s="54">
        <v>8.8000000000000007</v>
      </c>
      <c r="G26" s="54">
        <v>9.1999999999999993</v>
      </c>
      <c r="H26" s="54">
        <f t="shared" si="0"/>
        <v>9</v>
      </c>
      <c r="I26" s="54">
        <v>63.9</v>
      </c>
      <c r="J26" s="54">
        <v>42</v>
      </c>
      <c r="K26" s="54">
        <v>28.3</v>
      </c>
      <c r="L26" s="54">
        <v>2.9</v>
      </c>
      <c r="M26" s="54">
        <v>440.3</v>
      </c>
      <c r="N26" s="54">
        <v>5534</v>
      </c>
      <c r="O26" s="54">
        <v>708</v>
      </c>
      <c r="P26" s="54">
        <v>1874</v>
      </c>
      <c r="Q26" s="54" t="s">
        <v>3014</v>
      </c>
      <c r="R26" s="54" t="s">
        <v>3015</v>
      </c>
      <c r="S26" s="54" t="s">
        <v>602</v>
      </c>
      <c r="T26" s="54" t="s">
        <v>587</v>
      </c>
      <c r="U26" s="55">
        <f t="shared" si="1"/>
        <v>9.19</v>
      </c>
      <c r="V26" s="54" t="s">
        <v>622</v>
      </c>
      <c r="W26" s="54" t="s">
        <v>622</v>
      </c>
      <c r="X26" s="57" t="s">
        <v>495</v>
      </c>
    </row>
    <row r="27" spans="1:24" ht="15" customHeight="1" x14ac:dyDescent="0.25">
      <c r="A27" s="50" t="s">
        <v>3070</v>
      </c>
      <c r="B27" s="50" t="s">
        <v>3071</v>
      </c>
      <c r="C27" s="50" t="s">
        <v>691</v>
      </c>
      <c r="D27" s="50" t="s">
        <v>656</v>
      </c>
      <c r="E27" s="51">
        <v>443.69</v>
      </c>
      <c r="F27" s="50">
        <v>1.4</v>
      </c>
      <c r="G27" s="50">
        <v>4.3</v>
      </c>
      <c r="H27" s="50">
        <f t="shared" si="0"/>
        <v>2.9</v>
      </c>
      <c r="I27" s="50">
        <v>50.2</v>
      </c>
      <c r="J27" s="50">
        <v>54.5</v>
      </c>
      <c r="K27" s="50">
        <v>52.8</v>
      </c>
      <c r="L27" s="50">
        <v>3.6</v>
      </c>
      <c r="M27" s="50">
        <v>43.6</v>
      </c>
      <c r="N27" s="50">
        <v>66</v>
      </c>
      <c r="O27" s="50">
        <v>415</v>
      </c>
      <c r="P27" s="50">
        <v>1955</v>
      </c>
      <c r="Q27" s="50" t="s">
        <v>3057</v>
      </c>
      <c r="R27" s="50" t="s">
        <v>3015</v>
      </c>
      <c r="S27" s="50" t="s">
        <v>609</v>
      </c>
      <c r="T27" s="50" t="s">
        <v>587</v>
      </c>
      <c r="U27" s="51">
        <f t="shared" si="1"/>
        <v>6.43</v>
      </c>
      <c r="V27" s="50" t="s">
        <v>622</v>
      </c>
      <c r="W27" s="50" t="s">
        <v>1676</v>
      </c>
      <c r="X27" s="53" t="s">
        <v>266</v>
      </c>
    </row>
    <row r="28" spans="1:24" ht="15" customHeight="1" x14ac:dyDescent="0.25">
      <c r="A28" s="54" t="s">
        <v>3072</v>
      </c>
      <c r="B28" s="54" t="s">
        <v>3073</v>
      </c>
      <c r="C28" s="54" t="s">
        <v>691</v>
      </c>
      <c r="D28" s="54" t="s">
        <v>589</v>
      </c>
      <c r="E28" s="55">
        <v>455.45</v>
      </c>
      <c r="F28" s="54">
        <v>6.6</v>
      </c>
      <c r="G28" s="54">
        <v>7.9</v>
      </c>
      <c r="H28" s="54">
        <f t="shared" si="0"/>
        <v>7.3</v>
      </c>
      <c r="I28" s="54">
        <v>50.8</v>
      </c>
      <c r="J28" s="54">
        <v>31.3</v>
      </c>
      <c r="K28" s="54">
        <v>51.4</v>
      </c>
      <c r="L28" s="54">
        <v>3.7</v>
      </c>
      <c r="M28" s="54">
        <v>91.9</v>
      </c>
      <c r="N28" s="54">
        <v>669</v>
      </c>
      <c r="O28" s="54">
        <v>438</v>
      </c>
      <c r="P28" s="54">
        <v>2558</v>
      </c>
      <c r="Q28" s="54" t="s">
        <v>3011</v>
      </c>
      <c r="R28" s="54" t="s">
        <v>3015</v>
      </c>
      <c r="S28" s="54" t="s">
        <v>653</v>
      </c>
      <c r="T28" s="54" t="s">
        <v>587</v>
      </c>
      <c r="U28" s="55">
        <f t="shared" si="1"/>
        <v>16.62</v>
      </c>
      <c r="V28" s="54" t="s">
        <v>1676</v>
      </c>
      <c r="W28" s="54" t="s">
        <v>622</v>
      </c>
      <c r="X28" s="57" t="s">
        <v>495</v>
      </c>
    </row>
    <row r="29" spans="1:24" ht="15" customHeight="1" x14ac:dyDescent="0.25">
      <c r="A29" s="46" t="s">
        <v>3074</v>
      </c>
      <c r="B29" s="46" t="s">
        <v>3075</v>
      </c>
      <c r="C29" s="46" t="s">
        <v>666</v>
      </c>
      <c r="D29" s="46" t="s">
        <v>3076</v>
      </c>
      <c r="E29" s="47">
        <v>242.11</v>
      </c>
      <c r="F29" s="46">
        <v>5.8</v>
      </c>
      <c r="G29" s="46">
        <v>4.3</v>
      </c>
      <c r="H29" s="46">
        <f t="shared" si="0"/>
        <v>5.0999999999999996</v>
      </c>
      <c r="I29" s="46">
        <v>35.700000000000003</v>
      </c>
      <c r="J29" s="46">
        <v>71.599999999999994</v>
      </c>
      <c r="K29" s="46">
        <v>18.399999999999999</v>
      </c>
      <c r="L29" s="46">
        <v>4</v>
      </c>
      <c r="M29" s="46">
        <v>33.4</v>
      </c>
      <c r="N29" s="46">
        <v>71</v>
      </c>
      <c r="O29" s="46">
        <v>445</v>
      </c>
      <c r="P29" s="46">
        <v>2149</v>
      </c>
      <c r="Q29" s="46" t="s">
        <v>3057</v>
      </c>
      <c r="R29" s="46" t="s">
        <v>3015</v>
      </c>
      <c r="S29" s="46" t="s">
        <v>3054</v>
      </c>
      <c r="T29" s="46" t="s">
        <v>576</v>
      </c>
      <c r="U29" s="47">
        <f t="shared" si="1"/>
        <v>6.17</v>
      </c>
      <c r="V29" s="46" t="s">
        <v>1676</v>
      </c>
      <c r="W29" s="46" t="s">
        <v>1640</v>
      </c>
      <c r="X29" s="49" t="s">
        <v>321</v>
      </c>
    </row>
    <row r="30" spans="1:24" ht="15" customHeight="1" x14ac:dyDescent="0.25">
      <c r="A30" s="54" t="s">
        <v>3077</v>
      </c>
      <c r="B30" s="54" t="s">
        <v>3078</v>
      </c>
      <c r="C30" s="54" t="s">
        <v>666</v>
      </c>
      <c r="D30" s="54" t="s">
        <v>661</v>
      </c>
      <c r="E30" s="55">
        <v>120.43</v>
      </c>
      <c r="F30" s="54">
        <v>8.6</v>
      </c>
      <c r="G30" s="54">
        <v>8.3000000000000007</v>
      </c>
      <c r="H30" s="54">
        <f t="shared" si="0"/>
        <v>8.5</v>
      </c>
      <c r="I30" s="54">
        <v>22.8</v>
      </c>
      <c r="J30" s="54">
        <v>59.6</v>
      </c>
      <c r="K30" s="54">
        <v>51.1</v>
      </c>
      <c r="L30" s="54">
        <v>4.9000000000000004</v>
      </c>
      <c r="M30" s="54">
        <v>93.3</v>
      </c>
      <c r="N30" s="54">
        <v>106</v>
      </c>
      <c r="O30" s="54">
        <v>258</v>
      </c>
      <c r="P30" s="54">
        <v>2648</v>
      </c>
      <c r="Q30" s="54" t="s">
        <v>3011</v>
      </c>
      <c r="R30" s="54" t="s">
        <v>576</v>
      </c>
      <c r="S30" s="54" t="s">
        <v>628</v>
      </c>
      <c r="T30" s="54" t="s">
        <v>587</v>
      </c>
      <c r="U30" s="55">
        <f t="shared" si="1"/>
        <v>5.12</v>
      </c>
      <c r="V30" s="54" t="s">
        <v>1676</v>
      </c>
      <c r="W30" s="54" t="s">
        <v>622</v>
      </c>
      <c r="X30" s="57" t="s">
        <v>495</v>
      </c>
    </row>
    <row r="31" spans="1:24" ht="15" customHeight="1" x14ac:dyDescent="0.25">
      <c r="A31" s="54" t="s">
        <v>3079</v>
      </c>
      <c r="B31" s="54" t="s">
        <v>3080</v>
      </c>
      <c r="C31" s="54" t="s">
        <v>3040</v>
      </c>
      <c r="D31" s="54" t="s">
        <v>605</v>
      </c>
      <c r="E31" s="55">
        <v>126.52</v>
      </c>
      <c r="F31" s="54">
        <v>7.9</v>
      </c>
      <c r="G31" s="54">
        <v>9.8000000000000007</v>
      </c>
      <c r="H31" s="54">
        <f t="shared" si="0"/>
        <v>8.9</v>
      </c>
      <c r="I31" s="54">
        <v>7.4</v>
      </c>
      <c r="J31" s="54">
        <v>35.9</v>
      </c>
      <c r="K31" s="54">
        <v>49.5</v>
      </c>
      <c r="L31" s="54">
        <v>3.8</v>
      </c>
      <c r="M31" s="54">
        <v>574.4</v>
      </c>
      <c r="N31" s="54">
        <v>2368</v>
      </c>
      <c r="O31" s="54">
        <v>2329</v>
      </c>
      <c r="P31" s="54">
        <v>10940</v>
      </c>
      <c r="Q31" s="54" t="s">
        <v>3027</v>
      </c>
      <c r="R31" s="54" t="s">
        <v>587</v>
      </c>
      <c r="S31" s="54" t="s">
        <v>653</v>
      </c>
      <c r="T31" s="54" t="s">
        <v>587</v>
      </c>
      <c r="U31" s="55">
        <f t="shared" si="1"/>
        <v>5.63</v>
      </c>
      <c r="V31" s="54" t="s">
        <v>622</v>
      </c>
      <c r="W31" s="54" t="s">
        <v>622</v>
      </c>
      <c r="X31" s="57" t="s">
        <v>495</v>
      </c>
    </row>
    <row r="32" spans="1:24" ht="15" customHeight="1" x14ac:dyDescent="0.25">
      <c r="A32" s="46" t="s">
        <v>3081</v>
      </c>
      <c r="B32" s="46" t="s">
        <v>3082</v>
      </c>
      <c r="C32" s="46" t="s">
        <v>3033</v>
      </c>
      <c r="D32" s="46" t="s">
        <v>819</v>
      </c>
      <c r="E32" s="47">
        <v>667.54</v>
      </c>
      <c r="F32" s="46">
        <v>2.2000000000000002</v>
      </c>
      <c r="G32" s="46">
        <v>9.1</v>
      </c>
      <c r="H32" s="46">
        <f t="shared" si="0"/>
        <v>5.7</v>
      </c>
      <c r="I32" s="46">
        <v>65.599999999999994</v>
      </c>
      <c r="J32" s="46">
        <v>63.5</v>
      </c>
      <c r="K32" s="46">
        <v>63.8</v>
      </c>
      <c r="L32" s="46">
        <v>8.5</v>
      </c>
      <c r="M32" s="46">
        <v>553.79999999999995</v>
      </c>
      <c r="N32" s="46">
        <v>3838</v>
      </c>
      <c r="O32" s="46">
        <v>682</v>
      </c>
      <c r="P32" s="46">
        <v>3334</v>
      </c>
      <c r="Q32" s="46" t="s">
        <v>3011</v>
      </c>
      <c r="R32" s="46" t="s">
        <v>3015</v>
      </c>
      <c r="S32" s="46" t="s">
        <v>3054</v>
      </c>
      <c r="T32" s="46" t="s">
        <v>587</v>
      </c>
      <c r="U32" s="47">
        <f t="shared" si="1"/>
        <v>19.02</v>
      </c>
      <c r="V32" s="46" t="s">
        <v>1640</v>
      </c>
      <c r="W32" s="46" t="s">
        <v>1640</v>
      </c>
      <c r="X32" s="49" t="s">
        <v>321</v>
      </c>
    </row>
    <row r="33" spans="1:24" ht="15" customHeight="1" x14ac:dyDescent="0.25">
      <c r="A33" s="46" t="s">
        <v>3083</v>
      </c>
      <c r="B33" s="46" t="s">
        <v>3084</v>
      </c>
      <c r="C33" s="46" t="s">
        <v>655</v>
      </c>
      <c r="D33" s="46" t="s">
        <v>3076</v>
      </c>
      <c r="E33" s="47">
        <v>572.98</v>
      </c>
      <c r="F33" s="46">
        <v>8.1</v>
      </c>
      <c r="G33" s="46">
        <v>4.7</v>
      </c>
      <c r="H33" s="46">
        <f t="shared" si="0"/>
        <v>6.4</v>
      </c>
      <c r="I33" s="46">
        <v>66</v>
      </c>
      <c r="J33" s="46">
        <v>43.1</v>
      </c>
      <c r="K33" s="46">
        <v>12.1</v>
      </c>
      <c r="L33" s="46">
        <v>6.9</v>
      </c>
      <c r="M33" s="46">
        <v>192.1</v>
      </c>
      <c r="N33" s="46">
        <v>5010</v>
      </c>
      <c r="O33" s="46">
        <v>1766</v>
      </c>
      <c r="P33" s="46">
        <v>10386</v>
      </c>
      <c r="Q33" s="46" t="s">
        <v>3053</v>
      </c>
      <c r="R33" s="46" t="s">
        <v>587</v>
      </c>
      <c r="S33" s="46" t="s">
        <v>618</v>
      </c>
      <c r="T33" s="46" t="s">
        <v>576</v>
      </c>
      <c r="U33" s="47">
        <f t="shared" si="1"/>
        <v>18.34</v>
      </c>
      <c r="V33" s="46" t="s">
        <v>1676</v>
      </c>
      <c r="W33" s="46" t="s">
        <v>1640</v>
      </c>
      <c r="X33" s="49" t="s">
        <v>321</v>
      </c>
    </row>
    <row r="34" spans="1:24" ht="15" customHeight="1" x14ac:dyDescent="0.25">
      <c r="A34" s="46" t="s">
        <v>3085</v>
      </c>
      <c r="B34" s="46" t="s">
        <v>3086</v>
      </c>
      <c r="C34" s="46" t="s">
        <v>655</v>
      </c>
      <c r="D34" s="46" t="s">
        <v>3076</v>
      </c>
      <c r="E34" s="47">
        <v>363.25</v>
      </c>
      <c r="F34" s="46">
        <v>4.8</v>
      </c>
      <c r="G34" s="46">
        <v>7</v>
      </c>
      <c r="H34" s="46">
        <f t="shared" si="0"/>
        <v>5.9</v>
      </c>
      <c r="I34" s="46">
        <v>59.9</v>
      </c>
      <c r="J34" s="46">
        <v>15.2</v>
      </c>
      <c r="K34" s="46">
        <v>14.8</v>
      </c>
      <c r="L34" s="46">
        <v>5.8</v>
      </c>
      <c r="M34" s="46">
        <v>407.2</v>
      </c>
      <c r="N34" s="46">
        <v>1484</v>
      </c>
      <c r="O34" s="46">
        <v>1231</v>
      </c>
      <c r="P34" s="46">
        <v>14816</v>
      </c>
      <c r="Q34" s="46" t="s">
        <v>3027</v>
      </c>
      <c r="R34" s="46" t="s">
        <v>587</v>
      </c>
      <c r="S34" s="46" t="s">
        <v>618</v>
      </c>
      <c r="T34" s="46" t="s">
        <v>576</v>
      </c>
      <c r="U34" s="47">
        <f t="shared" si="1"/>
        <v>10.72</v>
      </c>
      <c r="V34" s="46" t="s">
        <v>1676</v>
      </c>
      <c r="W34" s="46" t="s">
        <v>1640</v>
      </c>
      <c r="X34" s="49" t="s">
        <v>321</v>
      </c>
    </row>
    <row r="35" spans="1:24" ht="15" customHeight="1" x14ac:dyDescent="0.25">
      <c r="A35" s="46" t="s">
        <v>3087</v>
      </c>
      <c r="B35" s="46" t="s">
        <v>3088</v>
      </c>
      <c r="C35" s="46" t="s">
        <v>695</v>
      </c>
      <c r="D35" s="46" t="s">
        <v>688</v>
      </c>
      <c r="E35" s="47">
        <v>552.54</v>
      </c>
      <c r="F35" s="46">
        <v>8.6</v>
      </c>
      <c r="G35" s="46">
        <v>3.4</v>
      </c>
      <c r="H35" s="46">
        <f t="shared" ref="H35:H66" si="2">ROUND((F35+G35)/2,1)</f>
        <v>6</v>
      </c>
      <c r="I35" s="46">
        <v>76.900000000000006</v>
      </c>
      <c r="J35" s="46">
        <v>64.8</v>
      </c>
      <c r="K35" s="46">
        <v>54.6</v>
      </c>
      <c r="L35" s="46">
        <v>2.5</v>
      </c>
      <c r="M35" s="46">
        <v>117.8</v>
      </c>
      <c r="N35" s="46">
        <v>51</v>
      </c>
      <c r="O35" s="46">
        <v>53</v>
      </c>
      <c r="P35" s="46">
        <v>2834</v>
      </c>
      <c r="Q35" s="46" t="s">
        <v>3018</v>
      </c>
      <c r="R35" s="46" t="s">
        <v>587</v>
      </c>
      <c r="S35" s="46" t="s">
        <v>3054</v>
      </c>
      <c r="T35" s="46" t="s">
        <v>587</v>
      </c>
      <c r="U35" s="47">
        <f t="shared" ref="U35:U66" si="3">ROUND(E35*H35/100*0.5,2)</f>
        <v>16.579999999999998</v>
      </c>
      <c r="V35" s="46" t="s">
        <v>1640</v>
      </c>
      <c r="W35" s="46" t="s">
        <v>1640</v>
      </c>
      <c r="X35" s="49" t="s">
        <v>321</v>
      </c>
    </row>
    <row r="36" spans="1:24" ht="15" customHeight="1" x14ac:dyDescent="0.25">
      <c r="A36" s="54" t="s">
        <v>3089</v>
      </c>
      <c r="B36" s="54" t="s">
        <v>3090</v>
      </c>
      <c r="C36" s="54" t="s">
        <v>713</v>
      </c>
      <c r="D36" s="54" t="s">
        <v>656</v>
      </c>
      <c r="E36" s="55">
        <v>125.91</v>
      </c>
      <c r="F36" s="54">
        <v>9.8000000000000007</v>
      </c>
      <c r="G36" s="54">
        <v>4.5</v>
      </c>
      <c r="H36" s="54">
        <f t="shared" si="2"/>
        <v>7.2</v>
      </c>
      <c r="I36" s="54">
        <v>21.2</v>
      </c>
      <c r="J36" s="54">
        <v>10.7</v>
      </c>
      <c r="K36" s="54">
        <v>15</v>
      </c>
      <c r="L36" s="54">
        <v>6.5</v>
      </c>
      <c r="M36" s="54">
        <v>520.6</v>
      </c>
      <c r="N36" s="54">
        <v>708</v>
      </c>
      <c r="O36" s="54">
        <v>396</v>
      </c>
      <c r="P36" s="54">
        <v>2084</v>
      </c>
      <c r="Q36" s="54" t="s">
        <v>3053</v>
      </c>
      <c r="R36" s="54" t="s">
        <v>3015</v>
      </c>
      <c r="S36" s="54" t="s">
        <v>716</v>
      </c>
      <c r="T36" s="54" t="s">
        <v>587</v>
      </c>
      <c r="U36" s="55">
        <f t="shared" si="3"/>
        <v>4.53</v>
      </c>
      <c r="V36" s="54" t="s">
        <v>1676</v>
      </c>
      <c r="W36" s="54" t="s">
        <v>622</v>
      </c>
      <c r="X36" s="57" t="s">
        <v>495</v>
      </c>
    </row>
    <row r="37" spans="1:24" ht="15" customHeight="1" x14ac:dyDescent="0.25">
      <c r="A37" s="46" t="s">
        <v>3091</v>
      </c>
      <c r="B37" s="46" t="s">
        <v>3092</v>
      </c>
      <c r="C37" s="46" t="s">
        <v>840</v>
      </c>
      <c r="D37" s="46" t="s">
        <v>605</v>
      </c>
      <c r="E37" s="47">
        <v>444.25</v>
      </c>
      <c r="F37" s="46">
        <v>8.6999999999999993</v>
      </c>
      <c r="G37" s="46">
        <v>3.9</v>
      </c>
      <c r="H37" s="46">
        <f t="shared" si="2"/>
        <v>6.3</v>
      </c>
      <c r="I37" s="46">
        <v>41.3</v>
      </c>
      <c r="J37" s="46">
        <v>59.2</v>
      </c>
      <c r="K37" s="46">
        <v>56.5</v>
      </c>
      <c r="L37" s="46">
        <v>5.7</v>
      </c>
      <c r="M37" s="46">
        <v>542.29999999999995</v>
      </c>
      <c r="N37" s="46">
        <v>4131</v>
      </c>
      <c r="O37" s="46">
        <v>1884</v>
      </c>
      <c r="P37" s="46">
        <v>11272</v>
      </c>
      <c r="Q37" s="46" t="s">
        <v>3027</v>
      </c>
      <c r="R37" s="46" t="s">
        <v>576</v>
      </c>
      <c r="S37" s="46" t="s">
        <v>678</v>
      </c>
      <c r="T37" s="46" t="s">
        <v>587</v>
      </c>
      <c r="U37" s="47">
        <f t="shared" si="3"/>
        <v>13.99</v>
      </c>
      <c r="V37" s="46" t="s">
        <v>1676</v>
      </c>
      <c r="W37" s="46" t="s">
        <v>1640</v>
      </c>
      <c r="X37" s="49" t="s">
        <v>321</v>
      </c>
    </row>
    <row r="38" spans="1:24" ht="15" customHeight="1" x14ac:dyDescent="0.25">
      <c r="A38" s="54" t="s">
        <v>3093</v>
      </c>
      <c r="B38" s="54" t="s">
        <v>3094</v>
      </c>
      <c r="C38" s="54" t="s">
        <v>571</v>
      </c>
      <c r="D38" s="54" t="s">
        <v>630</v>
      </c>
      <c r="E38" s="55">
        <v>225.58</v>
      </c>
      <c r="F38" s="54">
        <v>9.1</v>
      </c>
      <c r="G38" s="54">
        <v>5</v>
      </c>
      <c r="H38" s="54">
        <f t="shared" si="2"/>
        <v>7.1</v>
      </c>
      <c r="I38" s="54">
        <v>52.9</v>
      </c>
      <c r="J38" s="54">
        <v>32.4</v>
      </c>
      <c r="K38" s="54">
        <v>6.6</v>
      </c>
      <c r="L38" s="54">
        <v>9.5</v>
      </c>
      <c r="M38" s="54">
        <v>135.1</v>
      </c>
      <c r="N38" s="54">
        <v>793</v>
      </c>
      <c r="O38" s="54">
        <v>256</v>
      </c>
      <c r="P38" s="54">
        <v>1786</v>
      </c>
      <c r="Q38" s="54" t="s">
        <v>3011</v>
      </c>
      <c r="R38" s="54" t="s">
        <v>576</v>
      </c>
      <c r="S38" s="54" t="s">
        <v>3054</v>
      </c>
      <c r="T38" s="54" t="s">
        <v>576</v>
      </c>
      <c r="U38" s="55">
        <f t="shared" si="3"/>
        <v>8.01</v>
      </c>
      <c r="V38" s="54" t="s">
        <v>1640</v>
      </c>
      <c r="W38" s="54" t="s">
        <v>622</v>
      </c>
      <c r="X38" s="57" t="s">
        <v>495</v>
      </c>
    </row>
    <row r="39" spans="1:24" ht="15" customHeight="1" x14ac:dyDescent="0.25">
      <c r="A39" s="46" t="s">
        <v>3095</v>
      </c>
      <c r="B39" s="46" t="s">
        <v>3096</v>
      </c>
      <c r="C39" s="46" t="s">
        <v>655</v>
      </c>
      <c r="D39" s="46" t="s">
        <v>3076</v>
      </c>
      <c r="E39" s="47">
        <v>569.13</v>
      </c>
      <c r="F39" s="46">
        <v>7.7</v>
      </c>
      <c r="G39" s="46">
        <v>5.4</v>
      </c>
      <c r="H39" s="46">
        <f t="shared" si="2"/>
        <v>6.6</v>
      </c>
      <c r="I39" s="46">
        <v>55</v>
      </c>
      <c r="J39" s="46">
        <v>38.200000000000003</v>
      </c>
      <c r="K39" s="46">
        <v>26.8</v>
      </c>
      <c r="L39" s="46">
        <v>1.4</v>
      </c>
      <c r="M39" s="46">
        <v>222.4</v>
      </c>
      <c r="N39" s="46">
        <v>5429</v>
      </c>
      <c r="O39" s="46">
        <v>473</v>
      </c>
      <c r="P39" s="46">
        <v>13601</v>
      </c>
      <c r="Q39" s="46" t="s">
        <v>3057</v>
      </c>
      <c r="R39" s="46" t="s">
        <v>576</v>
      </c>
      <c r="S39" s="46" t="s">
        <v>618</v>
      </c>
      <c r="T39" s="46" t="s">
        <v>587</v>
      </c>
      <c r="U39" s="47">
        <f t="shared" si="3"/>
        <v>18.78</v>
      </c>
      <c r="V39" s="46" t="s">
        <v>1676</v>
      </c>
      <c r="W39" s="46" t="s">
        <v>1640</v>
      </c>
      <c r="X39" s="49" t="s">
        <v>321</v>
      </c>
    </row>
    <row r="40" spans="1:24" ht="15" customHeight="1" x14ac:dyDescent="0.25">
      <c r="A40" s="46" t="s">
        <v>3097</v>
      </c>
      <c r="B40" s="46" t="s">
        <v>3098</v>
      </c>
      <c r="C40" s="46" t="s">
        <v>3033</v>
      </c>
      <c r="D40" s="46" t="s">
        <v>661</v>
      </c>
      <c r="E40" s="47">
        <v>181.73</v>
      </c>
      <c r="F40" s="46">
        <v>3.1</v>
      </c>
      <c r="G40" s="46">
        <v>9.4</v>
      </c>
      <c r="H40" s="46">
        <f t="shared" si="2"/>
        <v>6.3</v>
      </c>
      <c r="I40" s="46">
        <v>81.3</v>
      </c>
      <c r="J40" s="46">
        <v>27</v>
      </c>
      <c r="K40" s="46">
        <v>47.3</v>
      </c>
      <c r="L40" s="46">
        <v>2.5</v>
      </c>
      <c r="M40" s="46">
        <v>305.10000000000002</v>
      </c>
      <c r="N40" s="46">
        <v>3787</v>
      </c>
      <c r="O40" s="46">
        <v>645</v>
      </c>
      <c r="P40" s="46">
        <v>8654</v>
      </c>
      <c r="Q40" s="46" t="s">
        <v>3018</v>
      </c>
      <c r="R40" s="46" t="s">
        <v>576</v>
      </c>
      <c r="S40" s="46" t="s">
        <v>3030</v>
      </c>
      <c r="T40" s="46" t="s">
        <v>576</v>
      </c>
      <c r="U40" s="47">
        <f t="shared" si="3"/>
        <v>5.72</v>
      </c>
      <c r="V40" s="46" t="s">
        <v>1676</v>
      </c>
      <c r="W40" s="46" t="s">
        <v>1640</v>
      </c>
      <c r="X40" s="49" t="s">
        <v>321</v>
      </c>
    </row>
    <row r="41" spans="1:24" ht="25.5" customHeight="1" x14ac:dyDescent="0.25">
      <c r="A41" s="50" t="s">
        <v>3099</v>
      </c>
      <c r="B41" s="50" t="s">
        <v>3100</v>
      </c>
      <c r="C41" s="50" t="s">
        <v>3101</v>
      </c>
      <c r="D41" s="50" t="s">
        <v>819</v>
      </c>
      <c r="E41" s="51">
        <v>639.96</v>
      </c>
      <c r="F41" s="50">
        <v>7.1</v>
      </c>
      <c r="G41" s="50">
        <v>1.7</v>
      </c>
      <c r="H41" s="50">
        <f t="shared" si="2"/>
        <v>4.4000000000000004</v>
      </c>
      <c r="I41" s="50">
        <v>18.100000000000001</v>
      </c>
      <c r="J41" s="50">
        <v>31.6</v>
      </c>
      <c r="K41" s="50">
        <v>16.600000000000001</v>
      </c>
      <c r="L41" s="50">
        <v>4.8</v>
      </c>
      <c r="M41" s="50">
        <v>127.3</v>
      </c>
      <c r="N41" s="50">
        <v>735</v>
      </c>
      <c r="O41" s="50">
        <v>212</v>
      </c>
      <c r="P41" s="50">
        <v>642</v>
      </c>
      <c r="Q41" s="50" t="s">
        <v>3053</v>
      </c>
      <c r="R41" s="50" t="s">
        <v>587</v>
      </c>
      <c r="S41" s="50" t="s">
        <v>628</v>
      </c>
      <c r="T41" s="50" t="s">
        <v>587</v>
      </c>
      <c r="U41" s="51">
        <f t="shared" si="3"/>
        <v>14.08</v>
      </c>
      <c r="V41" s="50" t="s">
        <v>1640</v>
      </c>
      <c r="W41" s="50" t="s">
        <v>1676</v>
      </c>
      <c r="X41" s="53" t="s">
        <v>266</v>
      </c>
    </row>
    <row r="42" spans="1:24" ht="15" customHeight="1" x14ac:dyDescent="0.25">
      <c r="A42" s="50" t="s">
        <v>3102</v>
      </c>
      <c r="B42" s="50" t="s">
        <v>3103</v>
      </c>
      <c r="C42" s="50" t="s">
        <v>713</v>
      </c>
      <c r="D42" s="50" t="s">
        <v>661</v>
      </c>
      <c r="E42" s="51">
        <v>191.86</v>
      </c>
      <c r="F42" s="50">
        <v>1.7</v>
      </c>
      <c r="G42" s="50">
        <v>7</v>
      </c>
      <c r="H42" s="50">
        <f t="shared" si="2"/>
        <v>4.4000000000000004</v>
      </c>
      <c r="I42" s="50">
        <v>28.7</v>
      </c>
      <c r="J42" s="50">
        <v>23.5</v>
      </c>
      <c r="K42" s="50">
        <v>6</v>
      </c>
      <c r="L42" s="50">
        <v>9.6999999999999993</v>
      </c>
      <c r="M42" s="50">
        <v>539.1</v>
      </c>
      <c r="N42" s="50">
        <v>3146</v>
      </c>
      <c r="O42" s="50">
        <v>395</v>
      </c>
      <c r="P42" s="50">
        <v>3307</v>
      </c>
      <c r="Q42" s="50" t="s">
        <v>3053</v>
      </c>
      <c r="R42" s="50" t="s">
        <v>587</v>
      </c>
      <c r="S42" s="50" t="s">
        <v>628</v>
      </c>
      <c r="T42" s="50" t="s">
        <v>576</v>
      </c>
      <c r="U42" s="51">
        <f t="shared" si="3"/>
        <v>4.22</v>
      </c>
      <c r="V42" s="50" t="s">
        <v>1676</v>
      </c>
      <c r="W42" s="50" t="s">
        <v>1676</v>
      </c>
      <c r="X42" s="53" t="s">
        <v>266</v>
      </c>
    </row>
    <row r="43" spans="1:24" ht="15" customHeight="1" x14ac:dyDescent="0.25">
      <c r="A43" s="50" t="s">
        <v>3104</v>
      </c>
      <c r="B43" s="50" t="s">
        <v>3105</v>
      </c>
      <c r="C43" s="50" t="s">
        <v>3040</v>
      </c>
      <c r="D43" s="50" t="s">
        <v>630</v>
      </c>
      <c r="E43" s="51">
        <v>235.09</v>
      </c>
      <c r="F43" s="50">
        <v>1.5</v>
      </c>
      <c r="G43" s="50">
        <v>5.0999999999999996</v>
      </c>
      <c r="H43" s="50">
        <f t="shared" si="2"/>
        <v>3.3</v>
      </c>
      <c r="I43" s="50">
        <v>59.6</v>
      </c>
      <c r="J43" s="50">
        <v>63.2</v>
      </c>
      <c r="K43" s="50">
        <v>27.7</v>
      </c>
      <c r="L43" s="50">
        <v>5.8</v>
      </c>
      <c r="M43" s="50">
        <v>567.5</v>
      </c>
      <c r="N43" s="50">
        <v>4294</v>
      </c>
      <c r="O43" s="50">
        <v>2246</v>
      </c>
      <c r="P43" s="50">
        <v>11932</v>
      </c>
      <c r="Q43" s="50" t="s">
        <v>3018</v>
      </c>
      <c r="R43" s="50" t="s">
        <v>576</v>
      </c>
      <c r="S43" s="50" t="s">
        <v>609</v>
      </c>
      <c r="T43" s="50" t="s">
        <v>576</v>
      </c>
      <c r="U43" s="51">
        <f t="shared" si="3"/>
        <v>3.88</v>
      </c>
      <c r="V43" s="50" t="s">
        <v>1676</v>
      </c>
      <c r="W43" s="50" t="s">
        <v>1676</v>
      </c>
      <c r="X43" s="53" t="s">
        <v>266</v>
      </c>
    </row>
    <row r="44" spans="1:24" ht="15" customHeight="1" x14ac:dyDescent="0.25">
      <c r="A44" s="54" t="s">
        <v>3106</v>
      </c>
      <c r="B44" s="54" t="s">
        <v>3107</v>
      </c>
      <c r="C44" s="54" t="s">
        <v>3101</v>
      </c>
      <c r="D44" s="54" t="s">
        <v>667</v>
      </c>
      <c r="E44" s="55">
        <v>465.39</v>
      </c>
      <c r="F44" s="54">
        <v>8.9</v>
      </c>
      <c r="G44" s="54">
        <v>9</v>
      </c>
      <c r="H44" s="54">
        <f t="shared" si="2"/>
        <v>9</v>
      </c>
      <c r="I44" s="54">
        <v>52.1</v>
      </c>
      <c r="J44" s="54">
        <v>62.9</v>
      </c>
      <c r="K44" s="54">
        <v>9.3000000000000007</v>
      </c>
      <c r="L44" s="54">
        <v>2.7</v>
      </c>
      <c r="M44" s="54">
        <v>87.5</v>
      </c>
      <c r="N44" s="54">
        <v>479</v>
      </c>
      <c r="O44" s="54">
        <v>137</v>
      </c>
      <c r="P44" s="54">
        <v>2445</v>
      </c>
      <c r="Q44" s="54" t="s">
        <v>3018</v>
      </c>
      <c r="R44" s="54" t="s">
        <v>587</v>
      </c>
      <c r="S44" s="54" t="s">
        <v>678</v>
      </c>
      <c r="T44" s="54" t="s">
        <v>587</v>
      </c>
      <c r="U44" s="55">
        <f t="shared" si="3"/>
        <v>20.94</v>
      </c>
      <c r="V44" s="54" t="s">
        <v>622</v>
      </c>
      <c r="W44" s="54" t="s">
        <v>622</v>
      </c>
      <c r="X44" s="57" t="s">
        <v>495</v>
      </c>
    </row>
    <row r="45" spans="1:24" ht="15" customHeight="1" x14ac:dyDescent="0.25">
      <c r="A45" s="54" t="s">
        <v>3108</v>
      </c>
      <c r="B45" s="54" t="s">
        <v>3109</v>
      </c>
      <c r="C45" s="54" t="s">
        <v>571</v>
      </c>
      <c r="D45" s="54" t="s">
        <v>589</v>
      </c>
      <c r="E45" s="55">
        <v>334.66</v>
      </c>
      <c r="F45" s="54">
        <v>7.8</v>
      </c>
      <c r="G45" s="54">
        <v>8.8000000000000007</v>
      </c>
      <c r="H45" s="54">
        <f t="shared" si="2"/>
        <v>8.3000000000000007</v>
      </c>
      <c r="I45" s="54">
        <v>23.5</v>
      </c>
      <c r="J45" s="54">
        <v>62.6</v>
      </c>
      <c r="K45" s="54">
        <v>18.100000000000001</v>
      </c>
      <c r="L45" s="54">
        <v>2</v>
      </c>
      <c r="M45" s="54">
        <v>87</v>
      </c>
      <c r="N45" s="54">
        <v>606</v>
      </c>
      <c r="O45" s="54">
        <v>398</v>
      </c>
      <c r="P45" s="54">
        <v>1404</v>
      </c>
      <c r="Q45" s="54" t="s">
        <v>3053</v>
      </c>
      <c r="R45" s="54" t="s">
        <v>576</v>
      </c>
      <c r="S45" s="54" t="s">
        <v>602</v>
      </c>
      <c r="T45" s="54" t="s">
        <v>576</v>
      </c>
      <c r="U45" s="55">
        <f t="shared" si="3"/>
        <v>13.89</v>
      </c>
      <c r="V45" s="54" t="s">
        <v>622</v>
      </c>
      <c r="W45" s="54" t="s">
        <v>622</v>
      </c>
      <c r="X45" s="57" t="s">
        <v>495</v>
      </c>
    </row>
    <row r="46" spans="1:24" ht="15" customHeight="1" x14ac:dyDescent="0.25">
      <c r="A46" s="50" t="s">
        <v>3110</v>
      </c>
      <c r="B46" s="50" t="s">
        <v>3111</v>
      </c>
      <c r="C46" s="50" t="s">
        <v>614</v>
      </c>
      <c r="D46" s="50" t="s">
        <v>3049</v>
      </c>
      <c r="E46" s="51">
        <v>673.85</v>
      </c>
      <c r="F46" s="50">
        <v>1.2</v>
      </c>
      <c r="G46" s="50">
        <v>8.1</v>
      </c>
      <c r="H46" s="50">
        <f t="shared" si="2"/>
        <v>4.7</v>
      </c>
      <c r="I46" s="50">
        <v>52.1</v>
      </c>
      <c r="J46" s="50">
        <v>55.3</v>
      </c>
      <c r="K46" s="50">
        <v>29.6</v>
      </c>
      <c r="L46" s="50">
        <v>7.1</v>
      </c>
      <c r="M46" s="50">
        <v>149.30000000000001</v>
      </c>
      <c r="N46" s="50">
        <v>514</v>
      </c>
      <c r="O46" s="50">
        <v>294</v>
      </c>
      <c r="P46" s="50">
        <v>2967</v>
      </c>
      <c r="Q46" s="50" t="s">
        <v>3014</v>
      </c>
      <c r="R46" s="50" t="s">
        <v>587</v>
      </c>
      <c r="S46" s="50" t="s">
        <v>3030</v>
      </c>
      <c r="T46" s="50" t="s">
        <v>576</v>
      </c>
      <c r="U46" s="51">
        <f t="shared" si="3"/>
        <v>15.84</v>
      </c>
      <c r="V46" s="50" t="s">
        <v>1640</v>
      </c>
      <c r="W46" s="50" t="s">
        <v>1676</v>
      </c>
      <c r="X46" s="53" t="s">
        <v>266</v>
      </c>
    </row>
    <row r="47" spans="1:24" ht="15" customHeight="1" x14ac:dyDescent="0.25">
      <c r="A47" s="50" t="s">
        <v>3112</v>
      </c>
      <c r="B47" s="50" t="s">
        <v>3113</v>
      </c>
      <c r="C47" s="50" t="s">
        <v>680</v>
      </c>
      <c r="D47" s="50" t="s">
        <v>688</v>
      </c>
      <c r="E47" s="51">
        <v>574.94000000000005</v>
      </c>
      <c r="F47" s="50">
        <v>8.6999999999999993</v>
      </c>
      <c r="G47" s="50">
        <v>1.1000000000000001</v>
      </c>
      <c r="H47" s="50">
        <f t="shared" si="2"/>
        <v>4.9000000000000004</v>
      </c>
      <c r="I47" s="50">
        <v>66.2</v>
      </c>
      <c r="J47" s="50">
        <v>31.3</v>
      </c>
      <c r="K47" s="50">
        <v>11.9</v>
      </c>
      <c r="L47" s="50">
        <v>6.9</v>
      </c>
      <c r="M47" s="50">
        <v>42.2</v>
      </c>
      <c r="N47" s="50">
        <v>279</v>
      </c>
      <c r="O47" s="50">
        <v>372</v>
      </c>
      <c r="P47" s="50">
        <v>1530</v>
      </c>
      <c r="Q47" s="50" t="s">
        <v>3057</v>
      </c>
      <c r="R47" s="50" t="s">
        <v>3015</v>
      </c>
      <c r="S47" s="50" t="s">
        <v>609</v>
      </c>
      <c r="T47" s="50" t="s">
        <v>576</v>
      </c>
      <c r="U47" s="51">
        <f t="shared" si="3"/>
        <v>14.09</v>
      </c>
      <c r="V47" s="50" t="s">
        <v>1640</v>
      </c>
      <c r="W47" s="50" t="s">
        <v>1676</v>
      </c>
      <c r="X47" s="53" t="s">
        <v>266</v>
      </c>
    </row>
    <row r="48" spans="1:24" ht="15" customHeight="1" x14ac:dyDescent="0.25">
      <c r="A48" s="50" t="s">
        <v>3114</v>
      </c>
      <c r="B48" s="50" t="s">
        <v>3115</v>
      </c>
      <c r="C48" s="50" t="s">
        <v>571</v>
      </c>
      <c r="D48" s="50" t="s">
        <v>3052</v>
      </c>
      <c r="E48" s="51">
        <v>478.71</v>
      </c>
      <c r="F48" s="50">
        <v>1.1000000000000001</v>
      </c>
      <c r="G48" s="50">
        <v>4</v>
      </c>
      <c r="H48" s="50">
        <f t="shared" si="2"/>
        <v>2.6</v>
      </c>
      <c r="I48" s="50">
        <v>84.1</v>
      </c>
      <c r="J48" s="50">
        <v>70.599999999999994</v>
      </c>
      <c r="K48" s="50">
        <v>45.6</v>
      </c>
      <c r="L48" s="50">
        <v>4.5999999999999996</v>
      </c>
      <c r="M48" s="50">
        <v>39.5</v>
      </c>
      <c r="N48" s="50">
        <v>124</v>
      </c>
      <c r="O48" s="50">
        <v>317</v>
      </c>
      <c r="P48" s="50">
        <v>2767</v>
      </c>
      <c r="Q48" s="50" t="s">
        <v>3027</v>
      </c>
      <c r="R48" s="50" t="s">
        <v>576</v>
      </c>
      <c r="S48" s="50" t="s">
        <v>3054</v>
      </c>
      <c r="T48" s="50" t="s">
        <v>576</v>
      </c>
      <c r="U48" s="51">
        <f t="shared" si="3"/>
        <v>6.22</v>
      </c>
      <c r="V48" s="50" t="s">
        <v>1640</v>
      </c>
      <c r="W48" s="50" t="s">
        <v>1676</v>
      </c>
      <c r="X48" s="53" t="s">
        <v>266</v>
      </c>
    </row>
    <row r="49" spans="1:24" ht="15" customHeight="1" x14ac:dyDescent="0.25">
      <c r="A49" s="54" t="s">
        <v>3116</v>
      </c>
      <c r="B49" s="54" t="s">
        <v>3117</v>
      </c>
      <c r="C49" s="54" t="s">
        <v>695</v>
      </c>
      <c r="D49" s="54" t="s">
        <v>649</v>
      </c>
      <c r="E49" s="55">
        <v>679.8</v>
      </c>
      <c r="F49" s="54">
        <v>7.8</v>
      </c>
      <c r="G49" s="54">
        <v>9.6</v>
      </c>
      <c r="H49" s="54">
        <f t="shared" si="2"/>
        <v>8.6999999999999993</v>
      </c>
      <c r="I49" s="54">
        <v>49.6</v>
      </c>
      <c r="J49" s="54">
        <v>42.4</v>
      </c>
      <c r="K49" s="54">
        <v>45.3</v>
      </c>
      <c r="L49" s="54">
        <v>3.1</v>
      </c>
      <c r="M49" s="54">
        <v>101</v>
      </c>
      <c r="N49" s="54">
        <v>604</v>
      </c>
      <c r="O49" s="54">
        <v>197</v>
      </c>
      <c r="P49" s="54">
        <v>2339</v>
      </c>
      <c r="Q49" s="54" t="s">
        <v>3014</v>
      </c>
      <c r="R49" s="54" t="s">
        <v>576</v>
      </c>
      <c r="S49" s="54" t="s">
        <v>609</v>
      </c>
      <c r="T49" s="54" t="s">
        <v>576</v>
      </c>
      <c r="U49" s="55">
        <f t="shared" si="3"/>
        <v>29.57</v>
      </c>
      <c r="V49" s="54" t="s">
        <v>1640</v>
      </c>
      <c r="W49" s="54" t="s">
        <v>622</v>
      </c>
      <c r="X49" s="57" t="s">
        <v>495</v>
      </c>
    </row>
    <row r="50" spans="1:24" ht="15" customHeight="1" x14ac:dyDescent="0.25">
      <c r="A50" s="46" t="s">
        <v>3118</v>
      </c>
      <c r="B50" s="46" t="s">
        <v>3119</v>
      </c>
      <c r="C50" s="46" t="s">
        <v>614</v>
      </c>
      <c r="D50" s="46" t="s">
        <v>656</v>
      </c>
      <c r="E50" s="47">
        <v>668.41</v>
      </c>
      <c r="F50" s="46">
        <v>7.2</v>
      </c>
      <c r="G50" s="46">
        <v>3.1</v>
      </c>
      <c r="H50" s="46">
        <f t="shared" si="2"/>
        <v>5.2</v>
      </c>
      <c r="I50" s="46">
        <v>72.3</v>
      </c>
      <c r="J50" s="46">
        <v>35.299999999999997</v>
      </c>
      <c r="K50" s="46">
        <v>47.6</v>
      </c>
      <c r="L50" s="46">
        <v>7.5</v>
      </c>
      <c r="M50" s="46">
        <v>52.6</v>
      </c>
      <c r="N50" s="46">
        <v>348</v>
      </c>
      <c r="O50" s="46">
        <v>381</v>
      </c>
      <c r="P50" s="46">
        <v>632</v>
      </c>
      <c r="Q50" s="46" t="s">
        <v>3057</v>
      </c>
      <c r="R50" s="46" t="s">
        <v>3015</v>
      </c>
      <c r="S50" s="46" t="s">
        <v>602</v>
      </c>
      <c r="T50" s="46" t="s">
        <v>576</v>
      </c>
      <c r="U50" s="47">
        <f t="shared" si="3"/>
        <v>17.38</v>
      </c>
      <c r="V50" s="46" t="s">
        <v>622</v>
      </c>
      <c r="W50" s="46" t="s">
        <v>1640</v>
      </c>
      <c r="X50" s="49" t="s">
        <v>321</v>
      </c>
    </row>
    <row r="51" spans="1:24" ht="15" customHeight="1" x14ac:dyDescent="0.25">
      <c r="A51" s="46" t="s">
        <v>3120</v>
      </c>
      <c r="B51" s="46" t="s">
        <v>3121</v>
      </c>
      <c r="C51" s="46" t="s">
        <v>713</v>
      </c>
      <c r="D51" s="46" t="s">
        <v>630</v>
      </c>
      <c r="E51" s="47">
        <v>275.41000000000003</v>
      </c>
      <c r="F51" s="46">
        <v>6.6</v>
      </c>
      <c r="G51" s="46">
        <v>5.6</v>
      </c>
      <c r="H51" s="46">
        <f t="shared" si="2"/>
        <v>6.1</v>
      </c>
      <c r="I51" s="46">
        <v>82</v>
      </c>
      <c r="J51" s="46">
        <v>57.6</v>
      </c>
      <c r="K51" s="46">
        <v>5.2</v>
      </c>
      <c r="L51" s="46">
        <v>6.9</v>
      </c>
      <c r="M51" s="46">
        <v>191.2</v>
      </c>
      <c r="N51" s="46">
        <v>1966</v>
      </c>
      <c r="O51" s="46">
        <v>1163</v>
      </c>
      <c r="P51" s="46">
        <v>9912</v>
      </c>
      <c r="Q51" s="46" t="s">
        <v>3053</v>
      </c>
      <c r="R51" s="46" t="s">
        <v>587</v>
      </c>
      <c r="S51" s="46" t="s">
        <v>618</v>
      </c>
      <c r="T51" s="46" t="s">
        <v>587</v>
      </c>
      <c r="U51" s="47">
        <f t="shared" si="3"/>
        <v>8.4</v>
      </c>
      <c r="V51" s="46" t="s">
        <v>1676</v>
      </c>
      <c r="W51" s="46" t="s">
        <v>1640</v>
      </c>
      <c r="X51" s="49" t="s">
        <v>321</v>
      </c>
    </row>
    <row r="52" spans="1:24" ht="15" customHeight="1" x14ac:dyDescent="0.25">
      <c r="A52" s="46" t="s">
        <v>3122</v>
      </c>
      <c r="B52" s="46" t="s">
        <v>3123</v>
      </c>
      <c r="C52" s="46" t="s">
        <v>680</v>
      </c>
      <c r="D52" s="46" t="s">
        <v>688</v>
      </c>
      <c r="E52" s="47">
        <v>681.87</v>
      </c>
      <c r="F52" s="46">
        <v>2.7</v>
      </c>
      <c r="G52" s="46">
        <v>9.4</v>
      </c>
      <c r="H52" s="46">
        <f t="shared" si="2"/>
        <v>6.1</v>
      </c>
      <c r="I52" s="46">
        <v>41.2</v>
      </c>
      <c r="J52" s="46">
        <v>31.6</v>
      </c>
      <c r="K52" s="46">
        <v>7.8</v>
      </c>
      <c r="L52" s="46">
        <v>6.5</v>
      </c>
      <c r="M52" s="46">
        <v>113.5</v>
      </c>
      <c r="N52" s="46">
        <v>729</v>
      </c>
      <c r="O52" s="46">
        <v>286</v>
      </c>
      <c r="P52" s="46">
        <v>2127</v>
      </c>
      <c r="Q52" s="46" t="s">
        <v>3018</v>
      </c>
      <c r="R52" s="46" t="s">
        <v>3015</v>
      </c>
      <c r="S52" s="46" t="s">
        <v>3030</v>
      </c>
      <c r="T52" s="46" t="s">
        <v>587</v>
      </c>
      <c r="U52" s="47">
        <f t="shared" si="3"/>
        <v>20.8</v>
      </c>
      <c r="V52" s="46" t="s">
        <v>622</v>
      </c>
      <c r="W52" s="46" t="s">
        <v>1640</v>
      </c>
      <c r="X52" s="49" t="s">
        <v>321</v>
      </c>
    </row>
    <row r="53" spans="1:24" ht="15" customHeight="1" x14ac:dyDescent="0.25">
      <c r="A53" s="54" t="s">
        <v>3124</v>
      </c>
      <c r="B53" s="54" t="s">
        <v>3125</v>
      </c>
      <c r="C53" s="54" t="s">
        <v>611</v>
      </c>
      <c r="D53" s="54" t="s">
        <v>3052</v>
      </c>
      <c r="E53" s="55">
        <v>455.37</v>
      </c>
      <c r="F53" s="54">
        <v>9.1999999999999993</v>
      </c>
      <c r="G53" s="54">
        <v>5.6</v>
      </c>
      <c r="H53" s="54">
        <f t="shared" si="2"/>
        <v>7.4</v>
      </c>
      <c r="I53" s="54">
        <v>62.5</v>
      </c>
      <c r="J53" s="54">
        <v>15.8</v>
      </c>
      <c r="K53" s="54">
        <v>54.7</v>
      </c>
      <c r="L53" s="54">
        <v>3.9</v>
      </c>
      <c r="M53" s="54">
        <v>409.6</v>
      </c>
      <c r="N53" s="54">
        <v>4546</v>
      </c>
      <c r="O53" s="54">
        <v>356</v>
      </c>
      <c r="P53" s="54">
        <v>13952</v>
      </c>
      <c r="Q53" s="54" t="s">
        <v>3011</v>
      </c>
      <c r="R53" s="54" t="s">
        <v>3015</v>
      </c>
      <c r="S53" s="54" t="s">
        <v>602</v>
      </c>
      <c r="T53" s="54" t="s">
        <v>576</v>
      </c>
      <c r="U53" s="55">
        <f t="shared" si="3"/>
        <v>16.850000000000001</v>
      </c>
      <c r="V53" s="54" t="s">
        <v>1640</v>
      </c>
      <c r="W53" s="54" t="s">
        <v>622</v>
      </c>
      <c r="X53" s="57" t="s">
        <v>495</v>
      </c>
    </row>
    <row r="54" spans="1:24" ht="15" customHeight="1" x14ac:dyDescent="0.25">
      <c r="A54" s="46" t="s">
        <v>3126</v>
      </c>
      <c r="B54" s="46" t="s">
        <v>3127</v>
      </c>
      <c r="C54" s="46" t="s">
        <v>571</v>
      </c>
      <c r="D54" s="46" t="s">
        <v>667</v>
      </c>
      <c r="E54" s="47">
        <v>493.52</v>
      </c>
      <c r="F54" s="46">
        <v>8.1</v>
      </c>
      <c r="G54" s="46">
        <v>4.3</v>
      </c>
      <c r="H54" s="46">
        <f t="shared" si="2"/>
        <v>6.2</v>
      </c>
      <c r="I54" s="46">
        <v>60.6</v>
      </c>
      <c r="J54" s="46">
        <v>66.8</v>
      </c>
      <c r="K54" s="46">
        <v>44.1</v>
      </c>
      <c r="L54" s="46">
        <v>8.8000000000000007</v>
      </c>
      <c r="M54" s="46">
        <v>118.2</v>
      </c>
      <c r="N54" s="46">
        <v>449</v>
      </c>
      <c r="O54" s="46">
        <v>245</v>
      </c>
      <c r="P54" s="46">
        <v>2637</v>
      </c>
      <c r="Q54" s="46" t="s">
        <v>3057</v>
      </c>
      <c r="R54" s="46" t="s">
        <v>3015</v>
      </c>
      <c r="S54" s="46" t="s">
        <v>3030</v>
      </c>
      <c r="T54" s="46" t="s">
        <v>576</v>
      </c>
      <c r="U54" s="47">
        <f t="shared" si="3"/>
        <v>15.3</v>
      </c>
      <c r="V54" s="46" t="s">
        <v>1676</v>
      </c>
      <c r="W54" s="46" t="s">
        <v>1640</v>
      </c>
      <c r="X54" s="49" t="s">
        <v>321</v>
      </c>
    </row>
    <row r="55" spans="1:24" ht="25.5" customHeight="1" x14ac:dyDescent="0.25">
      <c r="A55" s="46" t="s">
        <v>3128</v>
      </c>
      <c r="B55" s="46" t="s">
        <v>3129</v>
      </c>
      <c r="C55" s="46" t="s">
        <v>571</v>
      </c>
      <c r="D55" s="46" t="s">
        <v>578</v>
      </c>
      <c r="E55" s="47">
        <v>159.15</v>
      </c>
      <c r="F55" s="46">
        <v>9.1</v>
      </c>
      <c r="G55" s="46">
        <v>2.6</v>
      </c>
      <c r="H55" s="46">
        <f t="shared" si="2"/>
        <v>5.9</v>
      </c>
      <c r="I55" s="46">
        <v>64.7</v>
      </c>
      <c r="J55" s="46">
        <v>64.7</v>
      </c>
      <c r="K55" s="46">
        <v>19.600000000000001</v>
      </c>
      <c r="L55" s="46">
        <v>2.6</v>
      </c>
      <c r="M55" s="46">
        <v>88.1</v>
      </c>
      <c r="N55" s="46">
        <v>521</v>
      </c>
      <c r="O55" s="46">
        <v>353</v>
      </c>
      <c r="P55" s="46">
        <v>1714</v>
      </c>
      <c r="Q55" s="46" t="s">
        <v>3027</v>
      </c>
      <c r="R55" s="46" t="s">
        <v>576</v>
      </c>
      <c r="S55" s="46" t="s">
        <v>602</v>
      </c>
      <c r="T55" s="46" t="s">
        <v>587</v>
      </c>
      <c r="U55" s="47">
        <f t="shared" si="3"/>
        <v>4.6900000000000004</v>
      </c>
      <c r="V55" s="46" t="s">
        <v>1676</v>
      </c>
      <c r="W55" s="46" t="s">
        <v>1640</v>
      </c>
      <c r="X55" s="49" t="s">
        <v>321</v>
      </c>
    </row>
    <row r="56" spans="1:24" ht="15" customHeight="1" x14ac:dyDescent="0.25">
      <c r="A56" s="50" t="s">
        <v>3130</v>
      </c>
      <c r="B56" s="50" t="s">
        <v>3131</v>
      </c>
      <c r="C56" s="50" t="s">
        <v>571</v>
      </c>
      <c r="D56" s="50" t="s">
        <v>661</v>
      </c>
      <c r="E56" s="51">
        <v>462.07</v>
      </c>
      <c r="F56" s="50">
        <v>2.2000000000000002</v>
      </c>
      <c r="G56" s="50">
        <v>5.8</v>
      </c>
      <c r="H56" s="50">
        <f t="shared" si="2"/>
        <v>4</v>
      </c>
      <c r="I56" s="50">
        <v>51.1</v>
      </c>
      <c r="J56" s="50">
        <v>23.8</v>
      </c>
      <c r="K56" s="50">
        <v>27.3</v>
      </c>
      <c r="L56" s="50">
        <v>8.8000000000000007</v>
      </c>
      <c r="M56" s="50">
        <v>132.6</v>
      </c>
      <c r="N56" s="50">
        <v>249</v>
      </c>
      <c r="O56" s="50">
        <v>329</v>
      </c>
      <c r="P56" s="50">
        <v>2445</v>
      </c>
      <c r="Q56" s="50" t="s">
        <v>3014</v>
      </c>
      <c r="R56" s="50" t="s">
        <v>587</v>
      </c>
      <c r="S56" s="50" t="s">
        <v>618</v>
      </c>
      <c r="T56" s="50" t="s">
        <v>576</v>
      </c>
      <c r="U56" s="51">
        <f t="shared" si="3"/>
        <v>9.24</v>
      </c>
      <c r="V56" s="50" t="s">
        <v>1640</v>
      </c>
      <c r="W56" s="50" t="s">
        <v>1676</v>
      </c>
      <c r="X56" s="53" t="s">
        <v>266</v>
      </c>
    </row>
    <row r="57" spans="1:24" ht="15" customHeight="1" x14ac:dyDescent="0.25">
      <c r="A57" s="50" t="s">
        <v>3132</v>
      </c>
      <c r="B57" s="50" t="s">
        <v>3133</v>
      </c>
      <c r="C57" s="50" t="s">
        <v>713</v>
      </c>
      <c r="D57" s="50" t="s">
        <v>605</v>
      </c>
      <c r="E57" s="51">
        <v>492.34</v>
      </c>
      <c r="F57" s="50">
        <v>4</v>
      </c>
      <c r="G57" s="50">
        <v>5.8</v>
      </c>
      <c r="H57" s="50">
        <f t="shared" si="2"/>
        <v>4.9000000000000004</v>
      </c>
      <c r="I57" s="50">
        <v>32</v>
      </c>
      <c r="J57" s="50">
        <v>74.3</v>
      </c>
      <c r="K57" s="50">
        <v>33</v>
      </c>
      <c r="L57" s="50">
        <v>9.1999999999999993</v>
      </c>
      <c r="M57" s="50">
        <v>304.5</v>
      </c>
      <c r="N57" s="50">
        <v>1873</v>
      </c>
      <c r="O57" s="50">
        <v>903</v>
      </c>
      <c r="P57" s="50">
        <v>7613</v>
      </c>
      <c r="Q57" s="50" t="s">
        <v>3018</v>
      </c>
      <c r="R57" s="50" t="s">
        <v>576</v>
      </c>
      <c r="S57" s="50" t="s">
        <v>678</v>
      </c>
      <c r="T57" s="50" t="s">
        <v>576</v>
      </c>
      <c r="U57" s="51">
        <f t="shared" si="3"/>
        <v>12.06</v>
      </c>
      <c r="V57" s="50" t="s">
        <v>1640</v>
      </c>
      <c r="W57" s="50" t="s">
        <v>1676</v>
      </c>
      <c r="X57" s="53" t="s">
        <v>266</v>
      </c>
    </row>
    <row r="58" spans="1:24" ht="15" customHeight="1" x14ac:dyDescent="0.25">
      <c r="A58" s="50" t="s">
        <v>3134</v>
      </c>
      <c r="B58" s="50" t="s">
        <v>3135</v>
      </c>
      <c r="C58" s="50" t="s">
        <v>680</v>
      </c>
      <c r="D58" s="50" t="s">
        <v>589</v>
      </c>
      <c r="E58" s="51">
        <v>558.09</v>
      </c>
      <c r="F58" s="50">
        <v>4.3</v>
      </c>
      <c r="G58" s="50">
        <v>3</v>
      </c>
      <c r="H58" s="50">
        <f t="shared" si="2"/>
        <v>3.7</v>
      </c>
      <c r="I58" s="50">
        <v>84.3</v>
      </c>
      <c r="J58" s="50">
        <v>40.299999999999997</v>
      </c>
      <c r="K58" s="50">
        <v>37.700000000000003</v>
      </c>
      <c r="L58" s="50">
        <v>4.5</v>
      </c>
      <c r="M58" s="50">
        <v>67.599999999999994</v>
      </c>
      <c r="N58" s="50">
        <v>711</v>
      </c>
      <c r="O58" s="50">
        <v>300</v>
      </c>
      <c r="P58" s="50">
        <v>2225</v>
      </c>
      <c r="Q58" s="50" t="s">
        <v>3057</v>
      </c>
      <c r="R58" s="50" t="s">
        <v>587</v>
      </c>
      <c r="S58" s="50" t="s">
        <v>628</v>
      </c>
      <c r="T58" s="50" t="s">
        <v>587</v>
      </c>
      <c r="U58" s="51">
        <f t="shared" si="3"/>
        <v>10.32</v>
      </c>
      <c r="V58" s="50" t="s">
        <v>1676</v>
      </c>
      <c r="W58" s="50" t="s">
        <v>1676</v>
      </c>
      <c r="X58" s="53" t="s">
        <v>266</v>
      </c>
    </row>
    <row r="59" spans="1:24" ht="15" customHeight="1" x14ac:dyDescent="0.25">
      <c r="A59" s="46" t="s">
        <v>3136</v>
      </c>
      <c r="B59" s="46" t="s">
        <v>3137</v>
      </c>
      <c r="C59" s="46" t="s">
        <v>695</v>
      </c>
      <c r="D59" s="46" t="s">
        <v>597</v>
      </c>
      <c r="E59" s="47">
        <v>541.39</v>
      </c>
      <c r="F59" s="46">
        <v>8</v>
      </c>
      <c r="G59" s="46">
        <v>3.6</v>
      </c>
      <c r="H59" s="46">
        <f t="shared" si="2"/>
        <v>5.8</v>
      </c>
      <c r="I59" s="46">
        <v>25.9</v>
      </c>
      <c r="J59" s="46">
        <v>5.5</v>
      </c>
      <c r="K59" s="46">
        <v>22</v>
      </c>
      <c r="L59" s="46">
        <v>6.6</v>
      </c>
      <c r="M59" s="46">
        <v>134.1</v>
      </c>
      <c r="N59" s="46">
        <v>965</v>
      </c>
      <c r="O59" s="46">
        <v>312</v>
      </c>
      <c r="P59" s="46">
        <v>2463</v>
      </c>
      <c r="Q59" s="46" t="s">
        <v>3014</v>
      </c>
      <c r="R59" s="46" t="s">
        <v>576</v>
      </c>
      <c r="S59" s="46" t="s">
        <v>3030</v>
      </c>
      <c r="T59" s="46" t="s">
        <v>587</v>
      </c>
      <c r="U59" s="47">
        <f t="shared" si="3"/>
        <v>15.7</v>
      </c>
      <c r="V59" s="46" t="s">
        <v>1676</v>
      </c>
      <c r="W59" s="46" t="s">
        <v>1640</v>
      </c>
      <c r="X59" s="49" t="s">
        <v>321</v>
      </c>
    </row>
    <row r="60" spans="1:24" ht="25.5" customHeight="1" x14ac:dyDescent="0.25">
      <c r="A60" s="46" t="s">
        <v>3138</v>
      </c>
      <c r="B60" s="46" t="s">
        <v>3139</v>
      </c>
      <c r="C60" s="46" t="s">
        <v>655</v>
      </c>
      <c r="D60" s="46" t="s">
        <v>661</v>
      </c>
      <c r="E60" s="47">
        <v>389</v>
      </c>
      <c r="F60" s="46">
        <v>7.3</v>
      </c>
      <c r="G60" s="46">
        <v>6.2</v>
      </c>
      <c r="H60" s="46">
        <f t="shared" si="2"/>
        <v>6.8</v>
      </c>
      <c r="I60" s="46">
        <v>26.5</v>
      </c>
      <c r="J60" s="46">
        <v>7.6</v>
      </c>
      <c r="K60" s="46">
        <v>55</v>
      </c>
      <c r="L60" s="46">
        <v>2.9</v>
      </c>
      <c r="M60" s="46">
        <v>288.39999999999998</v>
      </c>
      <c r="N60" s="46">
        <v>3164</v>
      </c>
      <c r="O60" s="46">
        <v>1402</v>
      </c>
      <c r="P60" s="46">
        <v>8433</v>
      </c>
      <c r="Q60" s="46" t="s">
        <v>3014</v>
      </c>
      <c r="R60" s="46" t="s">
        <v>587</v>
      </c>
      <c r="S60" s="46" t="s">
        <v>602</v>
      </c>
      <c r="T60" s="46" t="s">
        <v>576</v>
      </c>
      <c r="U60" s="47">
        <f t="shared" si="3"/>
        <v>13.23</v>
      </c>
      <c r="V60" s="46" t="s">
        <v>1676</v>
      </c>
      <c r="W60" s="46" t="s">
        <v>1640</v>
      </c>
      <c r="X60" s="49" t="s">
        <v>321</v>
      </c>
    </row>
    <row r="61" spans="1:24" ht="15" customHeight="1" x14ac:dyDescent="0.25">
      <c r="A61" s="50" t="s">
        <v>3140</v>
      </c>
      <c r="B61" s="50" t="s">
        <v>3141</v>
      </c>
      <c r="C61" s="50" t="s">
        <v>3033</v>
      </c>
      <c r="D61" s="50" t="s">
        <v>621</v>
      </c>
      <c r="E61" s="51">
        <v>162.78</v>
      </c>
      <c r="F61" s="50">
        <v>6.6</v>
      </c>
      <c r="G61" s="50">
        <v>2.9</v>
      </c>
      <c r="H61" s="50">
        <f t="shared" si="2"/>
        <v>4.8</v>
      </c>
      <c r="I61" s="50">
        <v>38.6</v>
      </c>
      <c r="J61" s="50">
        <v>55.9</v>
      </c>
      <c r="K61" s="50">
        <v>61.9</v>
      </c>
      <c r="L61" s="50">
        <v>1.9</v>
      </c>
      <c r="M61" s="50">
        <v>509.5</v>
      </c>
      <c r="N61" s="50">
        <v>4164</v>
      </c>
      <c r="O61" s="50">
        <v>1499</v>
      </c>
      <c r="P61" s="50">
        <v>1750</v>
      </c>
      <c r="Q61" s="50" t="s">
        <v>3014</v>
      </c>
      <c r="R61" s="50" t="s">
        <v>3015</v>
      </c>
      <c r="S61" s="50" t="s">
        <v>575</v>
      </c>
      <c r="T61" s="50" t="s">
        <v>576</v>
      </c>
      <c r="U61" s="51">
        <f t="shared" si="3"/>
        <v>3.91</v>
      </c>
      <c r="V61" s="50" t="s">
        <v>622</v>
      </c>
      <c r="W61" s="50" t="s">
        <v>1676</v>
      </c>
      <c r="X61" s="53" t="s">
        <v>266</v>
      </c>
    </row>
    <row r="62" spans="1:24" ht="15" customHeight="1" x14ac:dyDescent="0.25">
      <c r="A62" s="46" t="s">
        <v>3142</v>
      </c>
      <c r="B62" s="46" t="s">
        <v>3143</v>
      </c>
      <c r="C62" s="46" t="s">
        <v>3101</v>
      </c>
      <c r="D62" s="46" t="s">
        <v>605</v>
      </c>
      <c r="E62" s="47">
        <v>571.54999999999995</v>
      </c>
      <c r="F62" s="46">
        <v>3.6</v>
      </c>
      <c r="G62" s="46">
        <v>7.9</v>
      </c>
      <c r="H62" s="46">
        <f t="shared" si="2"/>
        <v>5.8</v>
      </c>
      <c r="I62" s="46">
        <v>12</v>
      </c>
      <c r="J62" s="46">
        <v>59.3</v>
      </c>
      <c r="K62" s="46">
        <v>14</v>
      </c>
      <c r="L62" s="46">
        <v>4.4000000000000004</v>
      </c>
      <c r="M62" s="46">
        <v>88.8</v>
      </c>
      <c r="N62" s="46">
        <v>174</v>
      </c>
      <c r="O62" s="46">
        <v>406</v>
      </c>
      <c r="P62" s="46">
        <v>2523</v>
      </c>
      <c r="Q62" s="46" t="s">
        <v>3018</v>
      </c>
      <c r="R62" s="46" t="s">
        <v>587</v>
      </c>
      <c r="S62" s="46" t="s">
        <v>628</v>
      </c>
      <c r="T62" s="46" t="s">
        <v>576</v>
      </c>
      <c r="U62" s="47">
        <f t="shared" si="3"/>
        <v>16.57</v>
      </c>
      <c r="V62" s="46" t="s">
        <v>622</v>
      </c>
      <c r="W62" s="46" t="s">
        <v>1640</v>
      </c>
      <c r="X62" s="49" t="s">
        <v>321</v>
      </c>
    </row>
    <row r="63" spans="1:24" ht="15" customHeight="1" x14ac:dyDescent="0.25">
      <c r="A63" s="50" t="s">
        <v>3144</v>
      </c>
      <c r="B63" s="50" t="s">
        <v>3145</v>
      </c>
      <c r="C63" s="50" t="s">
        <v>691</v>
      </c>
      <c r="D63" s="50" t="s">
        <v>3052</v>
      </c>
      <c r="E63" s="51">
        <v>135.56</v>
      </c>
      <c r="F63" s="50">
        <v>5.3</v>
      </c>
      <c r="G63" s="50">
        <v>3.4</v>
      </c>
      <c r="H63" s="50">
        <f t="shared" si="2"/>
        <v>4.4000000000000004</v>
      </c>
      <c r="I63" s="50">
        <v>15.4</v>
      </c>
      <c r="J63" s="50">
        <v>64.099999999999994</v>
      </c>
      <c r="K63" s="50">
        <v>35.700000000000003</v>
      </c>
      <c r="L63" s="50">
        <v>8.6999999999999993</v>
      </c>
      <c r="M63" s="50">
        <v>65.3</v>
      </c>
      <c r="N63" s="50">
        <v>216</v>
      </c>
      <c r="O63" s="50">
        <v>120</v>
      </c>
      <c r="P63" s="50">
        <v>1455</v>
      </c>
      <c r="Q63" s="50" t="s">
        <v>3018</v>
      </c>
      <c r="R63" s="50" t="s">
        <v>587</v>
      </c>
      <c r="S63" s="50" t="s">
        <v>618</v>
      </c>
      <c r="T63" s="50" t="s">
        <v>576</v>
      </c>
      <c r="U63" s="51">
        <f t="shared" si="3"/>
        <v>2.98</v>
      </c>
      <c r="V63" s="50" t="s">
        <v>1640</v>
      </c>
      <c r="W63" s="50" t="s">
        <v>1676</v>
      </c>
      <c r="X63" s="53" t="s">
        <v>266</v>
      </c>
    </row>
    <row r="64" spans="1:24" ht="15" customHeight="1" x14ac:dyDescent="0.25">
      <c r="A64" s="46" t="s">
        <v>3146</v>
      </c>
      <c r="B64" s="46" t="s">
        <v>3147</v>
      </c>
      <c r="C64" s="46" t="s">
        <v>3101</v>
      </c>
      <c r="D64" s="46" t="s">
        <v>688</v>
      </c>
      <c r="E64" s="47">
        <v>429.32</v>
      </c>
      <c r="F64" s="46">
        <v>4.7</v>
      </c>
      <c r="G64" s="46">
        <v>7.8</v>
      </c>
      <c r="H64" s="46">
        <f t="shared" si="2"/>
        <v>6.3</v>
      </c>
      <c r="I64" s="46">
        <v>48.1</v>
      </c>
      <c r="J64" s="46">
        <v>24.6</v>
      </c>
      <c r="K64" s="46">
        <v>56.5</v>
      </c>
      <c r="L64" s="46">
        <v>2.2000000000000002</v>
      </c>
      <c r="M64" s="46">
        <v>111.8</v>
      </c>
      <c r="N64" s="46">
        <v>572</v>
      </c>
      <c r="O64" s="46">
        <v>222</v>
      </c>
      <c r="P64" s="46">
        <v>2841</v>
      </c>
      <c r="Q64" s="46" t="s">
        <v>3057</v>
      </c>
      <c r="R64" s="46" t="s">
        <v>3015</v>
      </c>
      <c r="S64" s="46" t="s">
        <v>653</v>
      </c>
      <c r="T64" s="46" t="s">
        <v>587</v>
      </c>
      <c r="U64" s="47">
        <f t="shared" si="3"/>
        <v>13.52</v>
      </c>
      <c r="V64" s="46" t="s">
        <v>622</v>
      </c>
      <c r="W64" s="46" t="s">
        <v>1640</v>
      </c>
      <c r="X64" s="49" t="s">
        <v>321</v>
      </c>
    </row>
    <row r="65" spans="1:24" ht="15" customHeight="1" x14ac:dyDescent="0.25">
      <c r="A65" s="46" t="s">
        <v>3148</v>
      </c>
      <c r="B65" s="46" t="s">
        <v>3149</v>
      </c>
      <c r="C65" s="46" t="s">
        <v>695</v>
      </c>
      <c r="D65" s="46" t="s">
        <v>649</v>
      </c>
      <c r="E65" s="47">
        <v>676.95</v>
      </c>
      <c r="F65" s="46">
        <v>8.1999999999999993</v>
      </c>
      <c r="G65" s="46">
        <v>3.9</v>
      </c>
      <c r="H65" s="46">
        <f t="shared" si="2"/>
        <v>6.1</v>
      </c>
      <c r="I65" s="46">
        <v>62</v>
      </c>
      <c r="J65" s="46">
        <v>48</v>
      </c>
      <c r="K65" s="46">
        <v>14</v>
      </c>
      <c r="L65" s="46">
        <v>2.2000000000000002</v>
      </c>
      <c r="M65" s="46">
        <v>144.5</v>
      </c>
      <c r="N65" s="46">
        <v>982</v>
      </c>
      <c r="O65" s="46">
        <v>110</v>
      </c>
      <c r="P65" s="46">
        <v>439</v>
      </c>
      <c r="Q65" s="46" t="s">
        <v>3011</v>
      </c>
      <c r="R65" s="46" t="s">
        <v>587</v>
      </c>
      <c r="S65" s="46" t="s">
        <v>602</v>
      </c>
      <c r="T65" s="46" t="s">
        <v>576</v>
      </c>
      <c r="U65" s="47">
        <f t="shared" si="3"/>
        <v>20.65</v>
      </c>
      <c r="V65" s="46" t="s">
        <v>1676</v>
      </c>
      <c r="W65" s="46" t="s">
        <v>1640</v>
      </c>
      <c r="X65" s="49" t="s">
        <v>321</v>
      </c>
    </row>
    <row r="66" spans="1:24" ht="25.5" customHeight="1" x14ac:dyDescent="0.25">
      <c r="A66" s="50" t="s">
        <v>3150</v>
      </c>
      <c r="B66" s="50" t="s">
        <v>3151</v>
      </c>
      <c r="C66" s="50" t="s">
        <v>666</v>
      </c>
      <c r="D66" s="50" t="s">
        <v>3052</v>
      </c>
      <c r="E66" s="51">
        <v>54.07</v>
      </c>
      <c r="F66" s="50">
        <v>1.4</v>
      </c>
      <c r="G66" s="50">
        <v>2.4</v>
      </c>
      <c r="H66" s="50">
        <f t="shared" si="2"/>
        <v>1.9</v>
      </c>
      <c r="I66" s="50">
        <v>29.5</v>
      </c>
      <c r="J66" s="50">
        <v>49.7</v>
      </c>
      <c r="K66" s="50">
        <v>39.4</v>
      </c>
      <c r="L66" s="50">
        <v>8.9</v>
      </c>
      <c r="M66" s="50">
        <v>29.5</v>
      </c>
      <c r="N66" s="50">
        <v>292</v>
      </c>
      <c r="O66" s="50">
        <v>117</v>
      </c>
      <c r="P66" s="50">
        <v>2732</v>
      </c>
      <c r="Q66" s="50" t="s">
        <v>3014</v>
      </c>
      <c r="R66" s="50" t="s">
        <v>587</v>
      </c>
      <c r="S66" s="50" t="s">
        <v>602</v>
      </c>
      <c r="T66" s="50" t="s">
        <v>576</v>
      </c>
      <c r="U66" s="51">
        <f t="shared" si="3"/>
        <v>0.51</v>
      </c>
      <c r="V66" s="50" t="s">
        <v>1676</v>
      </c>
      <c r="W66" s="50" t="s">
        <v>1676</v>
      </c>
      <c r="X66" s="53" t="s">
        <v>266</v>
      </c>
    </row>
    <row r="67" spans="1:24" ht="15" customHeight="1" x14ac:dyDescent="0.25">
      <c r="A67" s="50" t="s">
        <v>3152</v>
      </c>
      <c r="B67" s="50" t="s">
        <v>3153</v>
      </c>
      <c r="C67" s="50" t="s">
        <v>655</v>
      </c>
      <c r="D67" s="50" t="s">
        <v>597</v>
      </c>
      <c r="E67" s="51">
        <v>270.95</v>
      </c>
      <c r="F67" s="50">
        <v>1.3</v>
      </c>
      <c r="G67" s="50">
        <v>2.8</v>
      </c>
      <c r="H67" s="50">
        <f t="shared" ref="H67:H98" si="4">ROUND((F67+G67)/2,1)</f>
        <v>2.1</v>
      </c>
      <c r="I67" s="50">
        <v>55.6</v>
      </c>
      <c r="J67" s="50">
        <v>43.9</v>
      </c>
      <c r="K67" s="50">
        <v>14.3</v>
      </c>
      <c r="L67" s="50">
        <v>1.9</v>
      </c>
      <c r="M67" s="50">
        <v>286.5</v>
      </c>
      <c r="N67" s="50">
        <v>4758</v>
      </c>
      <c r="O67" s="50">
        <v>2349</v>
      </c>
      <c r="P67" s="50">
        <v>11107</v>
      </c>
      <c r="Q67" s="50" t="s">
        <v>3053</v>
      </c>
      <c r="R67" s="50" t="s">
        <v>587</v>
      </c>
      <c r="S67" s="50" t="s">
        <v>3054</v>
      </c>
      <c r="T67" s="50" t="s">
        <v>587</v>
      </c>
      <c r="U67" s="51">
        <f t="shared" ref="U67:U98" si="5">ROUND(E67*H67/100*0.5,2)</f>
        <v>2.84</v>
      </c>
      <c r="V67" s="50" t="s">
        <v>1676</v>
      </c>
      <c r="W67" s="50" t="s">
        <v>1676</v>
      </c>
      <c r="X67" s="53" t="s">
        <v>266</v>
      </c>
    </row>
    <row r="68" spans="1:24" ht="15" customHeight="1" x14ac:dyDescent="0.25">
      <c r="A68" s="54" t="s">
        <v>3154</v>
      </c>
      <c r="B68" s="54" t="s">
        <v>3155</v>
      </c>
      <c r="C68" s="54" t="s">
        <v>596</v>
      </c>
      <c r="D68" s="54" t="s">
        <v>3052</v>
      </c>
      <c r="E68" s="55">
        <v>498.73</v>
      </c>
      <c r="F68" s="54">
        <v>9.4</v>
      </c>
      <c r="G68" s="54">
        <v>4.8</v>
      </c>
      <c r="H68" s="54">
        <f t="shared" si="4"/>
        <v>7.1</v>
      </c>
      <c r="I68" s="54">
        <v>76.900000000000006</v>
      </c>
      <c r="J68" s="54">
        <v>60.2</v>
      </c>
      <c r="K68" s="54">
        <v>47.6</v>
      </c>
      <c r="L68" s="54">
        <v>3.6</v>
      </c>
      <c r="M68" s="54">
        <v>336</v>
      </c>
      <c r="N68" s="54">
        <v>552</v>
      </c>
      <c r="O68" s="54">
        <v>731</v>
      </c>
      <c r="P68" s="54">
        <v>7001</v>
      </c>
      <c r="Q68" s="54" t="s">
        <v>3018</v>
      </c>
      <c r="R68" s="54" t="s">
        <v>3015</v>
      </c>
      <c r="S68" s="54" t="s">
        <v>678</v>
      </c>
      <c r="T68" s="54" t="s">
        <v>576</v>
      </c>
      <c r="U68" s="55">
        <f t="shared" si="5"/>
        <v>17.7</v>
      </c>
      <c r="V68" s="54" t="s">
        <v>1640</v>
      </c>
      <c r="W68" s="54" t="s">
        <v>622</v>
      </c>
      <c r="X68" s="57" t="s">
        <v>495</v>
      </c>
    </row>
    <row r="69" spans="1:24" ht="15" customHeight="1" x14ac:dyDescent="0.25">
      <c r="A69" s="50" t="s">
        <v>3156</v>
      </c>
      <c r="B69" s="50" t="s">
        <v>3157</v>
      </c>
      <c r="C69" s="50" t="s">
        <v>840</v>
      </c>
      <c r="D69" s="50" t="s">
        <v>661</v>
      </c>
      <c r="E69" s="51">
        <v>667.31</v>
      </c>
      <c r="F69" s="50">
        <v>1.6</v>
      </c>
      <c r="G69" s="50">
        <v>3</v>
      </c>
      <c r="H69" s="50">
        <f t="shared" si="4"/>
        <v>2.2999999999999998</v>
      </c>
      <c r="I69" s="50">
        <v>70.099999999999994</v>
      </c>
      <c r="J69" s="50">
        <v>54.5</v>
      </c>
      <c r="K69" s="50">
        <v>53.1</v>
      </c>
      <c r="L69" s="50">
        <v>2</v>
      </c>
      <c r="M69" s="50">
        <v>210.2</v>
      </c>
      <c r="N69" s="50">
        <v>1015</v>
      </c>
      <c r="O69" s="50">
        <v>717</v>
      </c>
      <c r="P69" s="50">
        <v>4279</v>
      </c>
      <c r="Q69" s="50" t="s">
        <v>3018</v>
      </c>
      <c r="R69" s="50" t="s">
        <v>576</v>
      </c>
      <c r="S69" s="50" t="s">
        <v>653</v>
      </c>
      <c r="T69" s="50" t="s">
        <v>576</v>
      </c>
      <c r="U69" s="51">
        <f t="shared" si="5"/>
        <v>7.67</v>
      </c>
      <c r="V69" s="50" t="s">
        <v>622</v>
      </c>
      <c r="W69" s="50" t="s">
        <v>1676</v>
      </c>
      <c r="X69" s="53" t="s">
        <v>266</v>
      </c>
    </row>
    <row r="70" spans="1:24" ht="15" customHeight="1" x14ac:dyDescent="0.25">
      <c r="A70" s="50" t="s">
        <v>3158</v>
      </c>
      <c r="B70" s="50" t="s">
        <v>3159</v>
      </c>
      <c r="C70" s="50" t="s">
        <v>840</v>
      </c>
      <c r="D70" s="50" t="s">
        <v>589</v>
      </c>
      <c r="E70" s="51">
        <v>110.19</v>
      </c>
      <c r="F70" s="50">
        <v>4.4000000000000004</v>
      </c>
      <c r="G70" s="50">
        <v>1.1000000000000001</v>
      </c>
      <c r="H70" s="50">
        <f t="shared" si="4"/>
        <v>2.8</v>
      </c>
      <c r="I70" s="50">
        <v>12.2</v>
      </c>
      <c r="J70" s="50">
        <v>22.1</v>
      </c>
      <c r="K70" s="50">
        <v>19.3</v>
      </c>
      <c r="L70" s="50">
        <v>2.4</v>
      </c>
      <c r="M70" s="50">
        <v>472.9</v>
      </c>
      <c r="N70" s="50">
        <v>4294</v>
      </c>
      <c r="O70" s="50">
        <v>1613</v>
      </c>
      <c r="P70" s="50">
        <v>1396</v>
      </c>
      <c r="Q70" s="50" t="s">
        <v>3018</v>
      </c>
      <c r="R70" s="50" t="s">
        <v>576</v>
      </c>
      <c r="S70" s="50" t="s">
        <v>3030</v>
      </c>
      <c r="T70" s="50" t="s">
        <v>587</v>
      </c>
      <c r="U70" s="51">
        <f t="shared" si="5"/>
        <v>1.54</v>
      </c>
      <c r="V70" s="50" t="s">
        <v>622</v>
      </c>
      <c r="W70" s="50" t="s">
        <v>1676</v>
      </c>
      <c r="X70" s="53" t="s">
        <v>266</v>
      </c>
    </row>
    <row r="71" spans="1:24" ht="15" customHeight="1" x14ac:dyDescent="0.25">
      <c r="A71" s="50" t="s">
        <v>3160</v>
      </c>
      <c r="B71" s="50" t="s">
        <v>3161</v>
      </c>
      <c r="C71" s="50" t="s">
        <v>691</v>
      </c>
      <c r="D71" s="50" t="s">
        <v>578</v>
      </c>
      <c r="E71" s="51">
        <v>482.35</v>
      </c>
      <c r="F71" s="50">
        <v>2.6</v>
      </c>
      <c r="G71" s="50">
        <v>2.6</v>
      </c>
      <c r="H71" s="50">
        <f t="shared" si="4"/>
        <v>2.6</v>
      </c>
      <c r="I71" s="50">
        <v>33</v>
      </c>
      <c r="J71" s="50">
        <v>37.5</v>
      </c>
      <c r="K71" s="50">
        <v>19.100000000000001</v>
      </c>
      <c r="L71" s="50">
        <v>9.8000000000000007</v>
      </c>
      <c r="M71" s="50">
        <v>93.1</v>
      </c>
      <c r="N71" s="50">
        <v>322</v>
      </c>
      <c r="O71" s="50">
        <v>297</v>
      </c>
      <c r="P71" s="50">
        <v>655</v>
      </c>
      <c r="Q71" s="50" t="s">
        <v>3053</v>
      </c>
      <c r="R71" s="50" t="s">
        <v>576</v>
      </c>
      <c r="S71" s="50" t="s">
        <v>3054</v>
      </c>
      <c r="T71" s="50" t="s">
        <v>576</v>
      </c>
      <c r="U71" s="51">
        <f t="shared" si="5"/>
        <v>6.27</v>
      </c>
      <c r="V71" s="50" t="s">
        <v>1640</v>
      </c>
      <c r="W71" s="50" t="s">
        <v>1676</v>
      </c>
      <c r="X71" s="53" t="s">
        <v>266</v>
      </c>
    </row>
    <row r="72" spans="1:24" ht="15" customHeight="1" x14ac:dyDescent="0.25">
      <c r="A72" s="54" t="s">
        <v>3162</v>
      </c>
      <c r="B72" s="54" t="s">
        <v>3163</v>
      </c>
      <c r="C72" s="54" t="s">
        <v>611</v>
      </c>
      <c r="D72" s="54" t="s">
        <v>589</v>
      </c>
      <c r="E72" s="55">
        <v>108.65</v>
      </c>
      <c r="F72" s="54">
        <v>8.4</v>
      </c>
      <c r="G72" s="54">
        <v>8.6999999999999993</v>
      </c>
      <c r="H72" s="54">
        <f t="shared" si="4"/>
        <v>8.6</v>
      </c>
      <c r="I72" s="54">
        <v>64.400000000000006</v>
      </c>
      <c r="J72" s="54">
        <v>31.8</v>
      </c>
      <c r="K72" s="54">
        <v>43.8</v>
      </c>
      <c r="L72" s="54">
        <v>3.2</v>
      </c>
      <c r="M72" s="54">
        <v>196</v>
      </c>
      <c r="N72" s="54">
        <v>934</v>
      </c>
      <c r="O72" s="54">
        <v>2450</v>
      </c>
      <c r="P72" s="54">
        <v>3976</v>
      </c>
      <c r="Q72" s="54" t="s">
        <v>3011</v>
      </c>
      <c r="R72" s="54" t="s">
        <v>587</v>
      </c>
      <c r="S72" s="54" t="s">
        <v>638</v>
      </c>
      <c r="T72" s="54" t="s">
        <v>587</v>
      </c>
      <c r="U72" s="55">
        <f t="shared" si="5"/>
        <v>4.67</v>
      </c>
      <c r="V72" s="54" t="s">
        <v>1676</v>
      </c>
      <c r="W72" s="54" t="s">
        <v>622</v>
      </c>
      <c r="X72" s="57" t="s">
        <v>495</v>
      </c>
    </row>
    <row r="73" spans="1:24" ht="15" customHeight="1" x14ac:dyDescent="0.25">
      <c r="A73" s="46" t="s">
        <v>3164</v>
      </c>
      <c r="B73" s="46" t="s">
        <v>3165</v>
      </c>
      <c r="C73" s="46" t="s">
        <v>713</v>
      </c>
      <c r="D73" s="46" t="s">
        <v>3049</v>
      </c>
      <c r="E73" s="47">
        <v>496.86</v>
      </c>
      <c r="F73" s="46">
        <v>2.8</v>
      </c>
      <c r="G73" s="46">
        <v>8.1</v>
      </c>
      <c r="H73" s="46">
        <f t="shared" si="4"/>
        <v>5.5</v>
      </c>
      <c r="I73" s="46">
        <v>63.3</v>
      </c>
      <c r="J73" s="46">
        <v>69.8</v>
      </c>
      <c r="K73" s="46">
        <v>43.6</v>
      </c>
      <c r="L73" s="46">
        <v>9.6999999999999993</v>
      </c>
      <c r="M73" s="46">
        <v>580.5</v>
      </c>
      <c r="N73" s="46">
        <v>739</v>
      </c>
      <c r="O73" s="46">
        <v>1534</v>
      </c>
      <c r="P73" s="46">
        <v>3978</v>
      </c>
      <c r="Q73" s="46" t="s">
        <v>3027</v>
      </c>
      <c r="R73" s="46" t="s">
        <v>576</v>
      </c>
      <c r="S73" s="46" t="s">
        <v>3054</v>
      </c>
      <c r="T73" s="46" t="s">
        <v>576</v>
      </c>
      <c r="U73" s="47">
        <f t="shared" si="5"/>
        <v>13.66</v>
      </c>
      <c r="V73" s="46" t="s">
        <v>622</v>
      </c>
      <c r="W73" s="46" t="s">
        <v>1640</v>
      </c>
      <c r="X73" s="49" t="s">
        <v>321</v>
      </c>
    </row>
    <row r="74" spans="1:24" ht="15" customHeight="1" x14ac:dyDescent="0.25">
      <c r="A74" s="50" t="s">
        <v>3166</v>
      </c>
      <c r="B74" s="50" t="s">
        <v>3167</v>
      </c>
      <c r="C74" s="50" t="s">
        <v>3040</v>
      </c>
      <c r="D74" s="50" t="s">
        <v>819</v>
      </c>
      <c r="E74" s="51">
        <v>161.28</v>
      </c>
      <c r="F74" s="50">
        <v>1.9</v>
      </c>
      <c r="G74" s="50">
        <v>4.8</v>
      </c>
      <c r="H74" s="50">
        <f t="shared" si="4"/>
        <v>3.4</v>
      </c>
      <c r="I74" s="50">
        <v>31.2</v>
      </c>
      <c r="J74" s="50">
        <v>64.8</v>
      </c>
      <c r="K74" s="50">
        <v>7.7</v>
      </c>
      <c r="L74" s="50">
        <v>3.7</v>
      </c>
      <c r="M74" s="50">
        <v>398.9</v>
      </c>
      <c r="N74" s="50">
        <v>1678</v>
      </c>
      <c r="O74" s="50">
        <v>1168</v>
      </c>
      <c r="P74" s="50">
        <v>3728</v>
      </c>
      <c r="Q74" s="50" t="s">
        <v>3057</v>
      </c>
      <c r="R74" s="50" t="s">
        <v>3015</v>
      </c>
      <c r="S74" s="50" t="s">
        <v>602</v>
      </c>
      <c r="T74" s="50" t="s">
        <v>576</v>
      </c>
      <c r="U74" s="51">
        <f t="shared" si="5"/>
        <v>2.74</v>
      </c>
      <c r="V74" s="50" t="s">
        <v>622</v>
      </c>
      <c r="W74" s="50" t="s">
        <v>1676</v>
      </c>
      <c r="X74" s="53" t="s">
        <v>266</v>
      </c>
    </row>
    <row r="75" spans="1:24" ht="15" customHeight="1" x14ac:dyDescent="0.25">
      <c r="A75" s="46" t="s">
        <v>3168</v>
      </c>
      <c r="B75" s="46" t="s">
        <v>3169</v>
      </c>
      <c r="C75" s="46" t="s">
        <v>3101</v>
      </c>
      <c r="D75" s="46" t="s">
        <v>819</v>
      </c>
      <c r="E75" s="47">
        <v>401.11</v>
      </c>
      <c r="F75" s="46">
        <v>3.9</v>
      </c>
      <c r="G75" s="46">
        <v>9.5</v>
      </c>
      <c r="H75" s="46">
        <f t="shared" si="4"/>
        <v>6.7</v>
      </c>
      <c r="I75" s="46">
        <v>26.3</v>
      </c>
      <c r="J75" s="46">
        <v>13.6</v>
      </c>
      <c r="K75" s="46">
        <v>47.9</v>
      </c>
      <c r="L75" s="46">
        <v>5.2</v>
      </c>
      <c r="M75" s="46">
        <v>116.7</v>
      </c>
      <c r="N75" s="46">
        <v>554</v>
      </c>
      <c r="O75" s="46">
        <v>162</v>
      </c>
      <c r="P75" s="46">
        <v>761</v>
      </c>
      <c r="Q75" s="46" t="s">
        <v>3053</v>
      </c>
      <c r="R75" s="46" t="s">
        <v>587</v>
      </c>
      <c r="S75" s="46" t="s">
        <v>586</v>
      </c>
      <c r="T75" s="46" t="s">
        <v>576</v>
      </c>
      <c r="U75" s="47">
        <f t="shared" si="5"/>
        <v>13.44</v>
      </c>
      <c r="V75" s="46" t="s">
        <v>622</v>
      </c>
      <c r="W75" s="46" t="s">
        <v>1640</v>
      </c>
      <c r="X75" s="49" t="s">
        <v>321</v>
      </c>
    </row>
    <row r="76" spans="1:24" ht="15" customHeight="1" x14ac:dyDescent="0.25">
      <c r="A76" s="54" t="s">
        <v>3170</v>
      </c>
      <c r="B76" s="54" t="s">
        <v>3171</v>
      </c>
      <c r="C76" s="54" t="s">
        <v>671</v>
      </c>
      <c r="D76" s="54" t="s">
        <v>630</v>
      </c>
      <c r="E76" s="55">
        <v>612.53</v>
      </c>
      <c r="F76" s="54">
        <v>6.2</v>
      </c>
      <c r="G76" s="54">
        <v>9.6</v>
      </c>
      <c r="H76" s="54">
        <f t="shared" si="4"/>
        <v>7.9</v>
      </c>
      <c r="I76" s="54">
        <v>44.8</v>
      </c>
      <c r="J76" s="54">
        <v>55.1</v>
      </c>
      <c r="K76" s="54">
        <v>10.199999999999999</v>
      </c>
      <c r="L76" s="54">
        <v>9</v>
      </c>
      <c r="M76" s="54">
        <v>421.6</v>
      </c>
      <c r="N76" s="54">
        <v>5269</v>
      </c>
      <c r="O76" s="54">
        <v>1997</v>
      </c>
      <c r="P76" s="54">
        <v>1044</v>
      </c>
      <c r="Q76" s="54" t="s">
        <v>3027</v>
      </c>
      <c r="R76" s="54" t="s">
        <v>3015</v>
      </c>
      <c r="S76" s="54" t="s">
        <v>609</v>
      </c>
      <c r="T76" s="54" t="s">
        <v>587</v>
      </c>
      <c r="U76" s="55">
        <f t="shared" si="5"/>
        <v>24.19</v>
      </c>
      <c r="V76" s="54" t="s">
        <v>1676</v>
      </c>
      <c r="W76" s="54" t="s">
        <v>622</v>
      </c>
      <c r="X76" s="57" t="s">
        <v>495</v>
      </c>
    </row>
    <row r="77" spans="1:24" ht="15" customHeight="1" x14ac:dyDescent="0.25">
      <c r="A77" s="46" t="s">
        <v>3172</v>
      </c>
      <c r="B77" s="46" t="s">
        <v>3173</v>
      </c>
      <c r="C77" s="46" t="s">
        <v>611</v>
      </c>
      <c r="D77" s="46" t="s">
        <v>656</v>
      </c>
      <c r="E77" s="47">
        <v>265.22000000000003</v>
      </c>
      <c r="F77" s="46">
        <v>7</v>
      </c>
      <c r="G77" s="46">
        <v>6.4</v>
      </c>
      <c r="H77" s="46">
        <f t="shared" si="4"/>
        <v>6.7</v>
      </c>
      <c r="I77" s="46">
        <v>65.8</v>
      </c>
      <c r="J77" s="46">
        <v>68.7</v>
      </c>
      <c r="K77" s="46">
        <v>47.6</v>
      </c>
      <c r="L77" s="46">
        <v>2.9</v>
      </c>
      <c r="M77" s="46">
        <v>468.6</v>
      </c>
      <c r="N77" s="46">
        <v>3177</v>
      </c>
      <c r="O77" s="46">
        <v>766</v>
      </c>
      <c r="P77" s="46">
        <v>10495</v>
      </c>
      <c r="Q77" s="46" t="s">
        <v>3018</v>
      </c>
      <c r="R77" s="46" t="s">
        <v>3015</v>
      </c>
      <c r="S77" s="46" t="s">
        <v>586</v>
      </c>
      <c r="T77" s="46" t="s">
        <v>576</v>
      </c>
      <c r="U77" s="47">
        <f t="shared" si="5"/>
        <v>8.8800000000000008</v>
      </c>
      <c r="V77" s="46" t="s">
        <v>1676</v>
      </c>
      <c r="W77" s="46" t="s">
        <v>1640</v>
      </c>
      <c r="X77" s="49" t="s">
        <v>321</v>
      </c>
    </row>
    <row r="78" spans="1:24" ht="15" customHeight="1" x14ac:dyDescent="0.25">
      <c r="A78" s="46" t="s">
        <v>3174</v>
      </c>
      <c r="B78" s="46" t="s">
        <v>3175</v>
      </c>
      <c r="C78" s="46" t="s">
        <v>655</v>
      </c>
      <c r="D78" s="46" t="s">
        <v>688</v>
      </c>
      <c r="E78" s="47">
        <v>488.89</v>
      </c>
      <c r="F78" s="46">
        <v>9.6999999999999993</v>
      </c>
      <c r="G78" s="46">
        <v>2.2000000000000002</v>
      </c>
      <c r="H78" s="46">
        <f t="shared" si="4"/>
        <v>6</v>
      </c>
      <c r="I78" s="46">
        <v>34.1</v>
      </c>
      <c r="J78" s="46">
        <v>56</v>
      </c>
      <c r="K78" s="46">
        <v>48</v>
      </c>
      <c r="L78" s="46">
        <v>1.5</v>
      </c>
      <c r="M78" s="46">
        <v>234.8</v>
      </c>
      <c r="N78" s="46">
        <v>808</v>
      </c>
      <c r="O78" s="46">
        <v>382</v>
      </c>
      <c r="P78" s="46">
        <v>5346</v>
      </c>
      <c r="Q78" s="46" t="s">
        <v>3018</v>
      </c>
      <c r="R78" s="46" t="s">
        <v>587</v>
      </c>
      <c r="S78" s="46" t="s">
        <v>3054</v>
      </c>
      <c r="T78" s="46" t="s">
        <v>587</v>
      </c>
      <c r="U78" s="47">
        <f t="shared" si="5"/>
        <v>14.67</v>
      </c>
      <c r="V78" s="46" t="s">
        <v>622</v>
      </c>
      <c r="W78" s="46" t="s">
        <v>1640</v>
      </c>
      <c r="X78" s="49" t="s">
        <v>321</v>
      </c>
    </row>
    <row r="79" spans="1:24" ht="15" customHeight="1" x14ac:dyDescent="0.25">
      <c r="A79" s="46" t="s">
        <v>3176</v>
      </c>
      <c r="B79" s="46" t="s">
        <v>3177</v>
      </c>
      <c r="C79" s="46" t="s">
        <v>680</v>
      </c>
      <c r="D79" s="46" t="s">
        <v>3076</v>
      </c>
      <c r="E79" s="47">
        <v>611.35</v>
      </c>
      <c r="F79" s="46">
        <v>4.9000000000000004</v>
      </c>
      <c r="G79" s="46">
        <v>7.2</v>
      </c>
      <c r="H79" s="46">
        <f t="shared" si="4"/>
        <v>6.1</v>
      </c>
      <c r="I79" s="46">
        <v>60.5</v>
      </c>
      <c r="J79" s="46">
        <v>55.5</v>
      </c>
      <c r="K79" s="46">
        <v>57.5</v>
      </c>
      <c r="L79" s="46">
        <v>7</v>
      </c>
      <c r="M79" s="46">
        <v>66.5</v>
      </c>
      <c r="N79" s="46">
        <v>292</v>
      </c>
      <c r="O79" s="46">
        <v>376</v>
      </c>
      <c r="P79" s="46">
        <v>2291</v>
      </c>
      <c r="Q79" s="46" t="s">
        <v>3053</v>
      </c>
      <c r="R79" s="46" t="s">
        <v>576</v>
      </c>
      <c r="S79" s="46" t="s">
        <v>716</v>
      </c>
      <c r="T79" s="46" t="s">
        <v>576</v>
      </c>
      <c r="U79" s="47">
        <f t="shared" si="5"/>
        <v>18.649999999999999</v>
      </c>
      <c r="V79" s="46" t="s">
        <v>1676</v>
      </c>
      <c r="W79" s="46" t="s">
        <v>1640</v>
      </c>
      <c r="X79" s="49" t="s">
        <v>321</v>
      </c>
    </row>
    <row r="80" spans="1:24" ht="15" customHeight="1" x14ac:dyDescent="0.25">
      <c r="A80" s="50" t="s">
        <v>3178</v>
      </c>
      <c r="B80" s="50" t="s">
        <v>3179</v>
      </c>
      <c r="C80" s="50" t="s">
        <v>840</v>
      </c>
      <c r="D80" s="50" t="s">
        <v>630</v>
      </c>
      <c r="E80" s="51">
        <v>203.59</v>
      </c>
      <c r="F80" s="50">
        <v>4.5</v>
      </c>
      <c r="G80" s="50">
        <v>1.7</v>
      </c>
      <c r="H80" s="50">
        <f t="shared" si="4"/>
        <v>3.1</v>
      </c>
      <c r="I80" s="50">
        <v>50.8</v>
      </c>
      <c r="J80" s="50">
        <v>60.6</v>
      </c>
      <c r="K80" s="50">
        <v>22.9</v>
      </c>
      <c r="L80" s="50">
        <v>5.0999999999999996</v>
      </c>
      <c r="M80" s="50">
        <v>306.10000000000002</v>
      </c>
      <c r="N80" s="50">
        <v>1835</v>
      </c>
      <c r="O80" s="50">
        <v>1060</v>
      </c>
      <c r="P80" s="50">
        <v>12926</v>
      </c>
      <c r="Q80" s="50" t="s">
        <v>3018</v>
      </c>
      <c r="R80" s="50" t="s">
        <v>576</v>
      </c>
      <c r="S80" s="50" t="s">
        <v>716</v>
      </c>
      <c r="T80" s="50" t="s">
        <v>576</v>
      </c>
      <c r="U80" s="51">
        <f t="shared" si="5"/>
        <v>3.16</v>
      </c>
      <c r="V80" s="50" t="s">
        <v>622</v>
      </c>
      <c r="W80" s="50" t="s">
        <v>1676</v>
      </c>
      <c r="X80" s="53" t="s">
        <v>266</v>
      </c>
    </row>
    <row r="81" spans="1:24" ht="15" customHeight="1" x14ac:dyDescent="0.25">
      <c r="A81" s="46" t="s">
        <v>3180</v>
      </c>
      <c r="B81" s="46" t="s">
        <v>3181</v>
      </c>
      <c r="C81" s="46" t="s">
        <v>695</v>
      </c>
      <c r="D81" s="46" t="s">
        <v>667</v>
      </c>
      <c r="E81" s="47">
        <v>556.49</v>
      </c>
      <c r="F81" s="46">
        <v>7.6</v>
      </c>
      <c r="G81" s="46">
        <v>6.3</v>
      </c>
      <c r="H81" s="46">
        <f t="shared" si="4"/>
        <v>7</v>
      </c>
      <c r="I81" s="46">
        <v>32.9</v>
      </c>
      <c r="J81" s="46">
        <v>6.7</v>
      </c>
      <c r="K81" s="46">
        <v>21.8</v>
      </c>
      <c r="L81" s="46">
        <v>5.3</v>
      </c>
      <c r="M81" s="46">
        <v>105</v>
      </c>
      <c r="N81" s="46">
        <v>802</v>
      </c>
      <c r="O81" s="46">
        <v>311</v>
      </c>
      <c r="P81" s="46">
        <v>889</v>
      </c>
      <c r="Q81" s="46" t="s">
        <v>3014</v>
      </c>
      <c r="R81" s="46" t="s">
        <v>3015</v>
      </c>
      <c r="S81" s="46" t="s">
        <v>586</v>
      </c>
      <c r="T81" s="46" t="s">
        <v>576</v>
      </c>
      <c r="U81" s="47">
        <f t="shared" si="5"/>
        <v>19.48</v>
      </c>
      <c r="V81" s="46" t="s">
        <v>622</v>
      </c>
      <c r="W81" s="46" t="s">
        <v>1640</v>
      </c>
      <c r="X81" s="49" t="s">
        <v>321</v>
      </c>
    </row>
    <row r="82" spans="1:24" ht="15" customHeight="1" x14ac:dyDescent="0.25">
      <c r="A82" s="46" t="s">
        <v>3182</v>
      </c>
      <c r="B82" s="46" t="s">
        <v>3183</v>
      </c>
      <c r="C82" s="46" t="s">
        <v>3040</v>
      </c>
      <c r="D82" s="46" t="s">
        <v>3049</v>
      </c>
      <c r="E82" s="47">
        <v>103.72</v>
      </c>
      <c r="F82" s="46">
        <v>7.2</v>
      </c>
      <c r="G82" s="46">
        <v>5.5</v>
      </c>
      <c r="H82" s="46">
        <f t="shared" si="4"/>
        <v>6.4</v>
      </c>
      <c r="I82" s="46">
        <v>53.7</v>
      </c>
      <c r="J82" s="46">
        <v>13.1</v>
      </c>
      <c r="K82" s="46">
        <v>27.7</v>
      </c>
      <c r="L82" s="46">
        <v>6.7</v>
      </c>
      <c r="M82" s="46">
        <v>479.3</v>
      </c>
      <c r="N82" s="46">
        <v>1446</v>
      </c>
      <c r="O82" s="46">
        <v>1048</v>
      </c>
      <c r="P82" s="46">
        <v>3578</v>
      </c>
      <c r="Q82" s="46" t="s">
        <v>3014</v>
      </c>
      <c r="R82" s="46" t="s">
        <v>3015</v>
      </c>
      <c r="S82" s="46" t="s">
        <v>678</v>
      </c>
      <c r="T82" s="46" t="s">
        <v>587</v>
      </c>
      <c r="U82" s="47">
        <f t="shared" si="5"/>
        <v>3.32</v>
      </c>
      <c r="V82" s="46" t="s">
        <v>1640</v>
      </c>
      <c r="W82" s="46" t="s">
        <v>1640</v>
      </c>
      <c r="X82" s="49" t="s">
        <v>321</v>
      </c>
    </row>
    <row r="83" spans="1:24" ht="15" customHeight="1" x14ac:dyDescent="0.25">
      <c r="A83" s="50" t="s">
        <v>3184</v>
      </c>
      <c r="B83" s="50" t="s">
        <v>3185</v>
      </c>
      <c r="C83" s="50" t="s">
        <v>596</v>
      </c>
      <c r="D83" s="50" t="s">
        <v>688</v>
      </c>
      <c r="E83" s="51">
        <v>479.12</v>
      </c>
      <c r="F83" s="50">
        <v>1.5</v>
      </c>
      <c r="G83" s="50">
        <v>6.5</v>
      </c>
      <c r="H83" s="50">
        <f t="shared" si="4"/>
        <v>4</v>
      </c>
      <c r="I83" s="50">
        <v>64.7</v>
      </c>
      <c r="J83" s="50">
        <v>11.2</v>
      </c>
      <c r="K83" s="50">
        <v>10</v>
      </c>
      <c r="L83" s="50">
        <v>4.5999999999999996</v>
      </c>
      <c r="M83" s="50">
        <v>208.3</v>
      </c>
      <c r="N83" s="50">
        <v>1980</v>
      </c>
      <c r="O83" s="50">
        <v>371</v>
      </c>
      <c r="P83" s="50">
        <v>2981</v>
      </c>
      <c r="Q83" s="50" t="s">
        <v>3018</v>
      </c>
      <c r="R83" s="50" t="s">
        <v>3015</v>
      </c>
      <c r="S83" s="50" t="s">
        <v>716</v>
      </c>
      <c r="T83" s="50" t="s">
        <v>587</v>
      </c>
      <c r="U83" s="51">
        <f t="shared" si="5"/>
        <v>9.58</v>
      </c>
      <c r="V83" s="50" t="s">
        <v>1676</v>
      </c>
      <c r="W83" s="50" t="s">
        <v>1676</v>
      </c>
      <c r="X83" s="53" t="s">
        <v>266</v>
      </c>
    </row>
    <row r="84" spans="1:24" ht="15" customHeight="1" x14ac:dyDescent="0.25">
      <c r="A84" s="54" t="s">
        <v>3186</v>
      </c>
      <c r="B84" s="54" t="s">
        <v>3187</v>
      </c>
      <c r="C84" s="54" t="s">
        <v>691</v>
      </c>
      <c r="D84" s="54" t="s">
        <v>597</v>
      </c>
      <c r="E84" s="55">
        <v>480.12</v>
      </c>
      <c r="F84" s="54">
        <v>9.3000000000000007</v>
      </c>
      <c r="G84" s="54">
        <v>7.8</v>
      </c>
      <c r="H84" s="54">
        <f t="shared" si="4"/>
        <v>8.6</v>
      </c>
      <c r="I84" s="54">
        <v>79.599999999999994</v>
      </c>
      <c r="J84" s="54">
        <v>18.899999999999999</v>
      </c>
      <c r="K84" s="54">
        <v>41.6</v>
      </c>
      <c r="L84" s="54">
        <v>7.6</v>
      </c>
      <c r="M84" s="54">
        <v>24.8</v>
      </c>
      <c r="N84" s="54">
        <v>635</v>
      </c>
      <c r="O84" s="54">
        <v>148</v>
      </c>
      <c r="P84" s="54">
        <v>1867</v>
      </c>
      <c r="Q84" s="54" t="s">
        <v>3053</v>
      </c>
      <c r="R84" s="54" t="s">
        <v>587</v>
      </c>
      <c r="S84" s="54" t="s">
        <v>586</v>
      </c>
      <c r="T84" s="54" t="s">
        <v>576</v>
      </c>
      <c r="U84" s="55">
        <f t="shared" si="5"/>
        <v>20.65</v>
      </c>
      <c r="V84" s="54" t="s">
        <v>622</v>
      </c>
      <c r="W84" s="54" t="s">
        <v>622</v>
      </c>
      <c r="X84" s="57" t="s">
        <v>495</v>
      </c>
    </row>
    <row r="85" spans="1:24" ht="15" customHeight="1" x14ac:dyDescent="0.25">
      <c r="A85" s="46" t="s">
        <v>3188</v>
      </c>
      <c r="B85" s="46" t="s">
        <v>3189</v>
      </c>
      <c r="C85" s="46" t="s">
        <v>611</v>
      </c>
      <c r="D85" s="46" t="s">
        <v>3049</v>
      </c>
      <c r="E85" s="47">
        <v>472.91</v>
      </c>
      <c r="F85" s="46">
        <v>7</v>
      </c>
      <c r="G85" s="46">
        <v>3.7</v>
      </c>
      <c r="H85" s="46">
        <f t="shared" si="4"/>
        <v>5.4</v>
      </c>
      <c r="I85" s="46">
        <v>46.7</v>
      </c>
      <c r="J85" s="46">
        <v>15.5</v>
      </c>
      <c r="K85" s="46">
        <v>51.7</v>
      </c>
      <c r="L85" s="46">
        <v>2.6</v>
      </c>
      <c r="M85" s="46">
        <v>190.5</v>
      </c>
      <c r="N85" s="46">
        <v>686</v>
      </c>
      <c r="O85" s="46">
        <v>2487</v>
      </c>
      <c r="P85" s="46">
        <v>12190</v>
      </c>
      <c r="Q85" s="46" t="s">
        <v>3053</v>
      </c>
      <c r="R85" s="46" t="s">
        <v>3015</v>
      </c>
      <c r="S85" s="46" t="s">
        <v>628</v>
      </c>
      <c r="T85" s="46" t="s">
        <v>576</v>
      </c>
      <c r="U85" s="47">
        <f t="shared" si="5"/>
        <v>12.77</v>
      </c>
      <c r="V85" s="46" t="s">
        <v>1640</v>
      </c>
      <c r="W85" s="46" t="s">
        <v>1640</v>
      </c>
      <c r="X85" s="49" t="s">
        <v>321</v>
      </c>
    </row>
    <row r="86" spans="1:24" ht="15" customHeight="1" x14ac:dyDescent="0.25">
      <c r="A86" s="50" t="s">
        <v>3190</v>
      </c>
      <c r="B86" s="50" t="s">
        <v>3191</v>
      </c>
      <c r="C86" s="50" t="s">
        <v>3101</v>
      </c>
      <c r="D86" s="50" t="s">
        <v>656</v>
      </c>
      <c r="E86" s="51">
        <v>424.68</v>
      </c>
      <c r="F86" s="50">
        <v>3.9</v>
      </c>
      <c r="G86" s="50">
        <v>2.2000000000000002</v>
      </c>
      <c r="H86" s="50">
        <f t="shared" si="4"/>
        <v>3.1</v>
      </c>
      <c r="I86" s="50">
        <v>52.7</v>
      </c>
      <c r="J86" s="50">
        <v>31.3</v>
      </c>
      <c r="K86" s="50">
        <v>4.0999999999999996</v>
      </c>
      <c r="L86" s="50">
        <v>8.4</v>
      </c>
      <c r="M86" s="50">
        <v>45.2</v>
      </c>
      <c r="N86" s="50">
        <v>917</v>
      </c>
      <c r="O86" s="50">
        <v>237</v>
      </c>
      <c r="P86" s="50">
        <v>1533</v>
      </c>
      <c r="Q86" s="50" t="s">
        <v>3011</v>
      </c>
      <c r="R86" s="50" t="s">
        <v>587</v>
      </c>
      <c r="S86" s="50" t="s">
        <v>638</v>
      </c>
      <c r="T86" s="50" t="s">
        <v>576</v>
      </c>
      <c r="U86" s="51">
        <f t="shared" si="5"/>
        <v>6.58</v>
      </c>
      <c r="V86" s="50" t="s">
        <v>1676</v>
      </c>
      <c r="W86" s="50" t="s">
        <v>1676</v>
      </c>
      <c r="X86" s="53" t="s">
        <v>266</v>
      </c>
    </row>
    <row r="87" spans="1:24" ht="15" customHeight="1" x14ac:dyDescent="0.25">
      <c r="A87" s="46" t="s">
        <v>3192</v>
      </c>
      <c r="B87" s="46" t="s">
        <v>3193</v>
      </c>
      <c r="C87" s="46" t="s">
        <v>691</v>
      </c>
      <c r="D87" s="46" t="s">
        <v>605</v>
      </c>
      <c r="E87" s="47">
        <v>419.77</v>
      </c>
      <c r="F87" s="46">
        <v>4.0999999999999996</v>
      </c>
      <c r="G87" s="46">
        <v>8</v>
      </c>
      <c r="H87" s="46">
        <f t="shared" si="4"/>
        <v>6.1</v>
      </c>
      <c r="I87" s="46">
        <v>51.7</v>
      </c>
      <c r="J87" s="46">
        <v>62.6</v>
      </c>
      <c r="K87" s="46">
        <v>51.1</v>
      </c>
      <c r="L87" s="46">
        <v>3.1</v>
      </c>
      <c r="M87" s="46">
        <v>79</v>
      </c>
      <c r="N87" s="46">
        <v>195</v>
      </c>
      <c r="O87" s="46">
        <v>191</v>
      </c>
      <c r="P87" s="46">
        <v>881</v>
      </c>
      <c r="Q87" s="46" t="s">
        <v>3053</v>
      </c>
      <c r="R87" s="46" t="s">
        <v>587</v>
      </c>
      <c r="S87" s="46" t="s">
        <v>628</v>
      </c>
      <c r="T87" s="46" t="s">
        <v>587</v>
      </c>
      <c r="U87" s="47">
        <f t="shared" si="5"/>
        <v>12.8</v>
      </c>
      <c r="V87" s="46" t="s">
        <v>622</v>
      </c>
      <c r="W87" s="46" t="s">
        <v>1640</v>
      </c>
      <c r="X87" s="49" t="s">
        <v>321</v>
      </c>
    </row>
    <row r="88" spans="1:24" ht="15" customHeight="1" x14ac:dyDescent="0.25">
      <c r="A88" s="46" t="s">
        <v>3194</v>
      </c>
      <c r="B88" s="46" t="s">
        <v>3195</v>
      </c>
      <c r="C88" s="46" t="s">
        <v>671</v>
      </c>
      <c r="D88" s="46" t="s">
        <v>649</v>
      </c>
      <c r="E88" s="47">
        <v>249.51</v>
      </c>
      <c r="F88" s="46">
        <v>9.3000000000000007</v>
      </c>
      <c r="G88" s="46">
        <v>2.9</v>
      </c>
      <c r="H88" s="46">
        <f t="shared" si="4"/>
        <v>6.1</v>
      </c>
      <c r="I88" s="46">
        <v>7.2</v>
      </c>
      <c r="J88" s="46">
        <v>70.900000000000006</v>
      </c>
      <c r="K88" s="46">
        <v>58.1</v>
      </c>
      <c r="L88" s="46">
        <v>8</v>
      </c>
      <c r="M88" s="46">
        <v>161.5</v>
      </c>
      <c r="N88" s="46">
        <v>4447</v>
      </c>
      <c r="O88" s="46">
        <v>420</v>
      </c>
      <c r="P88" s="46">
        <v>7921</v>
      </c>
      <c r="Q88" s="46" t="s">
        <v>3014</v>
      </c>
      <c r="R88" s="46" t="s">
        <v>587</v>
      </c>
      <c r="S88" s="46" t="s">
        <v>3054</v>
      </c>
      <c r="T88" s="46" t="s">
        <v>576</v>
      </c>
      <c r="U88" s="47">
        <f t="shared" si="5"/>
        <v>7.61</v>
      </c>
      <c r="V88" s="46" t="s">
        <v>1640</v>
      </c>
      <c r="W88" s="46" t="s">
        <v>1640</v>
      </c>
      <c r="X88" s="49" t="s">
        <v>321</v>
      </c>
    </row>
    <row r="89" spans="1:24" ht="15" customHeight="1" x14ac:dyDescent="0.25">
      <c r="A89" s="50" t="s">
        <v>3196</v>
      </c>
      <c r="B89" s="50" t="s">
        <v>3197</v>
      </c>
      <c r="C89" s="50" t="s">
        <v>3033</v>
      </c>
      <c r="D89" s="50" t="s">
        <v>3076</v>
      </c>
      <c r="E89" s="51">
        <v>371.66</v>
      </c>
      <c r="F89" s="50">
        <v>1.5</v>
      </c>
      <c r="G89" s="50">
        <v>6.4</v>
      </c>
      <c r="H89" s="50">
        <f t="shared" si="4"/>
        <v>4</v>
      </c>
      <c r="I89" s="50">
        <v>9.9</v>
      </c>
      <c r="J89" s="50">
        <v>55.3</v>
      </c>
      <c r="K89" s="50">
        <v>62.8</v>
      </c>
      <c r="L89" s="50">
        <v>4.9000000000000004</v>
      </c>
      <c r="M89" s="50">
        <v>537.9</v>
      </c>
      <c r="N89" s="50">
        <v>683</v>
      </c>
      <c r="O89" s="50">
        <v>1888</v>
      </c>
      <c r="P89" s="50">
        <v>4738</v>
      </c>
      <c r="Q89" s="50" t="s">
        <v>3027</v>
      </c>
      <c r="R89" s="50" t="s">
        <v>576</v>
      </c>
      <c r="S89" s="50" t="s">
        <v>575</v>
      </c>
      <c r="T89" s="50" t="s">
        <v>576</v>
      </c>
      <c r="U89" s="51">
        <f t="shared" si="5"/>
        <v>7.43</v>
      </c>
      <c r="V89" s="50" t="s">
        <v>1640</v>
      </c>
      <c r="W89" s="50" t="s">
        <v>1676</v>
      </c>
      <c r="X89" s="53" t="s">
        <v>266</v>
      </c>
    </row>
    <row r="90" spans="1:24" ht="15" customHeight="1" x14ac:dyDescent="0.25">
      <c r="A90" s="46" t="s">
        <v>3198</v>
      </c>
      <c r="B90" s="46" t="s">
        <v>3199</v>
      </c>
      <c r="C90" s="46" t="s">
        <v>671</v>
      </c>
      <c r="D90" s="46" t="s">
        <v>630</v>
      </c>
      <c r="E90" s="47">
        <v>669.39</v>
      </c>
      <c r="F90" s="46">
        <v>2.4</v>
      </c>
      <c r="G90" s="46">
        <v>8.9</v>
      </c>
      <c r="H90" s="46">
        <f t="shared" si="4"/>
        <v>5.7</v>
      </c>
      <c r="I90" s="46">
        <v>55.5</v>
      </c>
      <c r="J90" s="46">
        <v>5.5</v>
      </c>
      <c r="K90" s="46">
        <v>46.5</v>
      </c>
      <c r="L90" s="46">
        <v>8.8000000000000007</v>
      </c>
      <c r="M90" s="46">
        <v>164.6</v>
      </c>
      <c r="N90" s="46">
        <v>980</v>
      </c>
      <c r="O90" s="46">
        <v>710</v>
      </c>
      <c r="P90" s="46">
        <v>1276</v>
      </c>
      <c r="Q90" s="46" t="s">
        <v>3018</v>
      </c>
      <c r="R90" s="46" t="s">
        <v>587</v>
      </c>
      <c r="S90" s="46" t="s">
        <v>618</v>
      </c>
      <c r="T90" s="46" t="s">
        <v>587</v>
      </c>
      <c r="U90" s="47">
        <f t="shared" si="5"/>
        <v>19.079999999999998</v>
      </c>
      <c r="V90" s="46" t="s">
        <v>622</v>
      </c>
      <c r="W90" s="46" t="s">
        <v>1640</v>
      </c>
      <c r="X90" s="49" t="s">
        <v>321</v>
      </c>
    </row>
    <row r="91" spans="1:24" ht="25.5" customHeight="1" x14ac:dyDescent="0.25">
      <c r="A91" s="46" t="s">
        <v>3200</v>
      </c>
      <c r="B91" s="46" t="s">
        <v>3201</v>
      </c>
      <c r="C91" s="46" t="s">
        <v>666</v>
      </c>
      <c r="D91" s="46" t="s">
        <v>688</v>
      </c>
      <c r="E91" s="47">
        <v>465.9</v>
      </c>
      <c r="F91" s="46">
        <v>4.3</v>
      </c>
      <c r="G91" s="46">
        <v>9</v>
      </c>
      <c r="H91" s="46">
        <f t="shared" si="4"/>
        <v>6.7</v>
      </c>
      <c r="I91" s="46">
        <v>29.7</v>
      </c>
      <c r="J91" s="46">
        <v>9.5</v>
      </c>
      <c r="K91" s="46">
        <v>30.5</v>
      </c>
      <c r="L91" s="46">
        <v>7.1</v>
      </c>
      <c r="M91" s="46">
        <v>149.69999999999999</v>
      </c>
      <c r="N91" s="46">
        <v>430</v>
      </c>
      <c r="O91" s="46">
        <v>195</v>
      </c>
      <c r="P91" s="46">
        <v>1841</v>
      </c>
      <c r="Q91" s="46" t="s">
        <v>3027</v>
      </c>
      <c r="R91" s="46" t="s">
        <v>576</v>
      </c>
      <c r="S91" s="46" t="s">
        <v>575</v>
      </c>
      <c r="T91" s="46" t="s">
        <v>587</v>
      </c>
      <c r="U91" s="47">
        <f t="shared" si="5"/>
        <v>15.61</v>
      </c>
      <c r="V91" s="46" t="s">
        <v>1676</v>
      </c>
      <c r="W91" s="46" t="s">
        <v>1640</v>
      </c>
      <c r="X91" s="49" t="s">
        <v>321</v>
      </c>
    </row>
    <row r="92" spans="1:24" ht="15" customHeight="1" x14ac:dyDescent="0.25">
      <c r="A92" s="50" t="s">
        <v>3202</v>
      </c>
      <c r="B92" s="50" t="s">
        <v>3203</v>
      </c>
      <c r="C92" s="50" t="s">
        <v>611</v>
      </c>
      <c r="D92" s="50" t="s">
        <v>3052</v>
      </c>
      <c r="E92" s="51">
        <v>576.55999999999995</v>
      </c>
      <c r="F92" s="50">
        <v>5.2</v>
      </c>
      <c r="G92" s="50">
        <v>1</v>
      </c>
      <c r="H92" s="50">
        <f t="shared" si="4"/>
        <v>3.1</v>
      </c>
      <c r="I92" s="50">
        <v>8.5</v>
      </c>
      <c r="J92" s="50">
        <v>9.1999999999999993</v>
      </c>
      <c r="K92" s="50">
        <v>10.3</v>
      </c>
      <c r="L92" s="50">
        <v>8.1</v>
      </c>
      <c r="M92" s="50">
        <v>205.2</v>
      </c>
      <c r="N92" s="50">
        <v>2197</v>
      </c>
      <c r="O92" s="50">
        <v>309</v>
      </c>
      <c r="P92" s="50">
        <v>14207</v>
      </c>
      <c r="Q92" s="50" t="s">
        <v>3011</v>
      </c>
      <c r="R92" s="50" t="s">
        <v>587</v>
      </c>
      <c r="S92" s="50" t="s">
        <v>628</v>
      </c>
      <c r="T92" s="50" t="s">
        <v>576</v>
      </c>
      <c r="U92" s="51">
        <f t="shared" si="5"/>
        <v>8.94</v>
      </c>
      <c r="V92" s="50" t="s">
        <v>1676</v>
      </c>
      <c r="W92" s="50" t="s">
        <v>1676</v>
      </c>
      <c r="X92" s="53" t="s">
        <v>266</v>
      </c>
    </row>
    <row r="93" spans="1:24" ht="15" customHeight="1" x14ac:dyDescent="0.25">
      <c r="A93" s="54" t="s">
        <v>3204</v>
      </c>
      <c r="B93" s="54" t="s">
        <v>3205</v>
      </c>
      <c r="C93" s="54" t="s">
        <v>596</v>
      </c>
      <c r="D93" s="54" t="s">
        <v>649</v>
      </c>
      <c r="E93" s="55">
        <v>229.51</v>
      </c>
      <c r="F93" s="54">
        <v>9.5</v>
      </c>
      <c r="G93" s="54">
        <v>5.4</v>
      </c>
      <c r="H93" s="54">
        <f t="shared" si="4"/>
        <v>7.5</v>
      </c>
      <c r="I93" s="54">
        <v>38.9</v>
      </c>
      <c r="J93" s="54">
        <v>8</v>
      </c>
      <c r="K93" s="54">
        <v>3.8</v>
      </c>
      <c r="L93" s="54">
        <v>1.9</v>
      </c>
      <c r="M93" s="54">
        <v>477</v>
      </c>
      <c r="N93" s="54">
        <v>3500</v>
      </c>
      <c r="O93" s="54">
        <v>2034</v>
      </c>
      <c r="P93" s="54">
        <v>2759</v>
      </c>
      <c r="Q93" s="54" t="s">
        <v>3027</v>
      </c>
      <c r="R93" s="54" t="s">
        <v>3015</v>
      </c>
      <c r="S93" s="54" t="s">
        <v>716</v>
      </c>
      <c r="T93" s="54" t="s">
        <v>576</v>
      </c>
      <c r="U93" s="55">
        <f t="shared" si="5"/>
        <v>8.61</v>
      </c>
      <c r="V93" s="54" t="s">
        <v>1640</v>
      </c>
      <c r="W93" s="54" t="s">
        <v>622</v>
      </c>
      <c r="X93" s="57" t="s">
        <v>495</v>
      </c>
    </row>
    <row r="94" spans="1:24" ht="15" customHeight="1" x14ac:dyDescent="0.25">
      <c r="A94" s="50" t="s">
        <v>3206</v>
      </c>
      <c r="B94" s="50" t="s">
        <v>3207</v>
      </c>
      <c r="C94" s="50" t="s">
        <v>691</v>
      </c>
      <c r="D94" s="50" t="s">
        <v>656</v>
      </c>
      <c r="E94" s="51">
        <v>351.25</v>
      </c>
      <c r="F94" s="50">
        <v>2.8</v>
      </c>
      <c r="G94" s="50">
        <v>1.4</v>
      </c>
      <c r="H94" s="50">
        <f t="shared" si="4"/>
        <v>2.1</v>
      </c>
      <c r="I94" s="50">
        <v>41.2</v>
      </c>
      <c r="J94" s="50">
        <v>22.3</v>
      </c>
      <c r="K94" s="50">
        <v>31.6</v>
      </c>
      <c r="L94" s="50">
        <v>3.1</v>
      </c>
      <c r="M94" s="50">
        <v>30.4</v>
      </c>
      <c r="N94" s="50">
        <v>98</v>
      </c>
      <c r="O94" s="50">
        <v>466</v>
      </c>
      <c r="P94" s="50">
        <v>1278</v>
      </c>
      <c r="Q94" s="50" t="s">
        <v>3057</v>
      </c>
      <c r="R94" s="50" t="s">
        <v>3015</v>
      </c>
      <c r="S94" s="50" t="s">
        <v>575</v>
      </c>
      <c r="T94" s="50" t="s">
        <v>587</v>
      </c>
      <c r="U94" s="51">
        <f t="shared" si="5"/>
        <v>3.69</v>
      </c>
      <c r="V94" s="50" t="s">
        <v>1640</v>
      </c>
      <c r="W94" s="50" t="s">
        <v>1676</v>
      </c>
      <c r="X94" s="53" t="s">
        <v>266</v>
      </c>
    </row>
    <row r="95" spans="1:24" ht="15" customHeight="1" x14ac:dyDescent="0.25">
      <c r="A95" s="50" t="s">
        <v>3208</v>
      </c>
      <c r="B95" s="50" t="s">
        <v>3209</v>
      </c>
      <c r="C95" s="50" t="s">
        <v>3033</v>
      </c>
      <c r="D95" s="50" t="s">
        <v>688</v>
      </c>
      <c r="E95" s="51">
        <v>310.39999999999998</v>
      </c>
      <c r="F95" s="50">
        <v>2</v>
      </c>
      <c r="G95" s="50">
        <v>2.8</v>
      </c>
      <c r="H95" s="50">
        <f t="shared" si="4"/>
        <v>2.4</v>
      </c>
      <c r="I95" s="50">
        <v>6.4</v>
      </c>
      <c r="J95" s="50">
        <v>35.5</v>
      </c>
      <c r="K95" s="50">
        <v>24.6</v>
      </c>
      <c r="L95" s="50">
        <v>8.6999999999999993</v>
      </c>
      <c r="M95" s="50">
        <v>454.4</v>
      </c>
      <c r="N95" s="50">
        <v>4160</v>
      </c>
      <c r="O95" s="50">
        <v>1944</v>
      </c>
      <c r="P95" s="50">
        <v>12524</v>
      </c>
      <c r="Q95" s="50" t="s">
        <v>3053</v>
      </c>
      <c r="R95" s="50" t="s">
        <v>3015</v>
      </c>
      <c r="S95" s="50" t="s">
        <v>575</v>
      </c>
      <c r="T95" s="50" t="s">
        <v>587</v>
      </c>
      <c r="U95" s="51">
        <f t="shared" si="5"/>
        <v>3.72</v>
      </c>
      <c r="V95" s="50" t="s">
        <v>1676</v>
      </c>
      <c r="W95" s="50" t="s">
        <v>1676</v>
      </c>
      <c r="X95" s="53" t="s">
        <v>266</v>
      </c>
    </row>
    <row r="96" spans="1:24" ht="15" customHeight="1" x14ac:dyDescent="0.25">
      <c r="A96" s="54" t="s">
        <v>3210</v>
      </c>
      <c r="B96" s="54" t="s">
        <v>3211</v>
      </c>
      <c r="C96" s="54" t="s">
        <v>3033</v>
      </c>
      <c r="D96" s="54" t="s">
        <v>578</v>
      </c>
      <c r="E96" s="55">
        <v>414.82</v>
      </c>
      <c r="F96" s="54">
        <v>4</v>
      </c>
      <c r="G96" s="54">
        <v>10</v>
      </c>
      <c r="H96" s="54">
        <f t="shared" si="4"/>
        <v>7</v>
      </c>
      <c r="I96" s="54">
        <v>69.3</v>
      </c>
      <c r="J96" s="54">
        <v>59.4</v>
      </c>
      <c r="K96" s="54">
        <v>40.6</v>
      </c>
      <c r="L96" s="54">
        <v>2.4</v>
      </c>
      <c r="M96" s="54">
        <v>514.4</v>
      </c>
      <c r="N96" s="54">
        <v>4100</v>
      </c>
      <c r="O96" s="54">
        <v>1241</v>
      </c>
      <c r="P96" s="54">
        <v>14735</v>
      </c>
      <c r="Q96" s="54" t="s">
        <v>3053</v>
      </c>
      <c r="R96" s="54" t="s">
        <v>587</v>
      </c>
      <c r="S96" s="54" t="s">
        <v>618</v>
      </c>
      <c r="T96" s="54" t="s">
        <v>576</v>
      </c>
      <c r="U96" s="55">
        <f t="shared" si="5"/>
        <v>14.52</v>
      </c>
      <c r="V96" s="54" t="s">
        <v>1676</v>
      </c>
      <c r="W96" s="54" t="s">
        <v>622</v>
      </c>
      <c r="X96" s="57" t="s">
        <v>495</v>
      </c>
    </row>
    <row r="97" spans="1:24" ht="15" customHeight="1" x14ac:dyDescent="0.25">
      <c r="A97" s="50" t="s">
        <v>3212</v>
      </c>
      <c r="B97" s="50" t="s">
        <v>3213</v>
      </c>
      <c r="C97" s="50" t="s">
        <v>671</v>
      </c>
      <c r="D97" s="50" t="s">
        <v>589</v>
      </c>
      <c r="E97" s="51">
        <v>91.65</v>
      </c>
      <c r="F97" s="50">
        <v>3.2</v>
      </c>
      <c r="G97" s="50">
        <v>2.2000000000000002</v>
      </c>
      <c r="H97" s="50">
        <f t="shared" si="4"/>
        <v>2.7</v>
      </c>
      <c r="I97" s="50">
        <v>73.3</v>
      </c>
      <c r="J97" s="50">
        <v>6.3</v>
      </c>
      <c r="K97" s="50">
        <v>6.6</v>
      </c>
      <c r="L97" s="50">
        <v>3.4</v>
      </c>
      <c r="M97" s="50">
        <v>336.7</v>
      </c>
      <c r="N97" s="50">
        <v>1320</v>
      </c>
      <c r="O97" s="50">
        <v>1472</v>
      </c>
      <c r="P97" s="50">
        <v>6412</v>
      </c>
      <c r="Q97" s="50" t="s">
        <v>3011</v>
      </c>
      <c r="R97" s="50" t="s">
        <v>3015</v>
      </c>
      <c r="S97" s="50" t="s">
        <v>716</v>
      </c>
      <c r="T97" s="50" t="s">
        <v>576</v>
      </c>
      <c r="U97" s="51">
        <f t="shared" si="5"/>
        <v>1.24</v>
      </c>
      <c r="V97" s="50" t="s">
        <v>1676</v>
      </c>
      <c r="W97" s="50" t="s">
        <v>1676</v>
      </c>
      <c r="X97" s="53" t="s">
        <v>266</v>
      </c>
    </row>
    <row r="98" spans="1:24" ht="15" customHeight="1" x14ac:dyDescent="0.25">
      <c r="A98" s="50" t="s">
        <v>3214</v>
      </c>
      <c r="B98" s="50" t="s">
        <v>3215</v>
      </c>
      <c r="C98" s="50" t="s">
        <v>655</v>
      </c>
      <c r="D98" s="50" t="s">
        <v>3049</v>
      </c>
      <c r="E98" s="51">
        <v>432.53</v>
      </c>
      <c r="F98" s="50">
        <v>7</v>
      </c>
      <c r="G98" s="50">
        <v>2.1</v>
      </c>
      <c r="H98" s="50">
        <f t="shared" si="4"/>
        <v>4.5999999999999996</v>
      </c>
      <c r="I98" s="50">
        <v>25.2</v>
      </c>
      <c r="J98" s="50">
        <v>6.4</v>
      </c>
      <c r="K98" s="50">
        <v>43.6</v>
      </c>
      <c r="L98" s="50">
        <v>6.3</v>
      </c>
      <c r="M98" s="50">
        <v>394.7</v>
      </c>
      <c r="N98" s="50">
        <v>5022</v>
      </c>
      <c r="O98" s="50">
        <v>478</v>
      </c>
      <c r="P98" s="50">
        <v>14443</v>
      </c>
      <c r="Q98" s="50" t="s">
        <v>3011</v>
      </c>
      <c r="R98" s="50" t="s">
        <v>3015</v>
      </c>
      <c r="S98" s="50" t="s">
        <v>678</v>
      </c>
      <c r="T98" s="50" t="s">
        <v>587</v>
      </c>
      <c r="U98" s="51">
        <f t="shared" si="5"/>
        <v>9.9499999999999993</v>
      </c>
      <c r="V98" s="50" t="s">
        <v>622</v>
      </c>
      <c r="W98" s="50" t="s">
        <v>1676</v>
      </c>
      <c r="X98" s="53" t="s">
        <v>266</v>
      </c>
    </row>
    <row r="99" spans="1:24" ht="15" customHeight="1" x14ac:dyDescent="0.25">
      <c r="A99" s="46" t="s">
        <v>3216</v>
      </c>
      <c r="B99" s="46" t="s">
        <v>3217</v>
      </c>
      <c r="C99" s="46" t="s">
        <v>655</v>
      </c>
      <c r="D99" s="46" t="s">
        <v>597</v>
      </c>
      <c r="E99" s="47">
        <v>212.04</v>
      </c>
      <c r="F99" s="46">
        <v>10</v>
      </c>
      <c r="G99" s="46">
        <v>1.6</v>
      </c>
      <c r="H99" s="46">
        <f t="shared" ref="H99:H130" si="6">ROUND((F99+G99)/2,1)</f>
        <v>5.8</v>
      </c>
      <c r="I99" s="46">
        <v>67.8</v>
      </c>
      <c r="J99" s="46">
        <v>8</v>
      </c>
      <c r="K99" s="46">
        <v>40.9</v>
      </c>
      <c r="L99" s="46">
        <v>5.5</v>
      </c>
      <c r="M99" s="46">
        <v>513.5</v>
      </c>
      <c r="N99" s="46">
        <v>2938</v>
      </c>
      <c r="O99" s="46">
        <v>2235</v>
      </c>
      <c r="P99" s="46">
        <v>7471</v>
      </c>
      <c r="Q99" s="46" t="s">
        <v>3018</v>
      </c>
      <c r="R99" s="46" t="s">
        <v>3015</v>
      </c>
      <c r="S99" s="46" t="s">
        <v>3030</v>
      </c>
      <c r="T99" s="46" t="s">
        <v>576</v>
      </c>
      <c r="U99" s="47">
        <f t="shared" ref="U99:U130" si="7">ROUND(E99*H99/100*0.5,2)</f>
        <v>6.15</v>
      </c>
      <c r="V99" s="46" t="s">
        <v>622</v>
      </c>
      <c r="W99" s="46" t="s">
        <v>1640</v>
      </c>
      <c r="X99" s="49" t="s">
        <v>321</v>
      </c>
    </row>
    <row r="100" spans="1:24" ht="15" customHeight="1" x14ac:dyDescent="0.25">
      <c r="A100" s="50" t="s">
        <v>3218</v>
      </c>
      <c r="B100" s="50" t="s">
        <v>3219</v>
      </c>
      <c r="C100" s="50" t="s">
        <v>713</v>
      </c>
      <c r="D100" s="50" t="s">
        <v>661</v>
      </c>
      <c r="E100" s="51">
        <v>351.11</v>
      </c>
      <c r="F100" s="50">
        <v>5</v>
      </c>
      <c r="G100" s="50">
        <v>2.1</v>
      </c>
      <c r="H100" s="50">
        <f t="shared" si="6"/>
        <v>3.6</v>
      </c>
      <c r="I100" s="50">
        <v>38.200000000000003</v>
      </c>
      <c r="J100" s="50">
        <v>47.2</v>
      </c>
      <c r="K100" s="50">
        <v>49.5</v>
      </c>
      <c r="L100" s="50">
        <v>1.9</v>
      </c>
      <c r="M100" s="50">
        <v>558.6</v>
      </c>
      <c r="N100" s="50">
        <v>1315</v>
      </c>
      <c r="O100" s="50">
        <v>808</v>
      </c>
      <c r="P100" s="50">
        <v>4543</v>
      </c>
      <c r="Q100" s="50" t="s">
        <v>3053</v>
      </c>
      <c r="R100" s="50" t="s">
        <v>587</v>
      </c>
      <c r="S100" s="50" t="s">
        <v>716</v>
      </c>
      <c r="T100" s="50" t="s">
        <v>587</v>
      </c>
      <c r="U100" s="51">
        <f t="shared" si="7"/>
        <v>6.32</v>
      </c>
      <c r="V100" s="50" t="s">
        <v>1640</v>
      </c>
      <c r="W100" s="50" t="s">
        <v>1676</v>
      </c>
      <c r="X100" s="53" t="s">
        <v>266</v>
      </c>
    </row>
    <row r="101" spans="1:24" ht="15" customHeight="1" x14ac:dyDescent="0.25">
      <c r="A101" s="54" t="s">
        <v>3220</v>
      </c>
      <c r="B101" s="54" t="s">
        <v>3221</v>
      </c>
      <c r="C101" s="54" t="s">
        <v>695</v>
      </c>
      <c r="D101" s="54" t="s">
        <v>630</v>
      </c>
      <c r="E101" s="55">
        <v>211.36</v>
      </c>
      <c r="F101" s="54">
        <v>8.5</v>
      </c>
      <c r="G101" s="54">
        <v>7.9</v>
      </c>
      <c r="H101" s="54">
        <f t="shared" si="6"/>
        <v>8.1999999999999993</v>
      </c>
      <c r="I101" s="54">
        <v>40</v>
      </c>
      <c r="J101" s="54">
        <v>19.8</v>
      </c>
      <c r="K101" s="54">
        <v>45.7</v>
      </c>
      <c r="L101" s="54">
        <v>5.6</v>
      </c>
      <c r="M101" s="54">
        <v>96.8</v>
      </c>
      <c r="N101" s="54">
        <v>346</v>
      </c>
      <c r="O101" s="54">
        <v>348</v>
      </c>
      <c r="P101" s="54">
        <v>2428</v>
      </c>
      <c r="Q101" s="54" t="s">
        <v>3014</v>
      </c>
      <c r="R101" s="54" t="s">
        <v>3015</v>
      </c>
      <c r="S101" s="54" t="s">
        <v>3030</v>
      </c>
      <c r="T101" s="54" t="s">
        <v>576</v>
      </c>
      <c r="U101" s="55">
        <f t="shared" si="7"/>
        <v>8.67</v>
      </c>
      <c r="V101" s="54" t="s">
        <v>1676</v>
      </c>
      <c r="W101" s="54" t="s">
        <v>622</v>
      </c>
      <c r="X101" s="57" t="s">
        <v>495</v>
      </c>
    </row>
    <row r="102" spans="1:24" ht="15" customHeight="1" x14ac:dyDescent="0.25">
      <c r="A102" s="50" t="s">
        <v>3222</v>
      </c>
      <c r="B102" s="50" t="s">
        <v>3223</v>
      </c>
      <c r="C102" s="50" t="s">
        <v>691</v>
      </c>
      <c r="D102" s="50" t="s">
        <v>3052</v>
      </c>
      <c r="E102" s="51">
        <v>642.20000000000005</v>
      </c>
      <c r="F102" s="50">
        <v>2.5</v>
      </c>
      <c r="G102" s="50">
        <v>4.9000000000000004</v>
      </c>
      <c r="H102" s="50">
        <f t="shared" si="6"/>
        <v>3.7</v>
      </c>
      <c r="I102" s="50">
        <v>84</v>
      </c>
      <c r="J102" s="50">
        <v>51.2</v>
      </c>
      <c r="K102" s="50">
        <v>4.5999999999999996</v>
      </c>
      <c r="L102" s="50">
        <v>5.2</v>
      </c>
      <c r="M102" s="50">
        <v>87</v>
      </c>
      <c r="N102" s="50">
        <v>889</v>
      </c>
      <c r="O102" s="50">
        <v>326</v>
      </c>
      <c r="P102" s="50">
        <v>802</v>
      </c>
      <c r="Q102" s="50" t="s">
        <v>3014</v>
      </c>
      <c r="R102" s="50" t="s">
        <v>576</v>
      </c>
      <c r="S102" s="50" t="s">
        <v>618</v>
      </c>
      <c r="T102" s="50" t="s">
        <v>576</v>
      </c>
      <c r="U102" s="51">
        <f t="shared" si="7"/>
        <v>11.88</v>
      </c>
      <c r="V102" s="50" t="s">
        <v>1676</v>
      </c>
      <c r="W102" s="50" t="s">
        <v>1676</v>
      </c>
      <c r="X102" s="53" t="s">
        <v>266</v>
      </c>
    </row>
    <row r="103" spans="1:24" ht="15" customHeight="1" x14ac:dyDescent="0.25">
      <c r="A103" s="46" t="s">
        <v>3224</v>
      </c>
      <c r="B103" s="46" t="s">
        <v>3225</v>
      </c>
      <c r="C103" s="46" t="s">
        <v>571</v>
      </c>
      <c r="D103" s="46" t="s">
        <v>605</v>
      </c>
      <c r="E103" s="47">
        <v>478.52</v>
      </c>
      <c r="F103" s="46">
        <v>6.7</v>
      </c>
      <c r="G103" s="46">
        <v>6.9</v>
      </c>
      <c r="H103" s="46">
        <f t="shared" si="6"/>
        <v>6.8</v>
      </c>
      <c r="I103" s="46">
        <v>25.8</v>
      </c>
      <c r="J103" s="46">
        <v>64.5</v>
      </c>
      <c r="K103" s="46">
        <v>58.9</v>
      </c>
      <c r="L103" s="46">
        <v>5.9</v>
      </c>
      <c r="M103" s="46">
        <v>146.5</v>
      </c>
      <c r="N103" s="46">
        <v>135</v>
      </c>
      <c r="O103" s="46">
        <v>170</v>
      </c>
      <c r="P103" s="46">
        <v>1612</v>
      </c>
      <c r="Q103" s="46" t="s">
        <v>3011</v>
      </c>
      <c r="R103" s="46" t="s">
        <v>3015</v>
      </c>
      <c r="S103" s="46" t="s">
        <v>3054</v>
      </c>
      <c r="T103" s="46" t="s">
        <v>587</v>
      </c>
      <c r="U103" s="47">
        <f t="shared" si="7"/>
        <v>16.27</v>
      </c>
      <c r="V103" s="46" t="s">
        <v>1676</v>
      </c>
      <c r="W103" s="46" t="s">
        <v>1640</v>
      </c>
      <c r="X103" s="49" t="s">
        <v>321</v>
      </c>
    </row>
    <row r="104" spans="1:24" ht="25.5" customHeight="1" x14ac:dyDescent="0.25">
      <c r="A104" s="50" t="s">
        <v>3226</v>
      </c>
      <c r="B104" s="50" t="s">
        <v>3227</v>
      </c>
      <c r="C104" s="50" t="s">
        <v>666</v>
      </c>
      <c r="D104" s="50" t="s">
        <v>578</v>
      </c>
      <c r="E104" s="51">
        <v>104.28</v>
      </c>
      <c r="F104" s="50">
        <v>5</v>
      </c>
      <c r="G104" s="50">
        <v>1.2</v>
      </c>
      <c r="H104" s="50">
        <f t="shared" si="6"/>
        <v>3.1</v>
      </c>
      <c r="I104" s="50">
        <v>71.900000000000006</v>
      </c>
      <c r="J104" s="50">
        <v>40.299999999999997</v>
      </c>
      <c r="K104" s="50">
        <v>39.4</v>
      </c>
      <c r="L104" s="50">
        <v>3.6</v>
      </c>
      <c r="M104" s="50">
        <v>106</v>
      </c>
      <c r="N104" s="50">
        <v>81</v>
      </c>
      <c r="O104" s="50">
        <v>467</v>
      </c>
      <c r="P104" s="50">
        <v>389</v>
      </c>
      <c r="Q104" s="50" t="s">
        <v>3018</v>
      </c>
      <c r="R104" s="50" t="s">
        <v>587</v>
      </c>
      <c r="S104" s="50" t="s">
        <v>575</v>
      </c>
      <c r="T104" s="50" t="s">
        <v>587</v>
      </c>
      <c r="U104" s="51">
        <f t="shared" si="7"/>
        <v>1.62</v>
      </c>
      <c r="V104" s="50" t="s">
        <v>622</v>
      </c>
      <c r="W104" s="50" t="s">
        <v>1676</v>
      </c>
      <c r="X104" s="53" t="s">
        <v>266</v>
      </c>
    </row>
    <row r="105" spans="1:24" ht="25.5" customHeight="1" x14ac:dyDescent="0.25">
      <c r="A105" s="54" t="s">
        <v>3228</v>
      </c>
      <c r="B105" s="54" t="s">
        <v>3229</v>
      </c>
      <c r="C105" s="54" t="s">
        <v>611</v>
      </c>
      <c r="D105" s="54" t="s">
        <v>667</v>
      </c>
      <c r="E105" s="55">
        <v>542.59</v>
      </c>
      <c r="F105" s="54">
        <v>5.0999999999999996</v>
      </c>
      <c r="G105" s="54">
        <v>8.9</v>
      </c>
      <c r="H105" s="54">
        <f t="shared" si="6"/>
        <v>7</v>
      </c>
      <c r="I105" s="54">
        <v>33.5</v>
      </c>
      <c r="J105" s="54">
        <v>40.9</v>
      </c>
      <c r="K105" s="54">
        <v>60.5</v>
      </c>
      <c r="L105" s="54">
        <v>6.1</v>
      </c>
      <c r="M105" s="54">
        <v>348.2</v>
      </c>
      <c r="N105" s="54">
        <v>4652</v>
      </c>
      <c r="O105" s="54">
        <v>1731</v>
      </c>
      <c r="P105" s="54">
        <v>8170</v>
      </c>
      <c r="Q105" s="54" t="s">
        <v>3014</v>
      </c>
      <c r="R105" s="54" t="s">
        <v>3015</v>
      </c>
      <c r="S105" s="54" t="s">
        <v>609</v>
      </c>
      <c r="T105" s="54" t="s">
        <v>576</v>
      </c>
      <c r="U105" s="55">
        <f t="shared" si="7"/>
        <v>18.989999999999998</v>
      </c>
      <c r="V105" s="54" t="s">
        <v>1676</v>
      </c>
      <c r="W105" s="54" t="s">
        <v>622</v>
      </c>
      <c r="X105" s="57" t="s">
        <v>495</v>
      </c>
    </row>
    <row r="106" spans="1:24" ht="15" customHeight="1" x14ac:dyDescent="0.25">
      <c r="A106" s="46" t="s">
        <v>3230</v>
      </c>
      <c r="B106" s="46" t="s">
        <v>3231</v>
      </c>
      <c r="C106" s="46" t="s">
        <v>840</v>
      </c>
      <c r="D106" s="46" t="s">
        <v>3076</v>
      </c>
      <c r="E106" s="47">
        <v>80.430000000000007</v>
      </c>
      <c r="F106" s="46">
        <v>5.3</v>
      </c>
      <c r="G106" s="46">
        <v>5.3</v>
      </c>
      <c r="H106" s="46">
        <f t="shared" si="6"/>
        <v>5.3</v>
      </c>
      <c r="I106" s="46">
        <v>12.5</v>
      </c>
      <c r="J106" s="46">
        <v>64</v>
      </c>
      <c r="K106" s="46">
        <v>55.2</v>
      </c>
      <c r="L106" s="46">
        <v>4.4000000000000004</v>
      </c>
      <c r="M106" s="46">
        <v>188.3</v>
      </c>
      <c r="N106" s="46">
        <v>5379</v>
      </c>
      <c r="O106" s="46">
        <v>1851</v>
      </c>
      <c r="P106" s="46">
        <v>2499</v>
      </c>
      <c r="Q106" s="46" t="s">
        <v>3011</v>
      </c>
      <c r="R106" s="46" t="s">
        <v>3015</v>
      </c>
      <c r="S106" s="46" t="s">
        <v>638</v>
      </c>
      <c r="T106" s="46" t="s">
        <v>576</v>
      </c>
      <c r="U106" s="47">
        <f t="shared" si="7"/>
        <v>2.13</v>
      </c>
      <c r="V106" s="46" t="s">
        <v>622</v>
      </c>
      <c r="W106" s="46" t="s">
        <v>1640</v>
      </c>
      <c r="X106" s="49" t="s">
        <v>321</v>
      </c>
    </row>
    <row r="107" spans="1:24" ht="15" customHeight="1" x14ac:dyDescent="0.25">
      <c r="A107" s="54" t="s">
        <v>3232</v>
      </c>
      <c r="B107" s="54" t="s">
        <v>3233</v>
      </c>
      <c r="C107" s="54" t="s">
        <v>666</v>
      </c>
      <c r="D107" s="54" t="s">
        <v>3049</v>
      </c>
      <c r="E107" s="55">
        <v>488.32</v>
      </c>
      <c r="F107" s="54">
        <v>6.3</v>
      </c>
      <c r="G107" s="54">
        <v>8.1</v>
      </c>
      <c r="H107" s="54">
        <f t="shared" si="6"/>
        <v>7.2</v>
      </c>
      <c r="I107" s="54">
        <v>53</v>
      </c>
      <c r="J107" s="54">
        <v>34.6</v>
      </c>
      <c r="K107" s="54">
        <v>59</v>
      </c>
      <c r="L107" s="54">
        <v>2.4</v>
      </c>
      <c r="M107" s="54">
        <v>114.4</v>
      </c>
      <c r="N107" s="54">
        <v>451</v>
      </c>
      <c r="O107" s="54">
        <v>346</v>
      </c>
      <c r="P107" s="54">
        <v>2845</v>
      </c>
      <c r="Q107" s="54" t="s">
        <v>3053</v>
      </c>
      <c r="R107" s="54" t="s">
        <v>3015</v>
      </c>
      <c r="S107" s="54" t="s">
        <v>653</v>
      </c>
      <c r="T107" s="54" t="s">
        <v>576</v>
      </c>
      <c r="U107" s="55">
        <f t="shared" si="7"/>
        <v>17.579999999999998</v>
      </c>
      <c r="V107" s="54" t="s">
        <v>1640</v>
      </c>
      <c r="W107" s="54" t="s">
        <v>622</v>
      </c>
      <c r="X107" s="57" t="s">
        <v>495</v>
      </c>
    </row>
    <row r="108" spans="1:24" ht="15" customHeight="1" x14ac:dyDescent="0.25">
      <c r="A108" s="46" t="s">
        <v>3234</v>
      </c>
      <c r="B108" s="46" t="s">
        <v>3235</v>
      </c>
      <c r="C108" s="46" t="s">
        <v>655</v>
      </c>
      <c r="D108" s="46" t="s">
        <v>589</v>
      </c>
      <c r="E108" s="47">
        <v>280.52</v>
      </c>
      <c r="F108" s="46">
        <v>7.4</v>
      </c>
      <c r="G108" s="46">
        <v>3.3</v>
      </c>
      <c r="H108" s="46">
        <f t="shared" si="6"/>
        <v>5.4</v>
      </c>
      <c r="I108" s="46">
        <v>68.2</v>
      </c>
      <c r="J108" s="46">
        <v>60.3</v>
      </c>
      <c r="K108" s="46">
        <v>29.3</v>
      </c>
      <c r="L108" s="46">
        <v>4.2</v>
      </c>
      <c r="M108" s="46">
        <v>169.8</v>
      </c>
      <c r="N108" s="46">
        <v>5020</v>
      </c>
      <c r="O108" s="46">
        <v>1216</v>
      </c>
      <c r="P108" s="46">
        <v>3900</v>
      </c>
      <c r="Q108" s="46" t="s">
        <v>3053</v>
      </c>
      <c r="R108" s="46" t="s">
        <v>587</v>
      </c>
      <c r="S108" s="46" t="s">
        <v>653</v>
      </c>
      <c r="T108" s="46" t="s">
        <v>576</v>
      </c>
      <c r="U108" s="47">
        <f t="shared" si="7"/>
        <v>7.57</v>
      </c>
      <c r="V108" s="46" t="s">
        <v>1640</v>
      </c>
      <c r="W108" s="46" t="s">
        <v>1640</v>
      </c>
      <c r="X108" s="49" t="s">
        <v>321</v>
      </c>
    </row>
    <row r="109" spans="1:24" ht="15" customHeight="1" x14ac:dyDescent="0.25">
      <c r="A109" s="46" t="s">
        <v>3236</v>
      </c>
      <c r="B109" s="46" t="s">
        <v>3237</v>
      </c>
      <c r="C109" s="46" t="s">
        <v>691</v>
      </c>
      <c r="D109" s="46" t="s">
        <v>649</v>
      </c>
      <c r="E109" s="47">
        <v>280.13</v>
      </c>
      <c r="F109" s="46">
        <v>8</v>
      </c>
      <c r="G109" s="46">
        <v>5.0999999999999996</v>
      </c>
      <c r="H109" s="46">
        <f t="shared" si="6"/>
        <v>6.6</v>
      </c>
      <c r="I109" s="46">
        <v>68.8</v>
      </c>
      <c r="J109" s="46">
        <v>61.3</v>
      </c>
      <c r="K109" s="46">
        <v>44.5</v>
      </c>
      <c r="L109" s="46">
        <v>4.5999999999999996</v>
      </c>
      <c r="M109" s="46">
        <v>58.1</v>
      </c>
      <c r="N109" s="46">
        <v>96</v>
      </c>
      <c r="O109" s="46">
        <v>359</v>
      </c>
      <c r="P109" s="46">
        <v>1827</v>
      </c>
      <c r="Q109" s="46" t="s">
        <v>3011</v>
      </c>
      <c r="R109" s="46" t="s">
        <v>3015</v>
      </c>
      <c r="S109" s="46" t="s">
        <v>575</v>
      </c>
      <c r="T109" s="46" t="s">
        <v>587</v>
      </c>
      <c r="U109" s="47">
        <f t="shared" si="7"/>
        <v>9.24</v>
      </c>
      <c r="V109" s="46" t="s">
        <v>1640</v>
      </c>
      <c r="W109" s="46" t="s">
        <v>1640</v>
      </c>
      <c r="X109" s="49" t="s">
        <v>321</v>
      </c>
    </row>
    <row r="110" spans="1:24" ht="15" customHeight="1" x14ac:dyDescent="0.25">
      <c r="A110" s="54" t="s">
        <v>3238</v>
      </c>
      <c r="B110" s="54" t="s">
        <v>3239</v>
      </c>
      <c r="C110" s="54" t="s">
        <v>680</v>
      </c>
      <c r="D110" s="54" t="s">
        <v>661</v>
      </c>
      <c r="E110" s="55">
        <v>518.23</v>
      </c>
      <c r="F110" s="54">
        <v>9.4</v>
      </c>
      <c r="G110" s="54">
        <v>4.9000000000000004</v>
      </c>
      <c r="H110" s="54">
        <f t="shared" si="6"/>
        <v>7.2</v>
      </c>
      <c r="I110" s="54">
        <v>26.3</v>
      </c>
      <c r="J110" s="54">
        <v>40.799999999999997</v>
      </c>
      <c r="K110" s="54">
        <v>12.4</v>
      </c>
      <c r="L110" s="54">
        <v>5</v>
      </c>
      <c r="M110" s="54">
        <v>39.9</v>
      </c>
      <c r="N110" s="54">
        <v>396</v>
      </c>
      <c r="O110" s="54">
        <v>102</v>
      </c>
      <c r="P110" s="54">
        <v>1680</v>
      </c>
      <c r="Q110" s="54" t="s">
        <v>3027</v>
      </c>
      <c r="R110" s="54" t="s">
        <v>576</v>
      </c>
      <c r="S110" s="54" t="s">
        <v>602</v>
      </c>
      <c r="T110" s="54" t="s">
        <v>576</v>
      </c>
      <c r="U110" s="55">
        <f t="shared" si="7"/>
        <v>18.66</v>
      </c>
      <c r="V110" s="54" t="s">
        <v>622</v>
      </c>
      <c r="W110" s="54" t="s">
        <v>622</v>
      </c>
      <c r="X110" s="57" t="s">
        <v>495</v>
      </c>
    </row>
    <row r="111" spans="1:24" ht="15" customHeight="1" x14ac:dyDescent="0.25">
      <c r="A111" s="50" t="s">
        <v>3240</v>
      </c>
      <c r="B111" s="50" t="s">
        <v>3241</v>
      </c>
      <c r="C111" s="50" t="s">
        <v>3040</v>
      </c>
      <c r="D111" s="50" t="s">
        <v>630</v>
      </c>
      <c r="E111" s="51">
        <v>402.7</v>
      </c>
      <c r="F111" s="50">
        <v>2.1</v>
      </c>
      <c r="G111" s="50">
        <v>5.5</v>
      </c>
      <c r="H111" s="50">
        <f t="shared" si="6"/>
        <v>3.8</v>
      </c>
      <c r="I111" s="50">
        <v>50.9</v>
      </c>
      <c r="J111" s="50">
        <v>60.3</v>
      </c>
      <c r="K111" s="50">
        <v>16.8</v>
      </c>
      <c r="L111" s="50">
        <v>5.8</v>
      </c>
      <c r="M111" s="50">
        <v>389.7</v>
      </c>
      <c r="N111" s="50">
        <v>4610</v>
      </c>
      <c r="O111" s="50">
        <v>1133</v>
      </c>
      <c r="P111" s="50">
        <v>11061</v>
      </c>
      <c r="Q111" s="50" t="s">
        <v>3014</v>
      </c>
      <c r="R111" s="50" t="s">
        <v>587</v>
      </c>
      <c r="S111" s="50" t="s">
        <v>609</v>
      </c>
      <c r="T111" s="50" t="s">
        <v>587</v>
      </c>
      <c r="U111" s="51">
        <f t="shared" si="7"/>
        <v>7.65</v>
      </c>
      <c r="V111" s="50" t="s">
        <v>1640</v>
      </c>
      <c r="W111" s="50" t="s">
        <v>1676</v>
      </c>
      <c r="X111" s="53" t="s">
        <v>266</v>
      </c>
    </row>
    <row r="112" spans="1:24" ht="15" customHeight="1" x14ac:dyDescent="0.25">
      <c r="A112" s="46" t="s">
        <v>3242</v>
      </c>
      <c r="B112" s="46" t="s">
        <v>3243</v>
      </c>
      <c r="C112" s="46" t="s">
        <v>596</v>
      </c>
      <c r="D112" s="46" t="s">
        <v>667</v>
      </c>
      <c r="E112" s="47">
        <v>693.89</v>
      </c>
      <c r="F112" s="46">
        <v>7.8</v>
      </c>
      <c r="G112" s="46">
        <v>5</v>
      </c>
      <c r="H112" s="46">
        <f t="shared" si="6"/>
        <v>6.4</v>
      </c>
      <c r="I112" s="46">
        <v>51.1</v>
      </c>
      <c r="J112" s="46">
        <v>34.700000000000003</v>
      </c>
      <c r="K112" s="46">
        <v>41.6</v>
      </c>
      <c r="L112" s="46">
        <v>1.6</v>
      </c>
      <c r="M112" s="46">
        <v>285</v>
      </c>
      <c r="N112" s="46">
        <v>2256</v>
      </c>
      <c r="O112" s="46">
        <v>662</v>
      </c>
      <c r="P112" s="46">
        <v>10609</v>
      </c>
      <c r="Q112" s="46" t="s">
        <v>3011</v>
      </c>
      <c r="R112" s="46" t="s">
        <v>576</v>
      </c>
      <c r="S112" s="46" t="s">
        <v>602</v>
      </c>
      <c r="T112" s="46" t="s">
        <v>576</v>
      </c>
      <c r="U112" s="47">
        <f t="shared" si="7"/>
        <v>22.2</v>
      </c>
      <c r="V112" s="46" t="s">
        <v>1676</v>
      </c>
      <c r="W112" s="46" t="s">
        <v>1640</v>
      </c>
      <c r="X112" s="49" t="s">
        <v>321</v>
      </c>
    </row>
    <row r="113" spans="1:24" ht="15" customHeight="1" x14ac:dyDescent="0.25">
      <c r="A113" s="46" t="s">
        <v>3244</v>
      </c>
      <c r="B113" s="46" t="s">
        <v>3245</v>
      </c>
      <c r="C113" s="46" t="s">
        <v>691</v>
      </c>
      <c r="D113" s="46" t="s">
        <v>649</v>
      </c>
      <c r="E113" s="47">
        <v>120.17</v>
      </c>
      <c r="F113" s="46">
        <v>2.9</v>
      </c>
      <c r="G113" s="46">
        <v>7.5</v>
      </c>
      <c r="H113" s="46">
        <f t="shared" si="6"/>
        <v>5.2</v>
      </c>
      <c r="I113" s="46">
        <v>76.599999999999994</v>
      </c>
      <c r="J113" s="46">
        <v>28.9</v>
      </c>
      <c r="K113" s="46">
        <v>63.8</v>
      </c>
      <c r="L113" s="46">
        <v>1.4</v>
      </c>
      <c r="M113" s="46">
        <v>53.1</v>
      </c>
      <c r="N113" s="46">
        <v>619</v>
      </c>
      <c r="O113" s="46">
        <v>311</v>
      </c>
      <c r="P113" s="46">
        <v>486</v>
      </c>
      <c r="Q113" s="46" t="s">
        <v>3053</v>
      </c>
      <c r="R113" s="46" t="s">
        <v>587</v>
      </c>
      <c r="S113" s="46" t="s">
        <v>678</v>
      </c>
      <c r="T113" s="46" t="s">
        <v>576</v>
      </c>
      <c r="U113" s="47">
        <f t="shared" si="7"/>
        <v>3.12</v>
      </c>
      <c r="V113" s="46" t="s">
        <v>1676</v>
      </c>
      <c r="W113" s="46" t="s">
        <v>1640</v>
      </c>
      <c r="X113" s="49" t="s">
        <v>321</v>
      </c>
    </row>
    <row r="114" spans="1:24" ht="15" customHeight="1" x14ac:dyDescent="0.25">
      <c r="A114" s="46" t="s">
        <v>3246</v>
      </c>
      <c r="B114" s="46" t="s">
        <v>3247</v>
      </c>
      <c r="C114" s="46" t="s">
        <v>671</v>
      </c>
      <c r="D114" s="46" t="s">
        <v>819</v>
      </c>
      <c r="E114" s="47">
        <v>671.5</v>
      </c>
      <c r="F114" s="46">
        <v>7.8</v>
      </c>
      <c r="G114" s="46">
        <v>5.5</v>
      </c>
      <c r="H114" s="46">
        <f t="shared" si="6"/>
        <v>6.7</v>
      </c>
      <c r="I114" s="46">
        <v>26</v>
      </c>
      <c r="J114" s="46">
        <v>48.1</v>
      </c>
      <c r="K114" s="46">
        <v>29.6</v>
      </c>
      <c r="L114" s="46">
        <v>6.9</v>
      </c>
      <c r="M114" s="46">
        <v>542.9</v>
      </c>
      <c r="N114" s="46">
        <v>2868</v>
      </c>
      <c r="O114" s="46">
        <v>1320</v>
      </c>
      <c r="P114" s="46">
        <v>1462</v>
      </c>
      <c r="Q114" s="46" t="s">
        <v>3018</v>
      </c>
      <c r="R114" s="46" t="s">
        <v>587</v>
      </c>
      <c r="S114" s="46" t="s">
        <v>618</v>
      </c>
      <c r="T114" s="46" t="s">
        <v>576</v>
      </c>
      <c r="U114" s="47">
        <f t="shared" si="7"/>
        <v>22.5</v>
      </c>
      <c r="V114" s="46" t="s">
        <v>1640</v>
      </c>
      <c r="W114" s="46" t="s">
        <v>1640</v>
      </c>
      <c r="X114" s="49" t="s">
        <v>321</v>
      </c>
    </row>
    <row r="115" spans="1:24" ht="15" customHeight="1" x14ac:dyDescent="0.25">
      <c r="A115" s="54" t="s">
        <v>3248</v>
      </c>
      <c r="B115" s="54" t="s">
        <v>3249</v>
      </c>
      <c r="C115" s="54" t="s">
        <v>614</v>
      </c>
      <c r="D115" s="54" t="s">
        <v>621</v>
      </c>
      <c r="E115" s="55">
        <v>364.76</v>
      </c>
      <c r="F115" s="54">
        <v>9.1999999999999993</v>
      </c>
      <c r="G115" s="54">
        <v>7.7</v>
      </c>
      <c r="H115" s="54">
        <f t="shared" si="6"/>
        <v>8.5</v>
      </c>
      <c r="I115" s="54">
        <v>66.8</v>
      </c>
      <c r="J115" s="54">
        <v>13.9</v>
      </c>
      <c r="K115" s="54">
        <v>19</v>
      </c>
      <c r="L115" s="54">
        <v>5.8</v>
      </c>
      <c r="M115" s="54">
        <v>117.9</v>
      </c>
      <c r="N115" s="54">
        <v>695</v>
      </c>
      <c r="O115" s="54">
        <v>71</v>
      </c>
      <c r="P115" s="54">
        <v>2339</v>
      </c>
      <c r="Q115" s="54" t="s">
        <v>3018</v>
      </c>
      <c r="R115" s="54" t="s">
        <v>3015</v>
      </c>
      <c r="S115" s="54" t="s">
        <v>716</v>
      </c>
      <c r="T115" s="54" t="s">
        <v>587</v>
      </c>
      <c r="U115" s="55">
        <f t="shared" si="7"/>
        <v>15.5</v>
      </c>
      <c r="V115" s="54" t="s">
        <v>1640</v>
      </c>
      <c r="W115" s="54" t="s">
        <v>622</v>
      </c>
      <c r="X115" s="57" t="s">
        <v>495</v>
      </c>
    </row>
    <row r="116" spans="1:24" ht="15" customHeight="1" x14ac:dyDescent="0.25">
      <c r="A116" s="50" t="s">
        <v>3250</v>
      </c>
      <c r="B116" s="50" t="s">
        <v>3251</v>
      </c>
      <c r="C116" s="50" t="s">
        <v>3101</v>
      </c>
      <c r="D116" s="50" t="s">
        <v>3076</v>
      </c>
      <c r="E116" s="51">
        <v>144.55000000000001</v>
      </c>
      <c r="F116" s="50">
        <v>3.4</v>
      </c>
      <c r="G116" s="50">
        <v>5</v>
      </c>
      <c r="H116" s="50">
        <f t="shared" si="6"/>
        <v>4.2</v>
      </c>
      <c r="I116" s="50">
        <v>38.1</v>
      </c>
      <c r="J116" s="50">
        <v>64.3</v>
      </c>
      <c r="K116" s="50">
        <v>9.5</v>
      </c>
      <c r="L116" s="50">
        <v>3</v>
      </c>
      <c r="M116" s="50">
        <v>62.4</v>
      </c>
      <c r="N116" s="50">
        <v>239</v>
      </c>
      <c r="O116" s="50">
        <v>251</v>
      </c>
      <c r="P116" s="50">
        <v>2666</v>
      </c>
      <c r="Q116" s="50" t="s">
        <v>3053</v>
      </c>
      <c r="R116" s="50" t="s">
        <v>587</v>
      </c>
      <c r="S116" s="50" t="s">
        <v>628</v>
      </c>
      <c r="T116" s="50" t="s">
        <v>587</v>
      </c>
      <c r="U116" s="51">
        <f t="shared" si="7"/>
        <v>3.04</v>
      </c>
      <c r="V116" s="50" t="s">
        <v>622</v>
      </c>
      <c r="W116" s="50" t="s">
        <v>1676</v>
      </c>
      <c r="X116" s="53" t="s">
        <v>266</v>
      </c>
    </row>
    <row r="117" spans="1:24" ht="15" customHeight="1" x14ac:dyDescent="0.25">
      <c r="A117" s="54" t="s">
        <v>3252</v>
      </c>
      <c r="B117" s="54" t="s">
        <v>3253</v>
      </c>
      <c r="C117" s="54" t="s">
        <v>571</v>
      </c>
      <c r="D117" s="54" t="s">
        <v>3076</v>
      </c>
      <c r="E117" s="55">
        <v>451.31</v>
      </c>
      <c r="F117" s="54">
        <v>9.1999999999999993</v>
      </c>
      <c r="G117" s="54">
        <v>7.3</v>
      </c>
      <c r="H117" s="54">
        <f t="shared" si="6"/>
        <v>8.3000000000000007</v>
      </c>
      <c r="I117" s="54">
        <v>51.5</v>
      </c>
      <c r="J117" s="54">
        <v>53.8</v>
      </c>
      <c r="K117" s="54">
        <v>37.1</v>
      </c>
      <c r="L117" s="54">
        <v>3.8</v>
      </c>
      <c r="M117" s="54">
        <v>85.9</v>
      </c>
      <c r="N117" s="54">
        <v>630</v>
      </c>
      <c r="O117" s="54">
        <v>209</v>
      </c>
      <c r="P117" s="54">
        <v>2920</v>
      </c>
      <c r="Q117" s="54" t="s">
        <v>3014</v>
      </c>
      <c r="R117" s="54" t="s">
        <v>587</v>
      </c>
      <c r="S117" s="54" t="s">
        <v>602</v>
      </c>
      <c r="T117" s="54" t="s">
        <v>587</v>
      </c>
      <c r="U117" s="55">
        <f t="shared" si="7"/>
        <v>18.73</v>
      </c>
      <c r="V117" s="54" t="s">
        <v>1640</v>
      </c>
      <c r="W117" s="54" t="s">
        <v>622</v>
      </c>
      <c r="X117" s="57" t="s">
        <v>495</v>
      </c>
    </row>
    <row r="118" spans="1:24" ht="15" customHeight="1" x14ac:dyDescent="0.25">
      <c r="A118" s="50" t="s">
        <v>3254</v>
      </c>
      <c r="B118" s="50" t="s">
        <v>3255</v>
      </c>
      <c r="C118" s="50" t="s">
        <v>614</v>
      </c>
      <c r="D118" s="50" t="s">
        <v>605</v>
      </c>
      <c r="E118" s="51">
        <v>82.05</v>
      </c>
      <c r="F118" s="50">
        <v>2.1</v>
      </c>
      <c r="G118" s="50">
        <v>2.2000000000000002</v>
      </c>
      <c r="H118" s="50">
        <f t="shared" si="6"/>
        <v>2.2000000000000002</v>
      </c>
      <c r="I118" s="50">
        <v>52.9</v>
      </c>
      <c r="J118" s="50">
        <v>17.600000000000001</v>
      </c>
      <c r="K118" s="50">
        <v>55.4</v>
      </c>
      <c r="L118" s="50">
        <v>8</v>
      </c>
      <c r="M118" s="50">
        <v>149.30000000000001</v>
      </c>
      <c r="N118" s="50">
        <v>302</v>
      </c>
      <c r="O118" s="50">
        <v>406</v>
      </c>
      <c r="P118" s="50">
        <v>1662</v>
      </c>
      <c r="Q118" s="50" t="s">
        <v>3011</v>
      </c>
      <c r="R118" s="50" t="s">
        <v>576</v>
      </c>
      <c r="S118" s="50" t="s">
        <v>602</v>
      </c>
      <c r="T118" s="50" t="s">
        <v>576</v>
      </c>
      <c r="U118" s="51">
        <f t="shared" si="7"/>
        <v>0.9</v>
      </c>
      <c r="V118" s="50" t="s">
        <v>1676</v>
      </c>
      <c r="W118" s="50" t="s">
        <v>1676</v>
      </c>
      <c r="X118" s="53" t="s">
        <v>266</v>
      </c>
    </row>
    <row r="119" spans="1:24" ht="15" customHeight="1" x14ac:dyDescent="0.25">
      <c r="A119" s="46" t="s">
        <v>3256</v>
      </c>
      <c r="B119" s="46" t="s">
        <v>3257</v>
      </c>
      <c r="C119" s="46" t="s">
        <v>596</v>
      </c>
      <c r="D119" s="46" t="s">
        <v>578</v>
      </c>
      <c r="E119" s="47">
        <v>324.61</v>
      </c>
      <c r="F119" s="46">
        <v>7.6</v>
      </c>
      <c r="G119" s="46">
        <v>3</v>
      </c>
      <c r="H119" s="46">
        <f t="shared" si="6"/>
        <v>5.3</v>
      </c>
      <c r="I119" s="46">
        <v>52.7</v>
      </c>
      <c r="J119" s="46">
        <v>57.7</v>
      </c>
      <c r="K119" s="46">
        <v>37.4</v>
      </c>
      <c r="L119" s="46">
        <v>4.5999999999999996</v>
      </c>
      <c r="M119" s="46">
        <v>339.6</v>
      </c>
      <c r="N119" s="46">
        <v>2536</v>
      </c>
      <c r="O119" s="46">
        <v>1882</v>
      </c>
      <c r="P119" s="46">
        <v>12622</v>
      </c>
      <c r="Q119" s="46" t="s">
        <v>3011</v>
      </c>
      <c r="R119" s="46" t="s">
        <v>576</v>
      </c>
      <c r="S119" s="46" t="s">
        <v>638</v>
      </c>
      <c r="T119" s="46" t="s">
        <v>587</v>
      </c>
      <c r="U119" s="47">
        <f t="shared" si="7"/>
        <v>8.6</v>
      </c>
      <c r="V119" s="46" t="s">
        <v>1640</v>
      </c>
      <c r="W119" s="46" t="s">
        <v>1640</v>
      </c>
      <c r="X119" s="49" t="s">
        <v>321</v>
      </c>
    </row>
    <row r="120" spans="1:24" ht="15" customHeight="1" x14ac:dyDescent="0.25">
      <c r="A120" s="50" t="s">
        <v>3258</v>
      </c>
      <c r="B120" s="50" t="s">
        <v>3259</v>
      </c>
      <c r="C120" s="50" t="s">
        <v>671</v>
      </c>
      <c r="D120" s="50" t="s">
        <v>589</v>
      </c>
      <c r="E120" s="51">
        <v>86.28</v>
      </c>
      <c r="F120" s="50">
        <v>5.4</v>
      </c>
      <c r="G120" s="50">
        <v>1.4</v>
      </c>
      <c r="H120" s="50">
        <f t="shared" si="6"/>
        <v>3.4</v>
      </c>
      <c r="I120" s="50">
        <v>52.5</v>
      </c>
      <c r="J120" s="50">
        <v>50.6</v>
      </c>
      <c r="K120" s="50">
        <v>21.7</v>
      </c>
      <c r="L120" s="50">
        <v>2.2000000000000002</v>
      </c>
      <c r="M120" s="50">
        <v>388.7</v>
      </c>
      <c r="N120" s="50">
        <v>5254</v>
      </c>
      <c r="O120" s="50">
        <v>1224</v>
      </c>
      <c r="P120" s="50">
        <v>3931</v>
      </c>
      <c r="Q120" s="50" t="s">
        <v>3014</v>
      </c>
      <c r="R120" s="50" t="s">
        <v>587</v>
      </c>
      <c r="S120" s="50" t="s">
        <v>618</v>
      </c>
      <c r="T120" s="50" t="s">
        <v>587</v>
      </c>
      <c r="U120" s="51">
        <f t="shared" si="7"/>
        <v>1.47</v>
      </c>
      <c r="V120" s="50" t="s">
        <v>622</v>
      </c>
      <c r="W120" s="50" t="s">
        <v>1676</v>
      </c>
      <c r="X120" s="53" t="s">
        <v>266</v>
      </c>
    </row>
    <row r="121" spans="1:24" ht="15" customHeight="1" x14ac:dyDescent="0.25">
      <c r="A121" s="46" t="s">
        <v>3260</v>
      </c>
      <c r="B121" s="46" t="s">
        <v>3261</v>
      </c>
      <c r="C121" s="46" t="s">
        <v>3101</v>
      </c>
      <c r="D121" s="46" t="s">
        <v>630</v>
      </c>
      <c r="E121" s="47">
        <v>560.59</v>
      </c>
      <c r="F121" s="46">
        <v>7.7</v>
      </c>
      <c r="G121" s="46">
        <v>6</v>
      </c>
      <c r="H121" s="46">
        <f t="shared" si="6"/>
        <v>6.9</v>
      </c>
      <c r="I121" s="46">
        <v>39.799999999999997</v>
      </c>
      <c r="J121" s="46">
        <v>39.799999999999997</v>
      </c>
      <c r="K121" s="46">
        <v>6.1</v>
      </c>
      <c r="L121" s="46">
        <v>8.1</v>
      </c>
      <c r="M121" s="46">
        <v>54.1</v>
      </c>
      <c r="N121" s="46">
        <v>64</v>
      </c>
      <c r="O121" s="46">
        <v>469</v>
      </c>
      <c r="P121" s="46">
        <v>1372</v>
      </c>
      <c r="Q121" s="46" t="s">
        <v>3057</v>
      </c>
      <c r="R121" s="46" t="s">
        <v>587</v>
      </c>
      <c r="S121" s="46" t="s">
        <v>602</v>
      </c>
      <c r="T121" s="46" t="s">
        <v>587</v>
      </c>
      <c r="U121" s="47">
        <f t="shared" si="7"/>
        <v>19.34</v>
      </c>
      <c r="V121" s="46" t="s">
        <v>1640</v>
      </c>
      <c r="W121" s="46" t="s">
        <v>1640</v>
      </c>
      <c r="X121" s="49" t="s">
        <v>321</v>
      </c>
    </row>
    <row r="122" spans="1:24" ht="15" customHeight="1" x14ac:dyDescent="0.25">
      <c r="A122" s="54" t="s">
        <v>3262</v>
      </c>
      <c r="B122" s="54" t="s">
        <v>3263</v>
      </c>
      <c r="C122" s="54" t="s">
        <v>671</v>
      </c>
      <c r="D122" s="54" t="s">
        <v>3076</v>
      </c>
      <c r="E122" s="55">
        <v>630.1</v>
      </c>
      <c r="F122" s="54">
        <v>6.1</v>
      </c>
      <c r="G122" s="54">
        <v>8</v>
      </c>
      <c r="H122" s="54">
        <f t="shared" si="6"/>
        <v>7.1</v>
      </c>
      <c r="I122" s="54">
        <v>29.7</v>
      </c>
      <c r="J122" s="54">
        <v>27.3</v>
      </c>
      <c r="K122" s="54">
        <v>16.7</v>
      </c>
      <c r="L122" s="54">
        <v>8</v>
      </c>
      <c r="M122" s="54">
        <v>512.4</v>
      </c>
      <c r="N122" s="54">
        <v>736</v>
      </c>
      <c r="O122" s="54">
        <v>1941</v>
      </c>
      <c r="P122" s="54">
        <v>3143</v>
      </c>
      <c r="Q122" s="54" t="s">
        <v>3027</v>
      </c>
      <c r="R122" s="54" t="s">
        <v>587</v>
      </c>
      <c r="S122" s="54" t="s">
        <v>575</v>
      </c>
      <c r="T122" s="54" t="s">
        <v>587</v>
      </c>
      <c r="U122" s="55">
        <f t="shared" si="7"/>
        <v>22.37</v>
      </c>
      <c r="V122" s="54" t="s">
        <v>1640</v>
      </c>
      <c r="W122" s="54" t="s">
        <v>622</v>
      </c>
      <c r="X122" s="57" t="s">
        <v>495</v>
      </c>
    </row>
    <row r="123" spans="1:24" ht="15" customHeight="1" x14ac:dyDescent="0.25">
      <c r="A123" s="50" t="s">
        <v>3264</v>
      </c>
      <c r="B123" s="50" t="s">
        <v>3265</v>
      </c>
      <c r="C123" s="50" t="s">
        <v>614</v>
      </c>
      <c r="D123" s="50" t="s">
        <v>667</v>
      </c>
      <c r="E123" s="51">
        <v>605.29</v>
      </c>
      <c r="F123" s="50">
        <v>2.7</v>
      </c>
      <c r="G123" s="50">
        <v>4.8</v>
      </c>
      <c r="H123" s="50">
        <f t="shared" si="6"/>
        <v>3.8</v>
      </c>
      <c r="I123" s="50">
        <v>61</v>
      </c>
      <c r="J123" s="50">
        <v>8.8000000000000007</v>
      </c>
      <c r="K123" s="50">
        <v>27.6</v>
      </c>
      <c r="L123" s="50">
        <v>4</v>
      </c>
      <c r="M123" s="50">
        <v>99.1</v>
      </c>
      <c r="N123" s="50">
        <v>284</v>
      </c>
      <c r="O123" s="50">
        <v>77</v>
      </c>
      <c r="P123" s="50">
        <v>137</v>
      </c>
      <c r="Q123" s="50" t="s">
        <v>3011</v>
      </c>
      <c r="R123" s="50" t="s">
        <v>3015</v>
      </c>
      <c r="S123" s="50" t="s">
        <v>618</v>
      </c>
      <c r="T123" s="50" t="s">
        <v>576</v>
      </c>
      <c r="U123" s="51">
        <f t="shared" si="7"/>
        <v>11.5</v>
      </c>
      <c r="V123" s="50" t="s">
        <v>1676</v>
      </c>
      <c r="W123" s="50" t="s">
        <v>1676</v>
      </c>
      <c r="X123" s="53" t="s">
        <v>266</v>
      </c>
    </row>
    <row r="124" spans="1:24" ht="15" customHeight="1" x14ac:dyDescent="0.25">
      <c r="A124" s="46" t="s">
        <v>3266</v>
      </c>
      <c r="B124" s="46" t="s">
        <v>3267</v>
      </c>
      <c r="C124" s="46" t="s">
        <v>713</v>
      </c>
      <c r="D124" s="46" t="s">
        <v>667</v>
      </c>
      <c r="E124" s="47">
        <v>148.9</v>
      </c>
      <c r="F124" s="46">
        <v>2.6</v>
      </c>
      <c r="G124" s="46">
        <v>7.9</v>
      </c>
      <c r="H124" s="46">
        <f t="shared" si="6"/>
        <v>5.3</v>
      </c>
      <c r="I124" s="46">
        <v>41.2</v>
      </c>
      <c r="J124" s="46">
        <v>72.5</v>
      </c>
      <c r="K124" s="46">
        <v>32.700000000000003</v>
      </c>
      <c r="L124" s="46">
        <v>6.9</v>
      </c>
      <c r="M124" s="46">
        <v>289.8</v>
      </c>
      <c r="N124" s="46">
        <v>1600</v>
      </c>
      <c r="O124" s="46">
        <v>1494</v>
      </c>
      <c r="P124" s="46">
        <v>11047</v>
      </c>
      <c r="Q124" s="46" t="s">
        <v>3014</v>
      </c>
      <c r="R124" s="46" t="s">
        <v>587</v>
      </c>
      <c r="S124" s="46" t="s">
        <v>716</v>
      </c>
      <c r="T124" s="46" t="s">
        <v>576</v>
      </c>
      <c r="U124" s="47">
        <f t="shared" si="7"/>
        <v>3.95</v>
      </c>
      <c r="V124" s="46" t="s">
        <v>1676</v>
      </c>
      <c r="W124" s="46" t="s">
        <v>1640</v>
      </c>
      <c r="X124" s="49" t="s">
        <v>321</v>
      </c>
    </row>
    <row r="125" spans="1:24" ht="15" customHeight="1" x14ac:dyDescent="0.25">
      <c r="A125" s="50" t="s">
        <v>3268</v>
      </c>
      <c r="B125" s="50" t="s">
        <v>3269</v>
      </c>
      <c r="C125" s="50" t="s">
        <v>611</v>
      </c>
      <c r="D125" s="50" t="s">
        <v>630</v>
      </c>
      <c r="E125" s="51">
        <v>510.94</v>
      </c>
      <c r="F125" s="50">
        <v>1.9</v>
      </c>
      <c r="G125" s="50">
        <v>4.4000000000000004</v>
      </c>
      <c r="H125" s="50">
        <f t="shared" si="6"/>
        <v>3.2</v>
      </c>
      <c r="I125" s="50">
        <v>82.8</v>
      </c>
      <c r="J125" s="50">
        <v>40.200000000000003</v>
      </c>
      <c r="K125" s="50">
        <v>62.3</v>
      </c>
      <c r="L125" s="50">
        <v>5.8</v>
      </c>
      <c r="M125" s="50">
        <v>382.7</v>
      </c>
      <c r="N125" s="50">
        <v>3680</v>
      </c>
      <c r="O125" s="50">
        <v>445</v>
      </c>
      <c r="P125" s="50">
        <v>1100</v>
      </c>
      <c r="Q125" s="50" t="s">
        <v>3018</v>
      </c>
      <c r="R125" s="50" t="s">
        <v>576</v>
      </c>
      <c r="S125" s="50" t="s">
        <v>638</v>
      </c>
      <c r="T125" s="50" t="s">
        <v>587</v>
      </c>
      <c r="U125" s="51">
        <f t="shared" si="7"/>
        <v>8.18</v>
      </c>
      <c r="V125" s="50" t="s">
        <v>622</v>
      </c>
      <c r="W125" s="50" t="s">
        <v>1676</v>
      </c>
      <c r="X125" s="53" t="s">
        <v>266</v>
      </c>
    </row>
    <row r="126" spans="1:24" ht="15" customHeight="1" x14ac:dyDescent="0.25">
      <c r="A126" s="46" t="s">
        <v>3270</v>
      </c>
      <c r="B126" s="46" t="s">
        <v>3271</v>
      </c>
      <c r="C126" s="46" t="s">
        <v>680</v>
      </c>
      <c r="D126" s="46" t="s">
        <v>649</v>
      </c>
      <c r="E126" s="47">
        <v>362.78</v>
      </c>
      <c r="F126" s="46">
        <v>5.5</v>
      </c>
      <c r="G126" s="46">
        <v>6</v>
      </c>
      <c r="H126" s="46">
        <f t="shared" si="6"/>
        <v>5.8</v>
      </c>
      <c r="I126" s="46">
        <v>20.7</v>
      </c>
      <c r="J126" s="46">
        <v>10.5</v>
      </c>
      <c r="K126" s="46">
        <v>38.799999999999997</v>
      </c>
      <c r="L126" s="46">
        <v>8.9</v>
      </c>
      <c r="M126" s="46">
        <v>66.599999999999994</v>
      </c>
      <c r="N126" s="46">
        <v>854</v>
      </c>
      <c r="O126" s="46">
        <v>56</v>
      </c>
      <c r="P126" s="46">
        <v>1219</v>
      </c>
      <c r="Q126" s="46" t="s">
        <v>3053</v>
      </c>
      <c r="R126" s="46" t="s">
        <v>576</v>
      </c>
      <c r="S126" s="46" t="s">
        <v>678</v>
      </c>
      <c r="T126" s="46" t="s">
        <v>587</v>
      </c>
      <c r="U126" s="47">
        <f t="shared" si="7"/>
        <v>10.52</v>
      </c>
      <c r="V126" s="46" t="s">
        <v>1640</v>
      </c>
      <c r="W126" s="46" t="s">
        <v>1640</v>
      </c>
      <c r="X126" s="49" t="s">
        <v>321</v>
      </c>
    </row>
    <row r="127" spans="1:24" ht="15" customHeight="1" x14ac:dyDescent="0.25">
      <c r="A127" s="50" t="s">
        <v>3272</v>
      </c>
      <c r="B127" s="50" t="s">
        <v>3273</v>
      </c>
      <c r="C127" s="50" t="s">
        <v>3101</v>
      </c>
      <c r="D127" s="50" t="s">
        <v>667</v>
      </c>
      <c r="E127" s="51">
        <v>465.09</v>
      </c>
      <c r="F127" s="50">
        <v>4.8</v>
      </c>
      <c r="G127" s="50">
        <v>2.2999999999999998</v>
      </c>
      <c r="H127" s="50">
        <f t="shared" si="6"/>
        <v>3.6</v>
      </c>
      <c r="I127" s="50">
        <v>13.9</v>
      </c>
      <c r="J127" s="50">
        <v>16.5</v>
      </c>
      <c r="K127" s="50">
        <v>15.6</v>
      </c>
      <c r="L127" s="50">
        <v>3.3</v>
      </c>
      <c r="M127" s="50">
        <v>115.6</v>
      </c>
      <c r="N127" s="50">
        <v>955</v>
      </c>
      <c r="O127" s="50">
        <v>295</v>
      </c>
      <c r="P127" s="50">
        <v>1501</v>
      </c>
      <c r="Q127" s="50" t="s">
        <v>3027</v>
      </c>
      <c r="R127" s="50" t="s">
        <v>587</v>
      </c>
      <c r="S127" s="50" t="s">
        <v>602</v>
      </c>
      <c r="T127" s="50" t="s">
        <v>587</v>
      </c>
      <c r="U127" s="51">
        <f t="shared" si="7"/>
        <v>8.3699999999999992</v>
      </c>
      <c r="V127" s="50" t="s">
        <v>622</v>
      </c>
      <c r="W127" s="50" t="s">
        <v>1676</v>
      </c>
      <c r="X127" s="53" t="s">
        <v>266</v>
      </c>
    </row>
    <row r="128" spans="1:24" ht="15" customHeight="1" x14ac:dyDescent="0.25">
      <c r="A128" s="54" t="s">
        <v>3274</v>
      </c>
      <c r="B128" s="54" t="s">
        <v>3275</v>
      </c>
      <c r="C128" s="54" t="s">
        <v>655</v>
      </c>
      <c r="D128" s="54" t="s">
        <v>3049</v>
      </c>
      <c r="E128" s="55">
        <v>410.17</v>
      </c>
      <c r="F128" s="54">
        <v>9.8000000000000007</v>
      </c>
      <c r="G128" s="54">
        <v>6.7</v>
      </c>
      <c r="H128" s="54">
        <f t="shared" si="6"/>
        <v>8.3000000000000007</v>
      </c>
      <c r="I128" s="54">
        <v>34.5</v>
      </c>
      <c r="J128" s="54">
        <v>23.5</v>
      </c>
      <c r="K128" s="54">
        <v>34.9</v>
      </c>
      <c r="L128" s="54">
        <v>3.8</v>
      </c>
      <c r="M128" s="54">
        <v>205.5</v>
      </c>
      <c r="N128" s="54">
        <v>5066</v>
      </c>
      <c r="O128" s="54">
        <v>1152</v>
      </c>
      <c r="P128" s="54">
        <v>9248</v>
      </c>
      <c r="Q128" s="54" t="s">
        <v>3057</v>
      </c>
      <c r="R128" s="54" t="s">
        <v>587</v>
      </c>
      <c r="S128" s="54" t="s">
        <v>602</v>
      </c>
      <c r="T128" s="54" t="s">
        <v>587</v>
      </c>
      <c r="U128" s="55">
        <f t="shared" si="7"/>
        <v>17.02</v>
      </c>
      <c r="V128" s="54" t="s">
        <v>1676</v>
      </c>
      <c r="W128" s="54" t="s">
        <v>622</v>
      </c>
      <c r="X128" s="57" t="s">
        <v>495</v>
      </c>
    </row>
    <row r="129" spans="1:24" ht="15" customHeight="1" x14ac:dyDescent="0.25">
      <c r="A129" s="46" t="s">
        <v>3276</v>
      </c>
      <c r="B129" s="46" t="s">
        <v>3277</v>
      </c>
      <c r="C129" s="46" t="s">
        <v>655</v>
      </c>
      <c r="D129" s="46" t="s">
        <v>605</v>
      </c>
      <c r="E129" s="47">
        <v>663.97</v>
      </c>
      <c r="F129" s="46">
        <v>3.3</v>
      </c>
      <c r="G129" s="46">
        <v>6.9</v>
      </c>
      <c r="H129" s="46">
        <f t="shared" si="6"/>
        <v>5.0999999999999996</v>
      </c>
      <c r="I129" s="46">
        <v>27.8</v>
      </c>
      <c r="J129" s="46">
        <v>37.700000000000003</v>
      </c>
      <c r="K129" s="46">
        <v>48.9</v>
      </c>
      <c r="L129" s="46">
        <v>8.8000000000000007</v>
      </c>
      <c r="M129" s="46">
        <v>530.5</v>
      </c>
      <c r="N129" s="46">
        <v>1128</v>
      </c>
      <c r="O129" s="46">
        <v>656</v>
      </c>
      <c r="P129" s="46">
        <v>3292</v>
      </c>
      <c r="Q129" s="46" t="s">
        <v>3027</v>
      </c>
      <c r="R129" s="46" t="s">
        <v>576</v>
      </c>
      <c r="S129" s="46" t="s">
        <v>678</v>
      </c>
      <c r="T129" s="46" t="s">
        <v>587</v>
      </c>
      <c r="U129" s="47">
        <f t="shared" si="7"/>
        <v>16.93</v>
      </c>
      <c r="V129" s="46" t="s">
        <v>1640</v>
      </c>
      <c r="W129" s="46" t="s">
        <v>1640</v>
      </c>
      <c r="X129" s="49" t="s">
        <v>321</v>
      </c>
    </row>
    <row r="130" spans="1:24" ht="25.5" customHeight="1" x14ac:dyDescent="0.25">
      <c r="A130" s="54" t="s">
        <v>3278</v>
      </c>
      <c r="B130" s="54" t="s">
        <v>3279</v>
      </c>
      <c r="C130" s="54" t="s">
        <v>614</v>
      </c>
      <c r="D130" s="54" t="s">
        <v>3076</v>
      </c>
      <c r="E130" s="55">
        <v>449.6</v>
      </c>
      <c r="F130" s="54">
        <v>7.6</v>
      </c>
      <c r="G130" s="54">
        <v>9.8000000000000007</v>
      </c>
      <c r="H130" s="54">
        <f t="shared" si="6"/>
        <v>8.6999999999999993</v>
      </c>
      <c r="I130" s="54">
        <v>59.6</v>
      </c>
      <c r="J130" s="54">
        <v>48.5</v>
      </c>
      <c r="K130" s="54">
        <v>53.6</v>
      </c>
      <c r="L130" s="54">
        <v>1.8</v>
      </c>
      <c r="M130" s="54">
        <v>77</v>
      </c>
      <c r="N130" s="54">
        <v>842</v>
      </c>
      <c r="O130" s="54">
        <v>253</v>
      </c>
      <c r="P130" s="54">
        <v>944</v>
      </c>
      <c r="Q130" s="54" t="s">
        <v>3027</v>
      </c>
      <c r="R130" s="54" t="s">
        <v>3015</v>
      </c>
      <c r="S130" s="54" t="s">
        <v>575</v>
      </c>
      <c r="T130" s="54" t="s">
        <v>576</v>
      </c>
      <c r="U130" s="55">
        <f t="shared" si="7"/>
        <v>19.559999999999999</v>
      </c>
      <c r="V130" s="54" t="s">
        <v>1640</v>
      </c>
      <c r="W130" s="54" t="s">
        <v>622</v>
      </c>
      <c r="X130" s="57" t="s">
        <v>495</v>
      </c>
    </row>
    <row r="131" spans="1:24" ht="15" customHeight="1" x14ac:dyDescent="0.25">
      <c r="A131" s="54" t="s">
        <v>3280</v>
      </c>
      <c r="B131" s="54" t="s">
        <v>3281</v>
      </c>
      <c r="C131" s="54" t="s">
        <v>611</v>
      </c>
      <c r="D131" s="54" t="s">
        <v>656</v>
      </c>
      <c r="E131" s="55">
        <v>174.56</v>
      </c>
      <c r="F131" s="54">
        <v>8.5</v>
      </c>
      <c r="G131" s="54">
        <v>5.9</v>
      </c>
      <c r="H131" s="54">
        <f t="shared" ref="H131:H162" si="8">ROUND((F131+G131)/2,1)</f>
        <v>7.2</v>
      </c>
      <c r="I131" s="54">
        <v>59.8</v>
      </c>
      <c r="J131" s="54">
        <v>62.4</v>
      </c>
      <c r="K131" s="54">
        <v>58.7</v>
      </c>
      <c r="L131" s="54">
        <v>4.2</v>
      </c>
      <c r="M131" s="54">
        <v>155.69999999999999</v>
      </c>
      <c r="N131" s="54">
        <v>4947</v>
      </c>
      <c r="O131" s="54">
        <v>448</v>
      </c>
      <c r="P131" s="54">
        <v>14126</v>
      </c>
      <c r="Q131" s="54" t="s">
        <v>3014</v>
      </c>
      <c r="R131" s="54" t="s">
        <v>3015</v>
      </c>
      <c r="S131" s="54" t="s">
        <v>618</v>
      </c>
      <c r="T131" s="54" t="s">
        <v>576</v>
      </c>
      <c r="U131" s="55">
        <f t="shared" ref="U131:U162" si="9">ROUND(E131*H131/100*0.5,2)</f>
        <v>6.28</v>
      </c>
      <c r="V131" s="54" t="s">
        <v>1676</v>
      </c>
      <c r="W131" s="54" t="s">
        <v>622</v>
      </c>
      <c r="X131" s="57" t="s">
        <v>495</v>
      </c>
    </row>
    <row r="132" spans="1:24" ht="15" customHeight="1" x14ac:dyDescent="0.25">
      <c r="A132" s="50" t="s">
        <v>3282</v>
      </c>
      <c r="B132" s="50" t="s">
        <v>3283</v>
      </c>
      <c r="C132" s="50" t="s">
        <v>840</v>
      </c>
      <c r="D132" s="50" t="s">
        <v>597</v>
      </c>
      <c r="E132" s="51">
        <v>514.59</v>
      </c>
      <c r="F132" s="50">
        <v>2.7</v>
      </c>
      <c r="G132" s="50">
        <v>4.5</v>
      </c>
      <c r="H132" s="50">
        <f t="shared" si="8"/>
        <v>3.6</v>
      </c>
      <c r="I132" s="50">
        <v>84.5</v>
      </c>
      <c r="J132" s="50">
        <v>73.5</v>
      </c>
      <c r="K132" s="50">
        <v>23.1</v>
      </c>
      <c r="L132" s="50">
        <v>5.9</v>
      </c>
      <c r="M132" s="50">
        <v>523.4</v>
      </c>
      <c r="N132" s="50">
        <v>2685</v>
      </c>
      <c r="O132" s="50">
        <v>1139</v>
      </c>
      <c r="P132" s="50">
        <v>6423</v>
      </c>
      <c r="Q132" s="50" t="s">
        <v>3027</v>
      </c>
      <c r="R132" s="50" t="s">
        <v>587</v>
      </c>
      <c r="S132" s="50" t="s">
        <v>716</v>
      </c>
      <c r="T132" s="50" t="s">
        <v>576</v>
      </c>
      <c r="U132" s="51">
        <f t="shared" si="9"/>
        <v>9.26</v>
      </c>
      <c r="V132" s="50" t="s">
        <v>622</v>
      </c>
      <c r="W132" s="50" t="s">
        <v>1676</v>
      </c>
      <c r="X132" s="53" t="s">
        <v>266</v>
      </c>
    </row>
    <row r="133" spans="1:24" ht="15" customHeight="1" x14ac:dyDescent="0.25">
      <c r="A133" s="46" t="s">
        <v>3284</v>
      </c>
      <c r="B133" s="46" t="s">
        <v>3285</v>
      </c>
      <c r="C133" s="46" t="s">
        <v>614</v>
      </c>
      <c r="D133" s="46" t="s">
        <v>605</v>
      </c>
      <c r="E133" s="47">
        <v>531.20000000000005</v>
      </c>
      <c r="F133" s="46">
        <v>5.6</v>
      </c>
      <c r="G133" s="46">
        <v>7.4</v>
      </c>
      <c r="H133" s="46">
        <f t="shared" si="8"/>
        <v>6.5</v>
      </c>
      <c r="I133" s="46">
        <v>36.700000000000003</v>
      </c>
      <c r="J133" s="46">
        <v>38.200000000000003</v>
      </c>
      <c r="K133" s="46">
        <v>20.8</v>
      </c>
      <c r="L133" s="46">
        <v>9.1</v>
      </c>
      <c r="M133" s="46">
        <v>129.5</v>
      </c>
      <c r="N133" s="46">
        <v>403</v>
      </c>
      <c r="O133" s="46">
        <v>138</v>
      </c>
      <c r="P133" s="46">
        <v>1242</v>
      </c>
      <c r="Q133" s="46" t="s">
        <v>3057</v>
      </c>
      <c r="R133" s="46" t="s">
        <v>587</v>
      </c>
      <c r="S133" s="46" t="s">
        <v>653</v>
      </c>
      <c r="T133" s="46" t="s">
        <v>587</v>
      </c>
      <c r="U133" s="47">
        <f t="shared" si="9"/>
        <v>17.260000000000002</v>
      </c>
      <c r="V133" s="46" t="s">
        <v>1640</v>
      </c>
      <c r="W133" s="46" t="s">
        <v>1640</v>
      </c>
      <c r="X133" s="49" t="s">
        <v>321</v>
      </c>
    </row>
    <row r="134" spans="1:24" ht="15" customHeight="1" x14ac:dyDescent="0.25">
      <c r="A134" s="54" t="s">
        <v>3286</v>
      </c>
      <c r="B134" s="54" t="s">
        <v>3287</v>
      </c>
      <c r="C134" s="54" t="s">
        <v>840</v>
      </c>
      <c r="D134" s="54" t="s">
        <v>649</v>
      </c>
      <c r="E134" s="55">
        <v>84.77</v>
      </c>
      <c r="F134" s="54">
        <v>5.8</v>
      </c>
      <c r="G134" s="54">
        <v>8.4</v>
      </c>
      <c r="H134" s="54">
        <f t="shared" si="8"/>
        <v>7.1</v>
      </c>
      <c r="I134" s="54">
        <v>75.3</v>
      </c>
      <c r="J134" s="54">
        <v>53.2</v>
      </c>
      <c r="K134" s="54">
        <v>32.5</v>
      </c>
      <c r="L134" s="54">
        <v>6.6</v>
      </c>
      <c r="M134" s="54">
        <v>352.7</v>
      </c>
      <c r="N134" s="54">
        <v>5025</v>
      </c>
      <c r="O134" s="54">
        <v>638</v>
      </c>
      <c r="P134" s="54">
        <v>1255</v>
      </c>
      <c r="Q134" s="54" t="s">
        <v>3011</v>
      </c>
      <c r="R134" s="54" t="s">
        <v>3015</v>
      </c>
      <c r="S134" s="54" t="s">
        <v>653</v>
      </c>
      <c r="T134" s="54" t="s">
        <v>587</v>
      </c>
      <c r="U134" s="55">
        <f t="shared" si="9"/>
        <v>3.01</v>
      </c>
      <c r="V134" s="54" t="s">
        <v>1676</v>
      </c>
      <c r="W134" s="54" t="s">
        <v>622</v>
      </c>
      <c r="X134" s="57" t="s">
        <v>495</v>
      </c>
    </row>
    <row r="135" spans="1:24" ht="15" customHeight="1" x14ac:dyDescent="0.25">
      <c r="A135" s="54" t="s">
        <v>3288</v>
      </c>
      <c r="B135" s="54" t="s">
        <v>3289</v>
      </c>
      <c r="C135" s="54" t="s">
        <v>571</v>
      </c>
      <c r="D135" s="54" t="s">
        <v>589</v>
      </c>
      <c r="E135" s="55">
        <v>130.16999999999999</v>
      </c>
      <c r="F135" s="54">
        <v>5.8</v>
      </c>
      <c r="G135" s="54">
        <v>9.6</v>
      </c>
      <c r="H135" s="54">
        <f t="shared" si="8"/>
        <v>7.7</v>
      </c>
      <c r="I135" s="54">
        <v>46</v>
      </c>
      <c r="J135" s="54">
        <v>22.9</v>
      </c>
      <c r="K135" s="54">
        <v>36.4</v>
      </c>
      <c r="L135" s="54">
        <v>4.5</v>
      </c>
      <c r="M135" s="54">
        <v>100.9</v>
      </c>
      <c r="N135" s="54">
        <v>643</v>
      </c>
      <c r="O135" s="54">
        <v>267</v>
      </c>
      <c r="P135" s="54">
        <v>2501</v>
      </c>
      <c r="Q135" s="54" t="s">
        <v>3018</v>
      </c>
      <c r="R135" s="54" t="s">
        <v>3015</v>
      </c>
      <c r="S135" s="54" t="s">
        <v>609</v>
      </c>
      <c r="T135" s="54" t="s">
        <v>576</v>
      </c>
      <c r="U135" s="55">
        <f t="shared" si="9"/>
        <v>5.01</v>
      </c>
      <c r="V135" s="54" t="s">
        <v>1640</v>
      </c>
      <c r="W135" s="54" t="s">
        <v>622</v>
      </c>
      <c r="X135" s="57" t="s">
        <v>495</v>
      </c>
    </row>
    <row r="136" spans="1:24" ht="15" customHeight="1" x14ac:dyDescent="0.25">
      <c r="A136" s="50" t="s">
        <v>3290</v>
      </c>
      <c r="B136" s="50" t="s">
        <v>3291</v>
      </c>
      <c r="C136" s="50" t="s">
        <v>671</v>
      </c>
      <c r="D136" s="50" t="s">
        <v>3049</v>
      </c>
      <c r="E136" s="51">
        <v>426.2</v>
      </c>
      <c r="F136" s="50">
        <v>2.2000000000000002</v>
      </c>
      <c r="G136" s="50">
        <v>5.3</v>
      </c>
      <c r="H136" s="50">
        <f t="shared" si="8"/>
        <v>3.8</v>
      </c>
      <c r="I136" s="50">
        <v>26.9</v>
      </c>
      <c r="J136" s="50">
        <v>36.5</v>
      </c>
      <c r="K136" s="50">
        <v>11.5</v>
      </c>
      <c r="L136" s="50">
        <v>4.4000000000000004</v>
      </c>
      <c r="M136" s="50">
        <v>166.4</v>
      </c>
      <c r="N136" s="50">
        <v>1233</v>
      </c>
      <c r="O136" s="50">
        <v>2413</v>
      </c>
      <c r="P136" s="50">
        <v>13250</v>
      </c>
      <c r="Q136" s="50" t="s">
        <v>3053</v>
      </c>
      <c r="R136" s="50" t="s">
        <v>3015</v>
      </c>
      <c r="S136" s="50" t="s">
        <v>575</v>
      </c>
      <c r="T136" s="50" t="s">
        <v>576</v>
      </c>
      <c r="U136" s="51">
        <f t="shared" si="9"/>
        <v>8.1</v>
      </c>
      <c r="V136" s="50" t="s">
        <v>1640</v>
      </c>
      <c r="W136" s="50" t="s">
        <v>1676</v>
      </c>
      <c r="X136" s="53" t="s">
        <v>266</v>
      </c>
    </row>
    <row r="137" spans="1:24" ht="15" customHeight="1" x14ac:dyDescent="0.25">
      <c r="A137" s="50" t="s">
        <v>3292</v>
      </c>
      <c r="B137" s="50" t="s">
        <v>3293</v>
      </c>
      <c r="C137" s="50" t="s">
        <v>611</v>
      </c>
      <c r="D137" s="50" t="s">
        <v>819</v>
      </c>
      <c r="E137" s="51">
        <v>182.43</v>
      </c>
      <c r="F137" s="50">
        <v>6</v>
      </c>
      <c r="G137" s="50">
        <v>3</v>
      </c>
      <c r="H137" s="50">
        <f t="shared" si="8"/>
        <v>4.5</v>
      </c>
      <c r="I137" s="50">
        <v>41</v>
      </c>
      <c r="J137" s="50">
        <v>41.5</v>
      </c>
      <c r="K137" s="50">
        <v>17.8</v>
      </c>
      <c r="L137" s="50">
        <v>8.1</v>
      </c>
      <c r="M137" s="50">
        <v>217.9</v>
      </c>
      <c r="N137" s="50">
        <v>1423</v>
      </c>
      <c r="O137" s="50">
        <v>2451</v>
      </c>
      <c r="P137" s="50">
        <v>9191</v>
      </c>
      <c r="Q137" s="50" t="s">
        <v>3014</v>
      </c>
      <c r="R137" s="50" t="s">
        <v>587</v>
      </c>
      <c r="S137" s="50" t="s">
        <v>609</v>
      </c>
      <c r="T137" s="50" t="s">
        <v>576</v>
      </c>
      <c r="U137" s="51">
        <f t="shared" si="9"/>
        <v>4.0999999999999996</v>
      </c>
      <c r="V137" s="50" t="s">
        <v>1676</v>
      </c>
      <c r="W137" s="50" t="s">
        <v>1676</v>
      </c>
      <c r="X137" s="53" t="s">
        <v>266</v>
      </c>
    </row>
    <row r="138" spans="1:24" ht="15" customHeight="1" x14ac:dyDescent="0.25">
      <c r="A138" s="50" t="s">
        <v>3294</v>
      </c>
      <c r="B138" s="50" t="s">
        <v>3295</v>
      </c>
      <c r="C138" s="50" t="s">
        <v>680</v>
      </c>
      <c r="D138" s="50" t="s">
        <v>3052</v>
      </c>
      <c r="E138" s="51">
        <v>384.54</v>
      </c>
      <c r="F138" s="50">
        <v>1.4</v>
      </c>
      <c r="G138" s="50">
        <v>6.2</v>
      </c>
      <c r="H138" s="50">
        <f t="shared" si="8"/>
        <v>3.8</v>
      </c>
      <c r="I138" s="50">
        <v>78.900000000000006</v>
      </c>
      <c r="J138" s="50">
        <v>16.7</v>
      </c>
      <c r="K138" s="50">
        <v>10.5</v>
      </c>
      <c r="L138" s="50">
        <v>8.3000000000000007</v>
      </c>
      <c r="M138" s="50">
        <v>21.9</v>
      </c>
      <c r="N138" s="50">
        <v>285</v>
      </c>
      <c r="O138" s="50">
        <v>139</v>
      </c>
      <c r="P138" s="50">
        <v>108</v>
      </c>
      <c r="Q138" s="50" t="s">
        <v>3014</v>
      </c>
      <c r="R138" s="50" t="s">
        <v>576</v>
      </c>
      <c r="S138" s="50" t="s">
        <v>678</v>
      </c>
      <c r="T138" s="50" t="s">
        <v>587</v>
      </c>
      <c r="U138" s="51">
        <f t="shared" si="9"/>
        <v>7.31</v>
      </c>
      <c r="V138" s="50" t="s">
        <v>1640</v>
      </c>
      <c r="W138" s="50" t="s">
        <v>1676</v>
      </c>
      <c r="X138" s="53" t="s">
        <v>266</v>
      </c>
    </row>
    <row r="139" spans="1:24" ht="25.5" customHeight="1" x14ac:dyDescent="0.25">
      <c r="A139" s="54" t="s">
        <v>3296</v>
      </c>
      <c r="B139" s="54" t="s">
        <v>3297</v>
      </c>
      <c r="C139" s="54" t="s">
        <v>3040</v>
      </c>
      <c r="D139" s="54" t="s">
        <v>649</v>
      </c>
      <c r="E139" s="55">
        <v>124.5</v>
      </c>
      <c r="F139" s="54">
        <v>9.1999999999999993</v>
      </c>
      <c r="G139" s="54">
        <v>5.6</v>
      </c>
      <c r="H139" s="54">
        <f t="shared" si="8"/>
        <v>7.4</v>
      </c>
      <c r="I139" s="54">
        <v>55.5</v>
      </c>
      <c r="J139" s="54">
        <v>52</v>
      </c>
      <c r="K139" s="54">
        <v>37.6</v>
      </c>
      <c r="L139" s="54">
        <v>8.1999999999999993</v>
      </c>
      <c r="M139" s="54">
        <v>366.4</v>
      </c>
      <c r="N139" s="54">
        <v>3664</v>
      </c>
      <c r="O139" s="54">
        <v>698</v>
      </c>
      <c r="P139" s="54">
        <v>1183</v>
      </c>
      <c r="Q139" s="54" t="s">
        <v>3018</v>
      </c>
      <c r="R139" s="54" t="s">
        <v>576</v>
      </c>
      <c r="S139" s="54" t="s">
        <v>575</v>
      </c>
      <c r="T139" s="54" t="s">
        <v>576</v>
      </c>
      <c r="U139" s="55">
        <f t="shared" si="9"/>
        <v>4.6100000000000003</v>
      </c>
      <c r="V139" s="54" t="s">
        <v>1640</v>
      </c>
      <c r="W139" s="54" t="s">
        <v>622</v>
      </c>
      <c r="X139" s="57" t="s">
        <v>495</v>
      </c>
    </row>
    <row r="140" spans="1:24" ht="15" customHeight="1" x14ac:dyDescent="0.25">
      <c r="A140" s="50" t="s">
        <v>3298</v>
      </c>
      <c r="B140" s="50" t="s">
        <v>3299</v>
      </c>
      <c r="C140" s="50" t="s">
        <v>3040</v>
      </c>
      <c r="D140" s="50" t="s">
        <v>688</v>
      </c>
      <c r="E140" s="51">
        <v>110.41</v>
      </c>
      <c r="F140" s="50">
        <v>1.6</v>
      </c>
      <c r="G140" s="50">
        <v>7.5</v>
      </c>
      <c r="H140" s="50">
        <f t="shared" si="8"/>
        <v>4.5999999999999996</v>
      </c>
      <c r="I140" s="50">
        <v>76.8</v>
      </c>
      <c r="J140" s="50">
        <v>25.3</v>
      </c>
      <c r="K140" s="50">
        <v>22.8</v>
      </c>
      <c r="L140" s="50">
        <v>3.2</v>
      </c>
      <c r="M140" s="50">
        <v>574.5</v>
      </c>
      <c r="N140" s="50">
        <v>5330</v>
      </c>
      <c r="O140" s="50">
        <v>2290</v>
      </c>
      <c r="P140" s="50">
        <v>13371</v>
      </c>
      <c r="Q140" s="50" t="s">
        <v>3014</v>
      </c>
      <c r="R140" s="50" t="s">
        <v>587</v>
      </c>
      <c r="S140" s="50" t="s">
        <v>575</v>
      </c>
      <c r="T140" s="50" t="s">
        <v>587</v>
      </c>
      <c r="U140" s="51">
        <f t="shared" si="9"/>
        <v>2.54</v>
      </c>
      <c r="V140" s="50" t="s">
        <v>622</v>
      </c>
      <c r="W140" s="50" t="s">
        <v>1676</v>
      </c>
      <c r="X140" s="53" t="s">
        <v>266</v>
      </c>
    </row>
    <row r="141" spans="1:24" ht="15" customHeight="1" x14ac:dyDescent="0.25">
      <c r="A141" s="46" t="s">
        <v>3300</v>
      </c>
      <c r="B141" s="46" t="s">
        <v>3301</v>
      </c>
      <c r="C141" s="46" t="s">
        <v>571</v>
      </c>
      <c r="D141" s="46" t="s">
        <v>667</v>
      </c>
      <c r="E141" s="47">
        <v>176.74</v>
      </c>
      <c r="F141" s="46">
        <v>3.8</v>
      </c>
      <c r="G141" s="46">
        <v>8.8000000000000007</v>
      </c>
      <c r="H141" s="46">
        <f t="shared" si="8"/>
        <v>6.3</v>
      </c>
      <c r="I141" s="46">
        <v>52.1</v>
      </c>
      <c r="J141" s="46">
        <v>63.2</v>
      </c>
      <c r="K141" s="46">
        <v>52</v>
      </c>
      <c r="L141" s="46">
        <v>1.3</v>
      </c>
      <c r="M141" s="46">
        <v>45.8</v>
      </c>
      <c r="N141" s="46">
        <v>841</v>
      </c>
      <c r="O141" s="46">
        <v>58</v>
      </c>
      <c r="P141" s="46">
        <v>1972</v>
      </c>
      <c r="Q141" s="46" t="s">
        <v>3053</v>
      </c>
      <c r="R141" s="46" t="s">
        <v>576</v>
      </c>
      <c r="S141" s="46" t="s">
        <v>716</v>
      </c>
      <c r="T141" s="46" t="s">
        <v>587</v>
      </c>
      <c r="U141" s="47">
        <f t="shared" si="9"/>
        <v>5.57</v>
      </c>
      <c r="V141" s="46" t="s">
        <v>1640</v>
      </c>
      <c r="W141" s="46" t="s">
        <v>1640</v>
      </c>
      <c r="X141" s="49" t="s">
        <v>321</v>
      </c>
    </row>
    <row r="142" spans="1:24" ht="15" customHeight="1" x14ac:dyDescent="0.25">
      <c r="A142" s="50" t="s">
        <v>3302</v>
      </c>
      <c r="B142" s="50" t="s">
        <v>3303</v>
      </c>
      <c r="C142" s="50" t="s">
        <v>671</v>
      </c>
      <c r="D142" s="50" t="s">
        <v>621</v>
      </c>
      <c r="E142" s="51">
        <v>432.41</v>
      </c>
      <c r="F142" s="50">
        <v>4.9000000000000004</v>
      </c>
      <c r="G142" s="50">
        <v>1.7</v>
      </c>
      <c r="H142" s="50">
        <f t="shared" si="8"/>
        <v>3.3</v>
      </c>
      <c r="I142" s="50">
        <v>6.6</v>
      </c>
      <c r="J142" s="50">
        <v>53.2</v>
      </c>
      <c r="K142" s="50">
        <v>30</v>
      </c>
      <c r="L142" s="50">
        <v>9.8000000000000007</v>
      </c>
      <c r="M142" s="50">
        <v>450.8</v>
      </c>
      <c r="N142" s="50">
        <v>3957</v>
      </c>
      <c r="O142" s="50">
        <v>1300</v>
      </c>
      <c r="P142" s="50">
        <v>2507</v>
      </c>
      <c r="Q142" s="50" t="s">
        <v>3014</v>
      </c>
      <c r="R142" s="50" t="s">
        <v>576</v>
      </c>
      <c r="S142" s="50" t="s">
        <v>653</v>
      </c>
      <c r="T142" s="50" t="s">
        <v>587</v>
      </c>
      <c r="U142" s="51">
        <f t="shared" si="9"/>
        <v>7.13</v>
      </c>
      <c r="V142" s="50" t="s">
        <v>1640</v>
      </c>
      <c r="W142" s="50" t="s">
        <v>1676</v>
      </c>
      <c r="X142" s="53" t="s">
        <v>266</v>
      </c>
    </row>
    <row r="143" spans="1:24" ht="15" customHeight="1" x14ac:dyDescent="0.25">
      <c r="A143" s="46" t="s">
        <v>3304</v>
      </c>
      <c r="B143" s="46" t="s">
        <v>3305</v>
      </c>
      <c r="C143" s="46" t="s">
        <v>840</v>
      </c>
      <c r="D143" s="46" t="s">
        <v>3052</v>
      </c>
      <c r="E143" s="47">
        <v>106.25</v>
      </c>
      <c r="F143" s="46">
        <v>1.8</v>
      </c>
      <c r="G143" s="46">
        <v>8.6</v>
      </c>
      <c r="H143" s="46">
        <f t="shared" si="8"/>
        <v>5.2</v>
      </c>
      <c r="I143" s="46">
        <v>84.4</v>
      </c>
      <c r="J143" s="46">
        <v>20.7</v>
      </c>
      <c r="K143" s="46">
        <v>20.5</v>
      </c>
      <c r="L143" s="46">
        <v>8.3000000000000007</v>
      </c>
      <c r="M143" s="46">
        <v>393.7</v>
      </c>
      <c r="N143" s="46">
        <v>1323</v>
      </c>
      <c r="O143" s="46">
        <v>1833</v>
      </c>
      <c r="P143" s="46">
        <v>11061</v>
      </c>
      <c r="Q143" s="46" t="s">
        <v>3018</v>
      </c>
      <c r="R143" s="46" t="s">
        <v>587</v>
      </c>
      <c r="S143" s="46" t="s">
        <v>3054</v>
      </c>
      <c r="T143" s="46" t="s">
        <v>587</v>
      </c>
      <c r="U143" s="47">
        <f t="shared" si="9"/>
        <v>2.76</v>
      </c>
      <c r="V143" s="46" t="s">
        <v>1676</v>
      </c>
      <c r="W143" s="46" t="s">
        <v>1640</v>
      </c>
      <c r="X143" s="49" t="s">
        <v>321</v>
      </c>
    </row>
    <row r="144" spans="1:24" ht="15" customHeight="1" x14ac:dyDescent="0.25">
      <c r="A144" s="54" t="s">
        <v>3306</v>
      </c>
      <c r="B144" s="54" t="s">
        <v>3307</v>
      </c>
      <c r="C144" s="54" t="s">
        <v>680</v>
      </c>
      <c r="D144" s="54" t="s">
        <v>589</v>
      </c>
      <c r="E144" s="55">
        <v>59.78</v>
      </c>
      <c r="F144" s="54">
        <v>8</v>
      </c>
      <c r="G144" s="54">
        <v>7.8</v>
      </c>
      <c r="H144" s="54">
        <f t="shared" si="8"/>
        <v>7.9</v>
      </c>
      <c r="I144" s="54">
        <v>39.4</v>
      </c>
      <c r="J144" s="54">
        <v>43.4</v>
      </c>
      <c r="K144" s="54">
        <v>21.2</v>
      </c>
      <c r="L144" s="54">
        <v>2.2999999999999998</v>
      </c>
      <c r="M144" s="54">
        <v>89.5</v>
      </c>
      <c r="N144" s="54">
        <v>631</v>
      </c>
      <c r="O144" s="54">
        <v>339</v>
      </c>
      <c r="P144" s="54">
        <v>2647</v>
      </c>
      <c r="Q144" s="54" t="s">
        <v>3053</v>
      </c>
      <c r="R144" s="54" t="s">
        <v>576</v>
      </c>
      <c r="S144" s="54" t="s">
        <v>618</v>
      </c>
      <c r="T144" s="54" t="s">
        <v>587</v>
      </c>
      <c r="U144" s="55">
        <f t="shared" si="9"/>
        <v>2.36</v>
      </c>
      <c r="V144" s="54" t="s">
        <v>1676</v>
      </c>
      <c r="W144" s="54" t="s">
        <v>622</v>
      </c>
      <c r="X144" s="57" t="s">
        <v>495</v>
      </c>
    </row>
    <row r="145" spans="1:24" ht="15" customHeight="1" x14ac:dyDescent="0.25">
      <c r="A145" s="46" t="s">
        <v>3308</v>
      </c>
      <c r="B145" s="46" t="s">
        <v>3309</v>
      </c>
      <c r="C145" s="46" t="s">
        <v>680</v>
      </c>
      <c r="D145" s="46" t="s">
        <v>661</v>
      </c>
      <c r="E145" s="47">
        <v>400.96</v>
      </c>
      <c r="F145" s="46">
        <v>6</v>
      </c>
      <c r="G145" s="46">
        <v>5.7</v>
      </c>
      <c r="H145" s="46">
        <f t="shared" si="8"/>
        <v>5.9</v>
      </c>
      <c r="I145" s="46">
        <v>55.8</v>
      </c>
      <c r="J145" s="46">
        <v>13.3</v>
      </c>
      <c r="K145" s="46">
        <v>35.799999999999997</v>
      </c>
      <c r="L145" s="46">
        <v>7.1</v>
      </c>
      <c r="M145" s="46">
        <v>103.3</v>
      </c>
      <c r="N145" s="46">
        <v>850</v>
      </c>
      <c r="O145" s="46">
        <v>364</v>
      </c>
      <c r="P145" s="46">
        <v>397</v>
      </c>
      <c r="Q145" s="46" t="s">
        <v>3057</v>
      </c>
      <c r="R145" s="46" t="s">
        <v>576</v>
      </c>
      <c r="S145" s="46" t="s">
        <v>602</v>
      </c>
      <c r="T145" s="46" t="s">
        <v>587</v>
      </c>
      <c r="U145" s="47">
        <f t="shared" si="9"/>
        <v>11.83</v>
      </c>
      <c r="V145" s="46" t="s">
        <v>1676</v>
      </c>
      <c r="W145" s="46" t="s">
        <v>1640</v>
      </c>
      <c r="X145" s="49" t="s">
        <v>321</v>
      </c>
    </row>
    <row r="146" spans="1:24" ht="15" customHeight="1" x14ac:dyDescent="0.25">
      <c r="A146" s="54" t="s">
        <v>3310</v>
      </c>
      <c r="B146" s="54" t="s">
        <v>3311</v>
      </c>
      <c r="C146" s="54" t="s">
        <v>671</v>
      </c>
      <c r="D146" s="54" t="s">
        <v>3049</v>
      </c>
      <c r="E146" s="55">
        <v>598.53</v>
      </c>
      <c r="F146" s="54">
        <v>6.1</v>
      </c>
      <c r="G146" s="54">
        <v>9.1</v>
      </c>
      <c r="H146" s="54">
        <f t="shared" si="8"/>
        <v>7.6</v>
      </c>
      <c r="I146" s="54">
        <v>6.9</v>
      </c>
      <c r="J146" s="54">
        <v>46.6</v>
      </c>
      <c r="K146" s="54">
        <v>10.8</v>
      </c>
      <c r="L146" s="54">
        <v>9.5</v>
      </c>
      <c r="M146" s="54">
        <v>209.7</v>
      </c>
      <c r="N146" s="54">
        <v>3436</v>
      </c>
      <c r="O146" s="54">
        <v>2061</v>
      </c>
      <c r="P146" s="54">
        <v>14914</v>
      </c>
      <c r="Q146" s="54" t="s">
        <v>3011</v>
      </c>
      <c r="R146" s="54" t="s">
        <v>3015</v>
      </c>
      <c r="S146" s="54" t="s">
        <v>3054</v>
      </c>
      <c r="T146" s="54" t="s">
        <v>576</v>
      </c>
      <c r="U146" s="55">
        <f t="shared" si="9"/>
        <v>22.74</v>
      </c>
      <c r="V146" s="54" t="s">
        <v>1640</v>
      </c>
      <c r="W146" s="54" t="s">
        <v>622</v>
      </c>
      <c r="X146" s="57" t="s">
        <v>495</v>
      </c>
    </row>
    <row r="147" spans="1:24" ht="15" customHeight="1" x14ac:dyDescent="0.25">
      <c r="A147" s="50" t="s">
        <v>3312</v>
      </c>
      <c r="B147" s="50" t="s">
        <v>3313</v>
      </c>
      <c r="C147" s="50" t="s">
        <v>655</v>
      </c>
      <c r="D147" s="50" t="s">
        <v>630</v>
      </c>
      <c r="E147" s="51">
        <v>685.56</v>
      </c>
      <c r="F147" s="50">
        <v>6</v>
      </c>
      <c r="G147" s="50">
        <v>1.1000000000000001</v>
      </c>
      <c r="H147" s="50">
        <f t="shared" si="8"/>
        <v>3.6</v>
      </c>
      <c r="I147" s="50">
        <v>80.5</v>
      </c>
      <c r="J147" s="50">
        <v>67.8</v>
      </c>
      <c r="K147" s="50">
        <v>25.8</v>
      </c>
      <c r="L147" s="50">
        <v>2.2999999999999998</v>
      </c>
      <c r="M147" s="50">
        <v>182.8</v>
      </c>
      <c r="N147" s="50">
        <v>4276</v>
      </c>
      <c r="O147" s="50">
        <v>1679</v>
      </c>
      <c r="P147" s="50">
        <v>6498</v>
      </c>
      <c r="Q147" s="50" t="s">
        <v>3018</v>
      </c>
      <c r="R147" s="50" t="s">
        <v>587</v>
      </c>
      <c r="S147" s="50" t="s">
        <v>638</v>
      </c>
      <c r="T147" s="50" t="s">
        <v>587</v>
      </c>
      <c r="U147" s="51">
        <f t="shared" si="9"/>
        <v>12.34</v>
      </c>
      <c r="V147" s="50" t="s">
        <v>1640</v>
      </c>
      <c r="W147" s="50" t="s">
        <v>1676</v>
      </c>
      <c r="X147" s="53" t="s">
        <v>266</v>
      </c>
    </row>
    <row r="148" spans="1:24" ht="15" customHeight="1" x14ac:dyDescent="0.25">
      <c r="A148" s="50" t="s">
        <v>3314</v>
      </c>
      <c r="B148" s="50" t="s">
        <v>3315</v>
      </c>
      <c r="C148" s="50" t="s">
        <v>596</v>
      </c>
      <c r="D148" s="50" t="s">
        <v>630</v>
      </c>
      <c r="E148" s="51">
        <v>508.94</v>
      </c>
      <c r="F148" s="50">
        <v>7</v>
      </c>
      <c r="G148" s="50">
        <v>2.2000000000000002</v>
      </c>
      <c r="H148" s="50">
        <f t="shared" si="8"/>
        <v>4.5999999999999996</v>
      </c>
      <c r="I148" s="50">
        <v>28.7</v>
      </c>
      <c r="J148" s="50">
        <v>47.1</v>
      </c>
      <c r="K148" s="50">
        <v>51.6</v>
      </c>
      <c r="L148" s="50">
        <v>1.9</v>
      </c>
      <c r="M148" s="50">
        <v>452.8</v>
      </c>
      <c r="N148" s="50">
        <v>5783</v>
      </c>
      <c r="O148" s="50">
        <v>2458</v>
      </c>
      <c r="P148" s="50">
        <v>3370</v>
      </c>
      <c r="Q148" s="50" t="s">
        <v>3057</v>
      </c>
      <c r="R148" s="50" t="s">
        <v>576</v>
      </c>
      <c r="S148" s="50" t="s">
        <v>3054</v>
      </c>
      <c r="T148" s="50" t="s">
        <v>587</v>
      </c>
      <c r="U148" s="51">
        <f t="shared" si="9"/>
        <v>11.71</v>
      </c>
      <c r="V148" s="50" t="s">
        <v>1676</v>
      </c>
      <c r="W148" s="50" t="s">
        <v>1676</v>
      </c>
      <c r="X148" s="53" t="s">
        <v>266</v>
      </c>
    </row>
    <row r="149" spans="1:24" ht="15" customHeight="1" x14ac:dyDescent="0.25">
      <c r="A149" s="46" t="s">
        <v>3316</v>
      </c>
      <c r="B149" s="46" t="s">
        <v>3317</v>
      </c>
      <c r="C149" s="46" t="s">
        <v>3040</v>
      </c>
      <c r="D149" s="46" t="s">
        <v>630</v>
      </c>
      <c r="E149" s="47">
        <v>165.07</v>
      </c>
      <c r="F149" s="46">
        <v>2.2999999999999998</v>
      </c>
      <c r="G149" s="46">
        <v>9.5</v>
      </c>
      <c r="H149" s="46">
        <f t="shared" si="8"/>
        <v>5.9</v>
      </c>
      <c r="I149" s="46">
        <v>31.7</v>
      </c>
      <c r="J149" s="46">
        <v>46.1</v>
      </c>
      <c r="K149" s="46">
        <v>30.9</v>
      </c>
      <c r="L149" s="46">
        <v>8.3000000000000007</v>
      </c>
      <c r="M149" s="46">
        <v>546.70000000000005</v>
      </c>
      <c r="N149" s="46">
        <v>2665</v>
      </c>
      <c r="O149" s="46">
        <v>1700</v>
      </c>
      <c r="P149" s="46">
        <v>5364</v>
      </c>
      <c r="Q149" s="46" t="s">
        <v>3027</v>
      </c>
      <c r="R149" s="46" t="s">
        <v>576</v>
      </c>
      <c r="S149" s="46" t="s">
        <v>628</v>
      </c>
      <c r="T149" s="46" t="s">
        <v>587</v>
      </c>
      <c r="U149" s="47">
        <f t="shared" si="9"/>
        <v>4.87</v>
      </c>
      <c r="V149" s="46" t="s">
        <v>622</v>
      </c>
      <c r="W149" s="46" t="s">
        <v>1640</v>
      </c>
      <c r="X149" s="49" t="s">
        <v>321</v>
      </c>
    </row>
    <row r="150" spans="1:24" ht="15" customHeight="1" x14ac:dyDescent="0.25">
      <c r="A150" s="46" t="s">
        <v>3318</v>
      </c>
      <c r="B150" s="46" t="s">
        <v>3319</v>
      </c>
      <c r="C150" s="46" t="s">
        <v>840</v>
      </c>
      <c r="D150" s="46" t="s">
        <v>597</v>
      </c>
      <c r="E150" s="47">
        <v>365.97</v>
      </c>
      <c r="F150" s="46">
        <v>8.5</v>
      </c>
      <c r="G150" s="46">
        <v>3.9</v>
      </c>
      <c r="H150" s="46">
        <f t="shared" si="8"/>
        <v>6.2</v>
      </c>
      <c r="I150" s="46">
        <v>67.400000000000006</v>
      </c>
      <c r="J150" s="46">
        <v>13.8</v>
      </c>
      <c r="K150" s="46">
        <v>55.4</v>
      </c>
      <c r="L150" s="46">
        <v>2.2999999999999998</v>
      </c>
      <c r="M150" s="46">
        <v>530.1</v>
      </c>
      <c r="N150" s="46">
        <v>3507</v>
      </c>
      <c r="O150" s="46">
        <v>2235</v>
      </c>
      <c r="P150" s="46">
        <v>14606</v>
      </c>
      <c r="Q150" s="46" t="s">
        <v>3014</v>
      </c>
      <c r="R150" s="46" t="s">
        <v>3015</v>
      </c>
      <c r="S150" s="46" t="s">
        <v>3054</v>
      </c>
      <c r="T150" s="46" t="s">
        <v>576</v>
      </c>
      <c r="U150" s="47">
        <f t="shared" si="9"/>
        <v>11.35</v>
      </c>
      <c r="V150" s="46" t="s">
        <v>622</v>
      </c>
      <c r="W150" s="46" t="s">
        <v>1640</v>
      </c>
      <c r="X150" s="49" t="s">
        <v>321</v>
      </c>
    </row>
    <row r="151" spans="1:24" ht="15" customHeight="1" x14ac:dyDescent="0.25">
      <c r="A151" s="46" t="s">
        <v>3320</v>
      </c>
      <c r="B151" s="46" t="s">
        <v>3321</v>
      </c>
      <c r="C151" s="46" t="s">
        <v>655</v>
      </c>
      <c r="D151" s="46" t="s">
        <v>578</v>
      </c>
      <c r="E151" s="47">
        <v>460.88</v>
      </c>
      <c r="F151" s="46">
        <v>3</v>
      </c>
      <c r="G151" s="46">
        <v>7.3</v>
      </c>
      <c r="H151" s="46">
        <f t="shared" si="8"/>
        <v>5.2</v>
      </c>
      <c r="I151" s="46">
        <v>32.4</v>
      </c>
      <c r="J151" s="46">
        <v>24.3</v>
      </c>
      <c r="K151" s="46">
        <v>6.3</v>
      </c>
      <c r="L151" s="46">
        <v>2.5</v>
      </c>
      <c r="M151" s="46">
        <v>522.29999999999995</v>
      </c>
      <c r="N151" s="46">
        <v>2781</v>
      </c>
      <c r="O151" s="46">
        <v>2125</v>
      </c>
      <c r="P151" s="46">
        <v>3910</v>
      </c>
      <c r="Q151" s="46" t="s">
        <v>3018</v>
      </c>
      <c r="R151" s="46" t="s">
        <v>576</v>
      </c>
      <c r="S151" s="46" t="s">
        <v>628</v>
      </c>
      <c r="T151" s="46" t="s">
        <v>587</v>
      </c>
      <c r="U151" s="47">
        <f t="shared" si="9"/>
        <v>11.98</v>
      </c>
      <c r="V151" s="46" t="s">
        <v>622</v>
      </c>
      <c r="W151" s="46" t="s">
        <v>1640</v>
      </c>
      <c r="X151" s="49" t="s">
        <v>321</v>
      </c>
    </row>
    <row r="152" spans="1:24" ht="15" customHeight="1" x14ac:dyDescent="0.25">
      <c r="A152" s="50" t="s">
        <v>3322</v>
      </c>
      <c r="B152" s="50" t="s">
        <v>3323</v>
      </c>
      <c r="C152" s="50" t="s">
        <v>666</v>
      </c>
      <c r="D152" s="50" t="s">
        <v>688</v>
      </c>
      <c r="E152" s="51">
        <v>232</v>
      </c>
      <c r="F152" s="50">
        <v>1.5</v>
      </c>
      <c r="G152" s="50">
        <v>5.4</v>
      </c>
      <c r="H152" s="50">
        <f t="shared" si="8"/>
        <v>3.5</v>
      </c>
      <c r="I152" s="50">
        <v>57.2</v>
      </c>
      <c r="J152" s="50">
        <v>68.900000000000006</v>
      </c>
      <c r="K152" s="50">
        <v>35</v>
      </c>
      <c r="L152" s="50">
        <v>2.4</v>
      </c>
      <c r="M152" s="50">
        <v>54</v>
      </c>
      <c r="N152" s="50">
        <v>513</v>
      </c>
      <c r="O152" s="50">
        <v>173</v>
      </c>
      <c r="P152" s="50">
        <v>469</v>
      </c>
      <c r="Q152" s="50" t="s">
        <v>3027</v>
      </c>
      <c r="R152" s="50" t="s">
        <v>587</v>
      </c>
      <c r="S152" s="50" t="s">
        <v>638</v>
      </c>
      <c r="T152" s="50" t="s">
        <v>587</v>
      </c>
      <c r="U152" s="51">
        <f t="shared" si="9"/>
        <v>4.0599999999999996</v>
      </c>
      <c r="V152" s="50" t="s">
        <v>622</v>
      </c>
      <c r="W152" s="50" t="s">
        <v>1676</v>
      </c>
      <c r="X152" s="53" t="s">
        <v>266</v>
      </c>
    </row>
    <row r="153" spans="1:24" ht="15" customHeight="1" x14ac:dyDescent="0.25">
      <c r="A153" s="50" t="s">
        <v>3324</v>
      </c>
      <c r="B153" s="50" t="s">
        <v>3325</v>
      </c>
      <c r="C153" s="50" t="s">
        <v>666</v>
      </c>
      <c r="D153" s="50" t="s">
        <v>819</v>
      </c>
      <c r="E153" s="51">
        <v>566.65</v>
      </c>
      <c r="F153" s="50">
        <v>4.4000000000000004</v>
      </c>
      <c r="G153" s="50">
        <v>5.3</v>
      </c>
      <c r="H153" s="50">
        <f t="shared" si="8"/>
        <v>4.9000000000000004</v>
      </c>
      <c r="I153" s="50">
        <v>9.6999999999999993</v>
      </c>
      <c r="J153" s="50">
        <v>29.6</v>
      </c>
      <c r="K153" s="50">
        <v>37.9</v>
      </c>
      <c r="L153" s="50">
        <v>7.3</v>
      </c>
      <c r="M153" s="50">
        <v>143.30000000000001</v>
      </c>
      <c r="N153" s="50">
        <v>143</v>
      </c>
      <c r="O153" s="50">
        <v>109</v>
      </c>
      <c r="P153" s="50">
        <v>2452</v>
      </c>
      <c r="Q153" s="50" t="s">
        <v>3057</v>
      </c>
      <c r="R153" s="50" t="s">
        <v>576</v>
      </c>
      <c r="S153" s="50" t="s">
        <v>3054</v>
      </c>
      <c r="T153" s="50" t="s">
        <v>576</v>
      </c>
      <c r="U153" s="51">
        <f t="shared" si="9"/>
        <v>13.88</v>
      </c>
      <c r="V153" s="50" t="s">
        <v>1640</v>
      </c>
      <c r="W153" s="50" t="s">
        <v>1676</v>
      </c>
      <c r="X153" s="53" t="s">
        <v>266</v>
      </c>
    </row>
    <row r="154" spans="1:24" ht="15" customHeight="1" x14ac:dyDescent="0.25">
      <c r="A154" s="46" t="s">
        <v>3326</v>
      </c>
      <c r="B154" s="46" t="s">
        <v>3327</v>
      </c>
      <c r="C154" s="46" t="s">
        <v>666</v>
      </c>
      <c r="D154" s="46" t="s">
        <v>688</v>
      </c>
      <c r="E154" s="47">
        <v>120.98</v>
      </c>
      <c r="F154" s="46">
        <v>8.3000000000000007</v>
      </c>
      <c r="G154" s="46">
        <v>1.8</v>
      </c>
      <c r="H154" s="46">
        <f t="shared" si="8"/>
        <v>5.0999999999999996</v>
      </c>
      <c r="I154" s="46">
        <v>19.899999999999999</v>
      </c>
      <c r="J154" s="46">
        <v>10.7</v>
      </c>
      <c r="K154" s="46">
        <v>57.6</v>
      </c>
      <c r="L154" s="46">
        <v>7.7</v>
      </c>
      <c r="M154" s="46">
        <v>49.6</v>
      </c>
      <c r="N154" s="46">
        <v>886</v>
      </c>
      <c r="O154" s="46">
        <v>491</v>
      </c>
      <c r="P154" s="46">
        <v>1904</v>
      </c>
      <c r="Q154" s="46" t="s">
        <v>3014</v>
      </c>
      <c r="R154" s="46" t="s">
        <v>3015</v>
      </c>
      <c r="S154" s="46" t="s">
        <v>609</v>
      </c>
      <c r="T154" s="46" t="s">
        <v>576</v>
      </c>
      <c r="U154" s="47">
        <f t="shared" si="9"/>
        <v>3.08</v>
      </c>
      <c r="V154" s="46" t="s">
        <v>1676</v>
      </c>
      <c r="W154" s="46" t="s">
        <v>1640</v>
      </c>
      <c r="X154" s="49" t="s">
        <v>321</v>
      </c>
    </row>
    <row r="155" spans="1:24" ht="15" customHeight="1" x14ac:dyDescent="0.25">
      <c r="A155" s="50" t="s">
        <v>3328</v>
      </c>
      <c r="B155" s="50" t="s">
        <v>3329</v>
      </c>
      <c r="C155" s="50" t="s">
        <v>655</v>
      </c>
      <c r="D155" s="50" t="s">
        <v>3049</v>
      </c>
      <c r="E155" s="51">
        <v>96.07</v>
      </c>
      <c r="F155" s="50">
        <v>4.9000000000000004</v>
      </c>
      <c r="G155" s="50">
        <v>3.8</v>
      </c>
      <c r="H155" s="50">
        <f t="shared" si="8"/>
        <v>4.4000000000000004</v>
      </c>
      <c r="I155" s="50">
        <v>6.2</v>
      </c>
      <c r="J155" s="50">
        <v>72</v>
      </c>
      <c r="K155" s="50">
        <v>18.899999999999999</v>
      </c>
      <c r="L155" s="50">
        <v>7.3</v>
      </c>
      <c r="M155" s="50">
        <v>594.6</v>
      </c>
      <c r="N155" s="50">
        <v>1209</v>
      </c>
      <c r="O155" s="50">
        <v>2265</v>
      </c>
      <c r="P155" s="50">
        <v>10404</v>
      </c>
      <c r="Q155" s="50" t="s">
        <v>3057</v>
      </c>
      <c r="R155" s="50" t="s">
        <v>3015</v>
      </c>
      <c r="S155" s="50" t="s">
        <v>678</v>
      </c>
      <c r="T155" s="50" t="s">
        <v>587</v>
      </c>
      <c r="U155" s="51">
        <f t="shared" si="9"/>
        <v>2.11</v>
      </c>
      <c r="V155" s="50" t="s">
        <v>622</v>
      </c>
      <c r="W155" s="50" t="s">
        <v>1676</v>
      </c>
      <c r="X155" s="53" t="s">
        <v>266</v>
      </c>
    </row>
    <row r="156" spans="1:24" ht="15" customHeight="1" x14ac:dyDescent="0.25">
      <c r="A156" s="50" t="s">
        <v>3330</v>
      </c>
      <c r="B156" s="50" t="s">
        <v>3331</v>
      </c>
      <c r="C156" s="50" t="s">
        <v>840</v>
      </c>
      <c r="D156" s="50" t="s">
        <v>661</v>
      </c>
      <c r="E156" s="51">
        <v>576.97</v>
      </c>
      <c r="F156" s="50">
        <v>2.2999999999999998</v>
      </c>
      <c r="G156" s="50">
        <v>6.1</v>
      </c>
      <c r="H156" s="50">
        <f t="shared" si="8"/>
        <v>4.2</v>
      </c>
      <c r="I156" s="50">
        <v>42.5</v>
      </c>
      <c r="J156" s="50">
        <v>46.5</v>
      </c>
      <c r="K156" s="50">
        <v>38.5</v>
      </c>
      <c r="L156" s="50">
        <v>8.8000000000000007</v>
      </c>
      <c r="M156" s="50">
        <v>335.5</v>
      </c>
      <c r="N156" s="50">
        <v>1577</v>
      </c>
      <c r="O156" s="50">
        <v>1253</v>
      </c>
      <c r="P156" s="50">
        <v>5571</v>
      </c>
      <c r="Q156" s="50" t="s">
        <v>3053</v>
      </c>
      <c r="R156" s="50" t="s">
        <v>576</v>
      </c>
      <c r="S156" s="50" t="s">
        <v>618</v>
      </c>
      <c r="T156" s="50" t="s">
        <v>576</v>
      </c>
      <c r="U156" s="51">
        <f t="shared" si="9"/>
        <v>12.12</v>
      </c>
      <c r="V156" s="50" t="s">
        <v>622</v>
      </c>
      <c r="W156" s="50" t="s">
        <v>1676</v>
      </c>
      <c r="X156" s="53" t="s">
        <v>266</v>
      </c>
    </row>
    <row r="157" spans="1:24" ht="15" customHeight="1" x14ac:dyDescent="0.25">
      <c r="A157" s="50" t="s">
        <v>3332</v>
      </c>
      <c r="B157" s="50" t="s">
        <v>3333</v>
      </c>
      <c r="C157" s="50" t="s">
        <v>614</v>
      </c>
      <c r="D157" s="50" t="s">
        <v>621</v>
      </c>
      <c r="E157" s="51">
        <v>384.54</v>
      </c>
      <c r="F157" s="50">
        <v>2.2999999999999998</v>
      </c>
      <c r="G157" s="50">
        <v>5.3</v>
      </c>
      <c r="H157" s="50">
        <f t="shared" si="8"/>
        <v>3.8</v>
      </c>
      <c r="I157" s="50">
        <v>69.400000000000006</v>
      </c>
      <c r="J157" s="50">
        <v>61.8</v>
      </c>
      <c r="K157" s="50">
        <v>8.1</v>
      </c>
      <c r="L157" s="50">
        <v>9.1</v>
      </c>
      <c r="M157" s="50">
        <v>114.3</v>
      </c>
      <c r="N157" s="50">
        <v>122</v>
      </c>
      <c r="O157" s="50">
        <v>68</v>
      </c>
      <c r="P157" s="50">
        <v>1156</v>
      </c>
      <c r="Q157" s="50" t="s">
        <v>3057</v>
      </c>
      <c r="R157" s="50" t="s">
        <v>576</v>
      </c>
      <c r="S157" s="50" t="s">
        <v>609</v>
      </c>
      <c r="T157" s="50" t="s">
        <v>587</v>
      </c>
      <c r="U157" s="51">
        <f t="shared" si="9"/>
        <v>7.31</v>
      </c>
      <c r="V157" s="50" t="s">
        <v>622</v>
      </c>
      <c r="W157" s="50" t="s">
        <v>1676</v>
      </c>
      <c r="X157" s="53" t="s">
        <v>266</v>
      </c>
    </row>
    <row r="158" spans="1:24" ht="15" customHeight="1" x14ac:dyDescent="0.25">
      <c r="A158" s="50" t="s">
        <v>3334</v>
      </c>
      <c r="B158" s="50" t="s">
        <v>3335</v>
      </c>
      <c r="C158" s="50" t="s">
        <v>571</v>
      </c>
      <c r="D158" s="50" t="s">
        <v>589</v>
      </c>
      <c r="E158" s="51">
        <v>312.13</v>
      </c>
      <c r="F158" s="50">
        <v>7.2</v>
      </c>
      <c r="G158" s="50">
        <v>1.6</v>
      </c>
      <c r="H158" s="50">
        <f t="shared" si="8"/>
        <v>4.4000000000000004</v>
      </c>
      <c r="I158" s="50">
        <v>76.400000000000006</v>
      </c>
      <c r="J158" s="50">
        <v>19.899999999999999</v>
      </c>
      <c r="K158" s="50">
        <v>57.7</v>
      </c>
      <c r="L158" s="50">
        <v>8.1</v>
      </c>
      <c r="M158" s="50">
        <v>66.8</v>
      </c>
      <c r="N158" s="50">
        <v>312</v>
      </c>
      <c r="O158" s="50">
        <v>318</v>
      </c>
      <c r="P158" s="50">
        <v>1091</v>
      </c>
      <c r="Q158" s="50" t="s">
        <v>3057</v>
      </c>
      <c r="R158" s="50" t="s">
        <v>576</v>
      </c>
      <c r="S158" s="50" t="s">
        <v>618</v>
      </c>
      <c r="T158" s="50" t="s">
        <v>576</v>
      </c>
      <c r="U158" s="51">
        <f t="shared" si="9"/>
        <v>6.87</v>
      </c>
      <c r="V158" s="50" t="s">
        <v>1640</v>
      </c>
      <c r="W158" s="50" t="s">
        <v>1676</v>
      </c>
      <c r="X158" s="53" t="s">
        <v>266</v>
      </c>
    </row>
    <row r="159" spans="1:24" ht="15" customHeight="1" x14ac:dyDescent="0.25">
      <c r="A159" s="46" t="s">
        <v>3336</v>
      </c>
      <c r="B159" s="46" t="s">
        <v>3337</v>
      </c>
      <c r="C159" s="46" t="s">
        <v>3101</v>
      </c>
      <c r="D159" s="46" t="s">
        <v>630</v>
      </c>
      <c r="E159" s="47">
        <v>686.36</v>
      </c>
      <c r="F159" s="46">
        <v>4.9000000000000004</v>
      </c>
      <c r="G159" s="46">
        <v>7.7</v>
      </c>
      <c r="H159" s="46">
        <f t="shared" si="8"/>
        <v>6.3</v>
      </c>
      <c r="I159" s="46">
        <v>40.799999999999997</v>
      </c>
      <c r="J159" s="46">
        <v>46.2</v>
      </c>
      <c r="K159" s="46">
        <v>16.600000000000001</v>
      </c>
      <c r="L159" s="46">
        <v>7.5</v>
      </c>
      <c r="M159" s="46">
        <v>52.7</v>
      </c>
      <c r="N159" s="46">
        <v>356</v>
      </c>
      <c r="O159" s="46">
        <v>327</v>
      </c>
      <c r="P159" s="46">
        <v>2161</v>
      </c>
      <c r="Q159" s="46" t="s">
        <v>3027</v>
      </c>
      <c r="R159" s="46" t="s">
        <v>3015</v>
      </c>
      <c r="S159" s="46" t="s">
        <v>575</v>
      </c>
      <c r="T159" s="46" t="s">
        <v>576</v>
      </c>
      <c r="U159" s="47">
        <f t="shared" si="9"/>
        <v>21.62</v>
      </c>
      <c r="V159" s="46" t="s">
        <v>1640</v>
      </c>
      <c r="W159" s="46" t="s">
        <v>1640</v>
      </c>
      <c r="X159" s="49" t="s">
        <v>321</v>
      </c>
    </row>
    <row r="160" spans="1:24" ht="15" customHeight="1" x14ac:dyDescent="0.25">
      <c r="A160" s="54" t="s">
        <v>3338</v>
      </c>
      <c r="B160" s="54" t="s">
        <v>3339</v>
      </c>
      <c r="C160" s="54" t="s">
        <v>614</v>
      </c>
      <c r="D160" s="54" t="s">
        <v>661</v>
      </c>
      <c r="E160" s="55">
        <v>298.70999999999998</v>
      </c>
      <c r="F160" s="54">
        <v>9.8000000000000007</v>
      </c>
      <c r="G160" s="54">
        <v>9.1999999999999993</v>
      </c>
      <c r="H160" s="54">
        <f t="shared" si="8"/>
        <v>9.5</v>
      </c>
      <c r="I160" s="54">
        <v>82.5</v>
      </c>
      <c r="J160" s="54">
        <v>25.9</v>
      </c>
      <c r="K160" s="54">
        <v>59.7</v>
      </c>
      <c r="L160" s="54">
        <v>5.9</v>
      </c>
      <c r="M160" s="54">
        <v>63</v>
      </c>
      <c r="N160" s="54">
        <v>104</v>
      </c>
      <c r="O160" s="54">
        <v>278</v>
      </c>
      <c r="P160" s="54">
        <v>1919</v>
      </c>
      <c r="Q160" s="54" t="s">
        <v>3057</v>
      </c>
      <c r="R160" s="54" t="s">
        <v>3015</v>
      </c>
      <c r="S160" s="54" t="s">
        <v>716</v>
      </c>
      <c r="T160" s="54" t="s">
        <v>587</v>
      </c>
      <c r="U160" s="55">
        <f t="shared" si="9"/>
        <v>14.19</v>
      </c>
      <c r="V160" s="54" t="s">
        <v>1640</v>
      </c>
      <c r="W160" s="54" t="s">
        <v>622</v>
      </c>
      <c r="X160" s="57" t="s">
        <v>495</v>
      </c>
    </row>
    <row r="161" spans="1:24" ht="15" customHeight="1" x14ac:dyDescent="0.25">
      <c r="A161" s="46" t="s">
        <v>3340</v>
      </c>
      <c r="B161" s="46" t="s">
        <v>3341</v>
      </c>
      <c r="C161" s="46" t="s">
        <v>596</v>
      </c>
      <c r="D161" s="46" t="s">
        <v>589</v>
      </c>
      <c r="E161" s="47">
        <v>268.12</v>
      </c>
      <c r="F161" s="46">
        <v>1.7</v>
      </c>
      <c r="G161" s="46">
        <v>9.6</v>
      </c>
      <c r="H161" s="46">
        <f t="shared" si="8"/>
        <v>5.7</v>
      </c>
      <c r="I161" s="46">
        <v>17.8</v>
      </c>
      <c r="J161" s="46">
        <v>44.5</v>
      </c>
      <c r="K161" s="46">
        <v>48.2</v>
      </c>
      <c r="L161" s="46">
        <v>1.1000000000000001</v>
      </c>
      <c r="M161" s="46">
        <v>165.3</v>
      </c>
      <c r="N161" s="46">
        <v>3230</v>
      </c>
      <c r="O161" s="46">
        <v>1529</v>
      </c>
      <c r="P161" s="46">
        <v>2755</v>
      </c>
      <c r="Q161" s="46" t="s">
        <v>3014</v>
      </c>
      <c r="R161" s="46" t="s">
        <v>587</v>
      </c>
      <c r="S161" s="46" t="s">
        <v>653</v>
      </c>
      <c r="T161" s="46" t="s">
        <v>587</v>
      </c>
      <c r="U161" s="47">
        <f t="shared" si="9"/>
        <v>7.64</v>
      </c>
      <c r="V161" s="46" t="s">
        <v>622</v>
      </c>
      <c r="W161" s="46" t="s">
        <v>1640</v>
      </c>
      <c r="X161" s="49" t="s">
        <v>321</v>
      </c>
    </row>
    <row r="162" spans="1:24" ht="15" customHeight="1" x14ac:dyDescent="0.25">
      <c r="A162" s="50" t="s">
        <v>3342</v>
      </c>
      <c r="B162" s="50" t="s">
        <v>3343</v>
      </c>
      <c r="C162" s="50" t="s">
        <v>655</v>
      </c>
      <c r="D162" s="50" t="s">
        <v>605</v>
      </c>
      <c r="E162" s="51">
        <v>693.57</v>
      </c>
      <c r="F162" s="50">
        <v>1.9</v>
      </c>
      <c r="G162" s="50">
        <v>3.1</v>
      </c>
      <c r="H162" s="50">
        <f t="shared" si="8"/>
        <v>2.5</v>
      </c>
      <c r="I162" s="50">
        <v>81.099999999999994</v>
      </c>
      <c r="J162" s="50">
        <v>74.8</v>
      </c>
      <c r="K162" s="50">
        <v>31.7</v>
      </c>
      <c r="L162" s="50">
        <v>5.6</v>
      </c>
      <c r="M162" s="50">
        <v>324.60000000000002</v>
      </c>
      <c r="N162" s="50">
        <v>5423</v>
      </c>
      <c r="O162" s="50">
        <v>278</v>
      </c>
      <c r="P162" s="50">
        <v>3331</v>
      </c>
      <c r="Q162" s="50" t="s">
        <v>3057</v>
      </c>
      <c r="R162" s="50" t="s">
        <v>587</v>
      </c>
      <c r="S162" s="50" t="s">
        <v>678</v>
      </c>
      <c r="T162" s="50" t="s">
        <v>587</v>
      </c>
      <c r="U162" s="51">
        <f t="shared" si="9"/>
        <v>8.67</v>
      </c>
      <c r="V162" s="50" t="s">
        <v>622</v>
      </c>
      <c r="W162" s="50" t="s">
        <v>1676</v>
      </c>
      <c r="X162" s="53" t="s">
        <v>266</v>
      </c>
    </row>
    <row r="163" spans="1:24" ht="15" customHeight="1" x14ac:dyDescent="0.25">
      <c r="A163" s="50" t="s">
        <v>3344</v>
      </c>
      <c r="B163" s="50" t="s">
        <v>3345</v>
      </c>
      <c r="C163" s="50" t="s">
        <v>3040</v>
      </c>
      <c r="D163" s="50" t="s">
        <v>656</v>
      </c>
      <c r="E163" s="51">
        <v>496.38</v>
      </c>
      <c r="F163" s="50">
        <v>2.6</v>
      </c>
      <c r="G163" s="50">
        <v>6.7</v>
      </c>
      <c r="H163" s="50">
        <f t="shared" ref="H163:H194" si="10">ROUND((F163+G163)/2,1)</f>
        <v>4.7</v>
      </c>
      <c r="I163" s="50">
        <v>37.5</v>
      </c>
      <c r="J163" s="50">
        <v>48.5</v>
      </c>
      <c r="K163" s="50">
        <v>60</v>
      </c>
      <c r="L163" s="50">
        <v>3.8</v>
      </c>
      <c r="M163" s="50">
        <v>564</v>
      </c>
      <c r="N163" s="50">
        <v>2695</v>
      </c>
      <c r="O163" s="50">
        <v>540</v>
      </c>
      <c r="P163" s="50">
        <v>12183</v>
      </c>
      <c r="Q163" s="50" t="s">
        <v>3027</v>
      </c>
      <c r="R163" s="50" t="s">
        <v>576</v>
      </c>
      <c r="S163" s="50" t="s">
        <v>638</v>
      </c>
      <c r="T163" s="50" t="s">
        <v>576</v>
      </c>
      <c r="U163" s="51">
        <f t="shared" ref="U163:U194" si="11">ROUND(E163*H163/100*0.5,2)</f>
        <v>11.66</v>
      </c>
      <c r="V163" s="50" t="s">
        <v>1676</v>
      </c>
      <c r="W163" s="50" t="s">
        <v>1676</v>
      </c>
      <c r="X163" s="53" t="s">
        <v>266</v>
      </c>
    </row>
    <row r="164" spans="1:24" ht="15" customHeight="1" x14ac:dyDescent="0.25">
      <c r="A164" s="54" t="s">
        <v>3346</v>
      </c>
      <c r="B164" s="54" t="s">
        <v>3347</v>
      </c>
      <c r="C164" s="54" t="s">
        <v>596</v>
      </c>
      <c r="D164" s="54" t="s">
        <v>819</v>
      </c>
      <c r="E164" s="55">
        <v>253.94</v>
      </c>
      <c r="F164" s="54">
        <v>8.1</v>
      </c>
      <c r="G164" s="54">
        <v>6.1</v>
      </c>
      <c r="H164" s="54">
        <f t="shared" si="10"/>
        <v>7.1</v>
      </c>
      <c r="I164" s="54">
        <v>74.8</v>
      </c>
      <c r="J164" s="54">
        <v>9.1999999999999993</v>
      </c>
      <c r="K164" s="54">
        <v>12.8</v>
      </c>
      <c r="L164" s="54">
        <v>4.8</v>
      </c>
      <c r="M164" s="54">
        <v>515.6</v>
      </c>
      <c r="N164" s="54">
        <v>915</v>
      </c>
      <c r="O164" s="54">
        <v>523</v>
      </c>
      <c r="P164" s="54">
        <v>6234</v>
      </c>
      <c r="Q164" s="54" t="s">
        <v>3014</v>
      </c>
      <c r="R164" s="54" t="s">
        <v>587</v>
      </c>
      <c r="S164" s="54" t="s">
        <v>586</v>
      </c>
      <c r="T164" s="54" t="s">
        <v>576</v>
      </c>
      <c r="U164" s="55">
        <f t="shared" si="11"/>
        <v>9.01</v>
      </c>
      <c r="V164" s="54" t="s">
        <v>1640</v>
      </c>
      <c r="W164" s="54" t="s">
        <v>622</v>
      </c>
      <c r="X164" s="57" t="s">
        <v>495</v>
      </c>
    </row>
    <row r="165" spans="1:24" ht="15" customHeight="1" x14ac:dyDescent="0.25">
      <c r="A165" s="46" t="s">
        <v>3348</v>
      </c>
      <c r="B165" s="46" t="s">
        <v>3349</v>
      </c>
      <c r="C165" s="46" t="s">
        <v>614</v>
      </c>
      <c r="D165" s="46" t="s">
        <v>605</v>
      </c>
      <c r="E165" s="47">
        <v>496.15</v>
      </c>
      <c r="F165" s="46">
        <v>6.3</v>
      </c>
      <c r="G165" s="46">
        <v>5</v>
      </c>
      <c r="H165" s="46">
        <f t="shared" si="10"/>
        <v>5.7</v>
      </c>
      <c r="I165" s="46">
        <v>76.2</v>
      </c>
      <c r="J165" s="46">
        <v>28.8</v>
      </c>
      <c r="K165" s="46">
        <v>30.2</v>
      </c>
      <c r="L165" s="46">
        <v>1.4</v>
      </c>
      <c r="M165" s="46">
        <v>128.5</v>
      </c>
      <c r="N165" s="46">
        <v>152</v>
      </c>
      <c r="O165" s="46">
        <v>441</v>
      </c>
      <c r="P165" s="46">
        <v>1914</v>
      </c>
      <c r="Q165" s="46" t="s">
        <v>3011</v>
      </c>
      <c r="R165" s="46" t="s">
        <v>576</v>
      </c>
      <c r="S165" s="46" t="s">
        <v>609</v>
      </c>
      <c r="T165" s="46" t="s">
        <v>587</v>
      </c>
      <c r="U165" s="47">
        <f t="shared" si="11"/>
        <v>14.14</v>
      </c>
      <c r="V165" s="46" t="s">
        <v>622</v>
      </c>
      <c r="W165" s="46" t="s">
        <v>1640</v>
      </c>
      <c r="X165" s="49" t="s">
        <v>321</v>
      </c>
    </row>
    <row r="166" spans="1:24" ht="15" customHeight="1" x14ac:dyDescent="0.25">
      <c r="A166" s="46" t="s">
        <v>3350</v>
      </c>
      <c r="B166" s="46" t="s">
        <v>3351</v>
      </c>
      <c r="C166" s="46" t="s">
        <v>680</v>
      </c>
      <c r="D166" s="46" t="s">
        <v>656</v>
      </c>
      <c r="E166" s="47">
        <v>654.99</v>
      </c>
      <c r="F166" s="46">
        <v>7.4</v>
      </c>
      <c r="G166" s="46">
        <v>6.3</v>
      </c>
      <c r="H166" s="46">
        <f t="shared" si="10"/>
        <v>6.9</v>
      </c>
      <c r="I166" s="46">
        <v>34.299999999999997</v>
      </c>
      <c r="J166" s="46">
        <v>7</v>
      </c>
      <c r="K166" s="46">
        <v>17.3</v>
      </c>
      <c r="L166" s="46">
        <v>7.8</v>
      </c>
      <c r="M166" s="46">
        <v>28.5</v>
      </c>
      <c r="N166" s="46">
        <v>59</v>
      </c>
      <c r="O166" s="46">
        <v>251</v>
      </c>
      <c r="P166" s="46">
        <v>1279</v>
      </c>
      <c r="Q166" s="46" t="s">
        <v>3011</v>
      </c>
      <c r="R166" s="46" t="s">
        <v>3015</v>
      </c>
      <c r="S166" s="46" t="s">
        <v>586</v>
      </c>
      <c r="T166" s="46" t="s">
        <v>587</v>
      </c>
      <c r="U166" s="47">
        <f t="shared" si="11"/>
        <v>22.6</v>
      </c>
      <c r="V166" s="46" t="s">
        <v>622</v>
      </c>
      <c r="W166" s="46" t="s">
        <v>1640</v>
      </c>
      <c r="X166" s="49" t="s">
        <v>321</v>
      </c>
    </row>
    <row r="167" spans="1:24" ht="15" customHeight="1" x14ac:dyDescent="0.25">
      <c r="A167" s="50" t="s">
        <v>3352</v>
      </c>
      <c r="B167" s="50" t="s">
        <v>3353</v>
      </c>
      <c r="C167" s="50" t="s">
        <v>655</v>
      </c>
      <c r="D167" s="50" t="s">
        <v>661</v>
      </c>
      <c r="E167" s="51">
        <v>498.52</v>
      </c>
      <c r="F167" s="50">
        <v>6.2</v>
      </c>
      <c r="G167" s="50">
        <v>1</v>
      </c>
      <c r="H167" s="50">
        <f t="shared" si="10"/>
        <v>3.6</v>
      </c>
      <c r="I167" s="50">
        <v>32.9</v>
      </c>
      <c r="J167" s="50">
        <v>70.599999999999994</v>
      </c>
      <c r="K167" s="50">
        <v>57.5</v>
      </c>
      <c r="L167" s="50">
        <v>4.9000000000000004</v>
      </c>
      <c r="M167" s="50">
        <v>377.9</v>
      </c>
      <c r="N167" s="50">
        <v>2828</v>
      </c>
      <c r="O167" s="50">
        <v>463</v>
      </c>
      <c r="P167" s="50">
        <v>2179</v>
      </c>
      <c r="Q167" s="50" t="s">
        <v>3018</v>
      </c>
      <c r="R167" s="50" t="s">
        <v>587</v>
      </c>
      <c r="S167" s="50" t="s">
        <v>653</v>
      </c>
      <c r="T167" s="50" t="s">
        <v>576</v>
      </c>
      <c r="U167" s="51">
        <f t="shared" si="11"/>
        <v>8.9700000000000006</v>
      </c>
      <c r="V167" s="50" t="s">
        <v>1676</v>
      </c>
      <c r="W167" s="50" t="s">
        <v>1676</v>
      </c>
      <c r="X167" s="53" t="s">
        <v>266</v>
      </c>
    </row>
    <row r="168" spans="1:24" ht="15" customHeight="1" x14ac:dyDescent="0.25">
      <c r="A168" s="50" t="s">
        <v>3354</v>
      </c>
      <c r="B168" s="50" t="s">
        <v>3355</v>
      </c>
      <c r="C168" s="50" t="s">
        <v>571</v>
      </c>
      <c r="D168" s="50" t="s">
        <v>597</v>
      </c>
      <c r="E168" s="51">
        <v>622.33000000000004</v>
      </c>
      <c r="F168" s="50">
        <v>6.5</v>
      </c>
      <c r="G168" s="50">
        <v>2.6</v>
      </c>
      <c r="H168" s="50">
        <f t="shared" si="10"/>
        <v>4.5999999999999996</v>
      </c>
      <c r="I168" s="50">
        <v>48.6</v>
      </c>
      <c r="J168" s="50">
        <v>29.2</v>
      </c>
      <c r="K168" s="50">
        <v>49.5</v>
      </c>
      <c r="L168" s="50">
        <v>9.1999999999999993</v>
      </c>
      <c r="M168" s="50">
        <v>109.2</v>
      </c>
      <c r="N168" s="50">
        <v>398</v>
      </c>
      <c r="O168" s="50">
        <v>125</v>
      </c>
      <c r="P168" s="50">
        <v>287</v>
      </c>
      <c r="Q168" s="50" t="s">
        <v>3057</v>
      </c>
      <c r="R168" s="50" t="s">
        <v>587</v>
      </c>
      <c r="S168" s="50" t="s">
        <v>638</v>
      </c>
      <c r="T168" s="50" t="s">
        <v>576</v>
      </c>
      <c r="U168" s="51">
        <f t="shared" si="11"/>
        <v>14.31</v>
      </c>
      <c r="V168" s="50" t="s">
        <v>1676</v>
      </c>
      <c r="W168" s="50" t="s">
        <v>1676</v>
      </c>
      <c r="X168" s="53" t="s">
        <v>266</v>
      </c>
    </row>
    <row r="169" spans="1:24" ht="15" customHeight="1" x14ac:dyDescent="0.25">
      <c r="A169" s="46" t="s">
        <v>3356</v>
      </c>
      <c r="B169" s="46" t="s">
        <v>3357</v>
      </c>
      <c r="C169" s="46" t="s">
        <v>3040</v>
      </c>
      <c r="D169" s="46" t="s">
        <v>3049</v>
      </c>
      <c r="E169" s="47">
        <v>420.11</v>
      </c>
      <c r="F169" s="46">
        <v>6.2</v>
      </c>
      <c r="G169" s="46">
        <v>6.8</v>
      </c>
      <c r="H169" s="46">
        <f t="shared" si="10"/>
        <v>6.5</v>
      </c>
      <c r="I169" s="46">
        <v>36.799999999999997</v>
      </c>
      <c r="J169" s="46">
        <v>35</v>
      </c>
      <c r="K169" s="46">
        <v>59.7</v>
      </c>
      <c r="L169" s="46">
        <v>8.4</v>
      </c>
      <c r="M169" s="46">
        <v>176.5</v>
      </c>
      <c r="N169" s="46">
        <v>4978</v>
      </c>
      <c r="O169" s="46">
        <v>1784</v>
      </c>
      <c r="P169" s="46">
        <v>12749</v>
      </c>
      <c r="Q169" s="46" t="s">
        <v>3053</v>
      </c>
      <c r="R169" s="46" t="s">
        <v>587</v>
      </c>
      <c r="S169" s="46" t="s">
        <v>575</v>
      </c>
      <c r="T169" s="46" t="s">
        <v>576</v>
      </c>
      <c r="U169" s="47">
        <f t="shared" si="11"/>
        <v>13.65</v>
      </c>
      <c r="V169" s="46" t="s">
        <v>622</v>
      </c>
      <c r="W169" s="46" t="s">
        <v>1640</v>
      </c>
      <c r="X169" s="49" t="s">
        <v>321</v>
      </c>
    </row>
    <row r="170" spans="1:24" ht="15" customHeight="1" x14ac:dyDescent="0.25">
      <c r="A170" s="46" t="s">
        <v>3358</v>
      </c>
      <c r="B170" s="46" t="s">
        <v>3359</v>
      </c>
      <c r="C170" s="46" t="s">
        <v>666</v>
      </c>
      <c r="D170" s="46" t="s">
        <v>661</v>
      </c>
      <c r="E170" s="47">
        <v>697.48</v>
      </c>
      <c r="F170" s="46">
        <v>5.5</v>
      </c>
      <c r="G170" s="46">
        <v>7.2</v>
      </c>
      <c r="H170" s="46">
        <f t="shared" si="10"/>
        <v>6.4</v>
      </c>
      <c r="I170" s="46">
        <v>15</v>
      </c>
      <c r="J170" s="46">
        <v>67.3</v>
      </c>
      <c r="K170" s="46">
        <v>16.5</v>
      </c>
      <c r="L170" s="46">
        <v>2.7</v>
      </c>
      <c r="M170" s="46">
        <v>130.30000000000001</v>
      </c>
      <c r="N170" s="46">
        <v>364</v>
      </c>
      <c r="O170" s="46">
        <v>347</v>
      </c>
      <c r="P170" s="46">
        <v>2962</v>
      </c>
      <c r="Q170" s="46" t="s">
        <v>3057</v>
      </c>
      <c r="R170" s="46" t="s">
        <v>576</v>
      </c>
      <c r="S170" s="46" t="s">
        <v>716</v>
      </c>
      <c r="T170" s="46" t="s">
        <v>576</v>
      </c>
      <c r="U170" s="47">
        <f t="shared" si="11"/>
        <v>22.32</v>
      </c>
      <c r="V170" s="46" t="s">
        <v>1640</v>
      </c>
      <c r="W170" s="46" t="s">
        <v>1640</v>
      </c>
      <c r="X170" s="49" t="s">
        <v>321</v>
      </c>
    </row>
    <row r="171" spans="1:24" ht="15" customHeight="1" x14ac:dyDescent="0.25">
      <c r="A171" s="46" t="s">
        <v>3360</v>
      </c>
      <c r="B171" s="46" t="s">
        <v>3361</v>
      </c>
      <c r="C171" s="46" t="s">
        <v>596</v>
      </c>
      <c r="D171" s="46" t="s">
        <v>3049</v>
      </c>
      <c r="E171" s="47">
        <v>295.04000000000002</v>
      </c>
      <c r="F171" s="46">
        <v>8.6</v>
      </c>
      <c r="G171" s="46">
        <v>2.4</v>
      </c>
      <c r="H171" s="46">
        <f t="shared" si="10"/>
        <v>5.5</v>
      </c>
      <c r="I171" s="46">
        <v>31.2</v>
      </c>
      <c r="J171" s="46">
        <v>20.3</v>
      </c>
      <c r="K171" s="46">
        <v>42.2</v>
      </c>
      <c r="L171" s="46">
        <v>8.5</v>
      </c>
      <c r="M171" s="46">
        <v>182.8</v>
      </c>
      <c r="N171" s="46">
        <v>2240</v>
      </c>
      <c r="O171" s="46">
        <v>1754</v>
      </c>
      <c r="P171" s="46">
        <v>6129</v>
      </c>
      <c r="Q171" s="46" t="s">
        <v>3057</v>
      </c>
      <c r="R171" s="46" t="s">
        <v>576</v>
      </c>
      <c r="S171" s="46" t="s">
        <v>618</v>
      </c>
      <c r="T171" s="46" t="s">
        <v>576</v>
      </c>
      <c r="U171" s="47">
        <f t="shared" si="11"/>
        <v>8.11</v>
      </c>
      <c r="V171" s="46" t="s">
        <v>1640</v>
      </c>
      <c r="W171" s="46" t="s">
        <v>1640</v>
      </c>
      <c r="X171" s="49" t="s">
        <v>321</v>
      </c>
    </row>
    <row r="172" spans="1:24" ht="15" customHeight="1" x14ac:dyDescent="0.25">
      <c r="A172" s="50" t="s">
        <v>3362</v>
      </c>
      <c r="B172" s="50" t="s">
        <v>3363</v>
      </c>
      <c r="C172" s="50" t="s">
        <v>713</v>
      </c>
      <c r="D172" s="50" t="s">
        <v>3049</v>
      </c>
      <c r="E172" s="51">
        <v>399.21</v>
      </c>
      <c r="F172" s="50">
        <v>2.7</v>
      </c>
      <c r="G172" s="50">
        <v>1.6</v>
      </c>
      <c r="H172" s="50">
        <f t="shared" si="10"/>
        <v>2.2000000000000002</v>
      </c>
      <c r="I172" s="50">
        <v>19.899999999999999</v>
      </c>
      <c r="J172" s="50">
        <v>71.3</v>
      </c>
      <c r="K172" s="50">
        <v>46.6</v>
      </c>
      <c r="L172" s="50">
        <v>2.2999999999999998</v>
      </c>
      <c r="M172" s="50">
        <v>505.2</v>
      </c>
      <c r="N172" s="50">
        <v>3020</v>
      </c>
      <c r="O172" s="50">
        <v>1555</v>
      </c>
      <c r="P172" s="50">
        <v>2560</v>
      </c>
      <c r="Q172" s="50" t="s">
        <v>3014</v>
      </c>
      <c r="R172" s="50" t="s">
        <v>576</v>
      </c>
      <c r="S172" s="50" t="s">
        <v>678</v>
      </c>
      <c r="T172" s="50" t="s">
        <v>576</v>
      </c>
      <c r="U172" s="51">
        <f t="shared" si="11"/>
        <v>4.3899999999999997</v>
      </c>
      <c r="V172" s="50" t="s">
        <v>622</v>
      </c>
      <c r="W172" s="50" t="s">
        <v>1676</v>
      </c>
      <c r="X172" s="53" t="s">
        <v>266</v>
      </c>
    </row>
    <row r="173" spans="1:24" ht="15" customHeight="1" x14ac:dyDescent="0.25">
      <c r="A173" s="46" t="s">
        <v>3364</v>
      </c>
      <c r="B173" s="46" t="s">
        <v>3365</v>
      </c>
      <c r="C173" s="46" t="s">
        <v>655</v>
      </c>
      <c r="D173" s="46" t="s">
        <v>605</v>
      </c>
      <c r="E173" s="47">
        <v>631.77</v>
      </c>
      <c r="F173" s="46">
        <v>4.8</v>
      </c>
      <c r="G173" s="46">
        <v>7.1</v>
      </c>
      <c r="H173" s="46">
        <f t="shared" si="10"/>
        <v>6</v>
      </c>
      <c r="I173" s="46">
        <v>33.5</v>
      </c>
      <c r="J173" s="46">
        <v>5.4</v>
      </c>
      <c r="K173" s="46">
        <v>50.4</v>
      </c>
      <c r="L173" s="46">
        <v>5.9</v>
      </c>
      <c r="M173" s="46">
        <v>561.1</v>
      </c>
      <c r="N173" s="46">
        <v>4681</v>
      </c>
      <c r="O173" s="46">
        <v>1237</v>
      </c>
      <c r="P173" s="46">
        <v>4980</v>
      </c>
      <c r="Q173" s="46" t="s">
        <v>3014</v>
      </c>
      <c r="R173" s="46" t="s">
        <v>576</v>
      </c>
      <c r="S173" s="46" t="s">
        <v>638</v>
      </c>
      <c r="T173" s="46" t="s">
        <v>576</v>
      </c>
      <c r="U173" s="47">
        <f t="shared" si="11"/>
        <v>18.95</v>
      </c>
      <c r="V173" s="46" t="s">
        <v>1640</v>
      </c>
      <c r="W173" s="46" t="s">
        <v>1640</v>
      </c>
      <c r="X173" s="49" t="s">
        <v>321</v>
      </c>
    </row>
    <row r="174" spans="1:24" ht="15" customHeight="1" x14ac:dyDescent="0.25">
      <c r="A174" s="46" t="s">
        <v>3366</v>
      </c>
      <c r="B174" s="46" t="s">
        <v>3367</v>
      </c>
      <c r="C174" s="46" t="s">
        <v>3040</v>
      </c>
      <c r="D174" s="46" t="s">
        <v>3049</v>
      </c>
      <c r="E174" s="47">
        <v>192.96</v>
      </c>
      <c r="F174" s="46">
        <v>2.2000000000000002</v>
      </c>
      <c r="G174" s="46">
        <v>9.3000000000000007</v>
      </c>
      <c r="H174" s="46">
        <f t="shared" si="10"/>
        <v>5.8</v>
      </c>
      <c r="I174" s="46">
        <v>27.5</v>
      </c>
      <c r="J174" s="46">
        <v>52.5</v>
      </c>
      <c r="K174" s="46">
        <v>62.4</v>
      </c>
      <c r="L174" s="46">
        <v>9.3000000000000007</v>
      </c>
      <c r="M174" s="46">
        <v>355.4</v>
      </c>
      <c r="N174" s="46">
        <v>5108</v>
      </c>
      <c r="O174" s="46">
        <v>2479</v>
      </c>
      <c r="P174" s="46">
        <v>13942</v>
      </c>
      <c r="Q174" s="46" t="s">
        <v>3018</v>
      </c>
      <c r="R174" s="46" t="s">
        <v>587</v>
      </c>
      <c r="S174" s="46" t="s">
        <v>602</v>
      </c>
      <c r="T174" s="46" t="s">
        <v>576</v>
      </c>
      <c r="U174" s="47">
        <f t="shared" si="11"/>
        <v>5.6</v>
      </c>
      <c r="V174" s="46" t="s">
        <v>1676</v>
      </c>
      <c r="W174" s="46" t="s">
        <v>1640</v>
      </c>
      <c r="X174" s="49" t="s">
        <v>321</v>
      </c>
    </row>
    <row r="175" spans="1:24" ht="15" customHeight="1" x14ac:dyDescent="0.25">
      <c r="A175" s="46" t="s">
        <v>3368</v>
      </c>
      <c r="B175" s="46" t="s">
        <v>3369</v>
      </c>
      <c r="C175" s="46" t="s">
        <v>611</v>
      </c>
      <c r="D175" s="46" t="s">
        <v>589</v>
      </c>
      <c r="E175" s="47">
        <v>529.02</v>
      </c>
      <c r="F175" s="46">
        <v>7.9</v>
      </c>
      <c r="G175" s="46">
        <v>3.8</v>
      </c>
      <c r="H175" s="46">
        <f t="shared" si="10"/>
        <v>5.9</v>
      </c>
      <c r="I175" s="46">
        <v>36.6</v>
      </c>
      <c r="J175" s="46">
        <v>21.2</v>
      </c>
      <c r="K175" s="46">
        <v>55.3</v>
      </c>
      <c r="L175" s="46">
        <v>4.8</v>
      </c>
      <c r="M175" s="46">
        <v>511.8</v>
      </c>
      <c r="N175" s="46">
        <v>1967</v>
      </c>
      <c r="O175" s="46">
        <v>234</v>
      </c>
      <c r="P175" s="46">
        <v>12374</v>
      </c>
      <c r="Q175" s="46" t="s">
        <v>3027</v>
      </c>
      <c r="R175" s="46" t="s">
        <v>587</v>
      </c>
      <c r="S175" s="46" t="s">
        <v>602</v>
      </c>
      <c r="T175" s="46" t="s">
        <v>587</v>
      </c>
      <c r="U175" s="47">
        <f t="shared" si="11"/>
        <v>15.61</v>
      </c>
      <c r="V175" s="46" t="s">
        <v>622</v>
      </c>
      <c r="W175" s="46" t="s">
        <v>1640</v>
      </c>
      <c r="X175" s="49" t="s">
        <v>321</v>
      </c>
    </row>
    <row r="176" spans="1:24" ht="15" customHeight="1" x14ac:dyDescent="0.25">
      <c r="A176" s="54" t="s">
        <v>3370</v>
      </c>
      <c r="B176" s="54" t="s">
        <v>3371</v>
      </c>
      <c r="C176" s="54" t="s">
        <v>611</v>
      </c>
      <c r="D176" s="54" t="s">
        <v>578</v>
      </c>
      <c r="E176" s="55">
        <v>216.29</v>
      </c>
      <c r="F176" s="54">
        <v>9.8000000000000007</v>
      </c>
      <c r="G176" s="54">
        <v>9</v>
      </c>
      <c r="H176" s="54">
        <f t="shared" si="10"/>
        <v>9.4</v>
      </c>
      <c r="I176" s="54">
        <v>60.6</v>
      </c>
      <c r="J176" s="54">
        <v>13.8</v>
      </c>
      <c r="K176" s="54">
        <v>59.3</v>
      </c>
      <c r="L176" s="54">
        <v>2</v>
      </c>
      <c r="M176" s="54">
        <v>510.5</v>
      </c>
      <c r="N176" s="54">
        <v>1827</v>
      </c>
      <c r="O176" s="54">
        <v>1124</v>
      </c>
      <c r="P176" s="54">
        <v>12693</v>
      </c>
      <c r="Q176" s="54" t="s">
        <v>3018</v>
      </c>
      <c r="R176" s="54" t="s">
        <v>576</v>
      </c>
      <c r="S176" s="54" t="s">
        <v>609</v>
      </c>
      <c r="T176" s="54" t="s">
        <v>576</v>
      </c>
      <c r="U176" s="55">
        <f t="shared" si="11"/>
        <v>10.17</v>
      </c>
      <c r="V176" s="54" t="s">
        <v>1640</v>
      </c>
      <c r="W176" s="54" t="s">
        <v>622</v>
      </c>
      <c r="X176" s="57" t="s">
        <v>495</v>
      </c>
    </row>
    <row r="177" spans="1:24" ht="15" customHeight="1" x14ac:dyDescent="0.25">
      <c r="A177" s="54" t="s">
        <v>3372</v>
      </c>
      <c r="B177" s="54" t="s">
        <v>3373</v>
      </c>
      <c r="C177" s="54" t="s">
        <v>691</v>
      </c>
      <c r="D177" s="54" t="s">
        <v>667</v>
      </c>
      <c r="E177" s="55">
        <v>114.33</v>
      </c>
      <c r="F177" s="54">
        <v>8.1999999999999993</v>
      </c>
      <c r="G177" s="54">
        <v>7.5</v>
      </c>
      <c r="H177" s="54">
        <f t="shared" si="10"/>
        <v>7.9</v>
      </c>
      <c r="I177" s="54">
        <v>18.7</v>
      </c>
      <c r="J177" s="54">
        <v>29.7</v>
      </c>
      <c r="K177" s="54">
        <v>59.4</v>
      </c>
      <c r="L177" s="54">
        <v>8.1</v>
      </c>
      <c r="M177" s="54">
        <v>87.9</v>
      </c>
      <c r="N177" s="54">
        <v>981</v>
      </c>
      <c r="O177" s="54">
        <v>300</v>
      </c>
      <c r="P177" s="54">
        <v>117</v>
      </c>
      <c r="Q177" s="54" t="s">
        <v>3011</v>
      </c>
      <c r="R177" s="54" t="s">
        <v>587</v>
      </c>
      <c r="S177" s="54" t="s">
        <v>3054</v>
      </c>
      <c r="T177" s="54" t="s">
        <v>576</v>
      </c>
      <c r="U177" s="55">
        <f t="shared" si="11"/>
        <v>4.5199999999999996</v>
      </c>
      <c r="V177" s="54" t="s">
        <v>1640</v>
      </c>
      <c r="W177" s="54" t="s">
        <v>622</v>
      </c>
      <c r="X177" s="57" t="s">
        <v>495</v>
      </c>
    </row>
    <row r="178" spans="1:24" ht="15" customHeight="1" x14ac:dyDescent="0.25">
      <c r="A178" s="46" t="s">
        <v>3374</v>
      </c>
      <c r="B178" s="46" t="s">
        <v>3375</v>
      </c>
      <c r="C178" s="46" t="s">
        <v>713</v>
      </c>
      <c r="D178" s="46" t="s">
        <v>688</v>
      </c>
      <c r="E178" s="47">
        <v>122.84</v>
      </c>
      <c r="F178" s="46">
        <v>4.9000000000000004</v>
      </c>
      <c r="G178" s="46">
        <v>5.8</v>
      </c>
      <c r="H178" s="46">
        <f t="shared" si="10"/>
        <v>5.4</v>
      </c>
      <c r="I178" s="46">
        <v>31.6</v>
      </c>
      <c r="J178" s="46">
        <v>43.5</v>
      </c>
      <c r="K178" s="46">
        <v>48.3</v>
      </c>
      <c r="L178" s="46">
        <v>8.9</v>
      </c>
      <c r="M178" s="46">
        <v>406</v>
      </c>
      <c r="N178" s="46">
        <v>4299</v>
      </c>
      <c r="O178" s="46">
        <v>2126</v>
      </c>
      <c r="P178" s="46">
        <v>3743</v>
      </c>
      <c r="Q178" s="46" t="s">
        <v>3011</v>
      </c>
      <c r="R178" s="46" t="s">
        <v>3015</v>
      </c>
      <c r="S178" s="46" t="s">
        <v>638</v>
      </c>
      <c r="T178" s="46" t="s">
        <v>587</v>
      </c>
      <c r="U178" s="47">
        <f t="shared" si="11"/>
        <v>3.32</v>
      </c>
      <c r="V178" s="46" t="s">
        <v>622</v>
      </c>
      <c r="W178" s="46" t="s">
        <v>1640</v>
      </c>
      <c r="X178" s="49" t="s">
        <v>321</v>
      </c>
    </row>
    <row r="179" spans="1:24" ht="15" customHeight="1" x14ac:dyDescent="0.25">
      <c r="A179" s="54" t="s">
        <v>3376</v>
      </c>
      <c r="B179" s="54" t="s">
        <v>3377</v>
      </c>
      <c r="C179" s="54" t="s">
        <v>680</v>
      </c>
      <c r="D179" s="54" t="s">
        <v>656</v>
      </c>
      <c r="E179" s="55">
        <v>510.74</v>
      </c>
      <c r="F179" s="54">
        <v>7.8</v>
      </c>
      <c r="G179" s="54">
        <v>8</v>
      </c>
      <c r="H179" s="54">
        <f t="shared" si="10"/>
        <v>7.9</v>
      </c>
      <c r="I179" s="54">
        <v>78.400000000000006</v>
      </c>
      <c r="J179" s="54">
        <v>38.5</v>
      </c>
      <c r="K179" s="54">
        <v>50.5</v>
      </c>
      <c r="L179" s="54">
        <v>7.3</v>
      </c>
      <c r="M179" s="54">
        <v>131.6</v>
      </c>
      <c r="N179" s="54">
        <v>118</v>
      </c>
      <c r="O179" s="54">
        <v>330</v>
      </c>
      <c r="P179" s="54">
        <v>1637</v>
      </c>
      <c r="Q179" s="54" t="s">
        <v>3018</v>
      </c>
      <c r="R179" s="54" t="s">
        <v>576</v>
      </c>
      <c r="S179" s="54" t="s">
        <v>628</v>
      </c>
      <c r="T179" s="54" t="s">
        <v>587</v>
      </c>
      <c r="U179" s="55">
        <f t="shared" si="11"/>
        <v>20.170000000000002</v>
      </c>
      <c r="V179" s="54" t="s">
        <v>1676</v>
      </c>
      <c r="W179" s="54" t="s">
        <v>622</v>
      </c>
      <c r="X179" s="57" t="s">
        <v>495</v>
      </c>
    </row>
    <row r="180" spans="1:24" ht="15" customHeight="1" x14ac:dyDescent="0.25">
      <c r="A180" s="46" t="s">
        <v>3378</v>
      </c>
      <c r="B180" s="46" t="s">
        <v>3379</v>
      </c>
      <c r="C180" s="46" t="s">
        <v>614</v>
      </c>
      <c r="D180" s="46" t="s">
        <v>3076</v>
      </c>
      <c r="E180" s="47">
        <v>229.47</v>
      </c>
      <c r="F180" s="46">
        <v>9.6999999999999993</v>
      </c>
      <c r="G180" s="46">
        <v>3.8</v>
      </c>
      <c r="H180" s="46">
        <f t="shared" si="10"/>
        <v>6.8</v>
      </c>
      <c r="I180" s="46">
        <v>9.3000000000000007</v>
      </c>
      <c r="J180" s="46">
        <v>11.7</v>
      </c>
      <c r="K180" s="46">
        <v>34.9</v>
      </c>
      <c r="L180" s="46">
        <v>2.5</v>
      </c>
      <c r="M180" s="46">
        <v>118</v>
      </c>
      <c r="N180" s="46">
        <v>216</v>
      </c>
      <c r="O180" s="46">
        <v>50</v>
      </c>
      <c r="P180" s="46">
        <v>321</v>
      </c>
      <c r="Q180" s="46" t="s">
        <v>3027</v>
      </c>
      <c r="R180" s="46" t="s">
        <v>3015</v>
      </c>
      <c r="S180" s="46" t="s">
        <v>586</v>
      </c>
      <c r="T180" s="46" t="s">
        <v>587</v>
      </c>
      <c r="U180" s="47">
        <f t="shared" si="11"/>
        <v>7.8</v>
      </c>
      <c r="V180" s="46" t="s">
        <v>622</v>
      </c>
      <c r="W180" s="46" t="s">
        <v>1640</v>
      </c>
      <c r="X180" s="49" t="s">
        <v>321</v>
      </c>
    </row>
    <row r="181" spans="1:24" ht="15" customHeight="1" x14ac:dyDescent="0.25">
      <c r="A181" s="46" t="s">
        <v>3380</v>
      </c>
      <c r="B181" s="46" t="s">
        <v>3381</v>
      </c>
      <c r="C181" s="46" t="s">
        <v>611</v>
      </c>
      <c r="D181" s="46" t="s">
        <v>605</v>
      </c>
      <c r="E181" s="47">
        <v>652.29999999999995</v>
      </c>
      <c r="F181" s="46">
        <v>9.8000000000000007</v>
      </c>
      <c r="G181" s="46">
        <v>2.2000000000000002</v>
      </c>
      <c r="H181" s="46">
        <f t="shared" si="10"/>
        <v>6</v>
      </c>
      <c r="I181" s="46">
        <v>80.599999999999994</v>
      </c>
      <c r="J181" s="46">
        <v>9.1</v>
      </c>
      <c r="K181" s="46">
        <v>8.5</v>
      </c>
      <c r="L181" s="46">
        <v>3.5</v>
      </c>
      <c r="M181" s="46">
        <v>594.29999999999995</v>
      </c>
      <c r="N181" s="46">
        <v>5864</v>
      </c>
      <c r="O181" s="46">
        <v>1065</v>
      </c>
      <c r="P181" s="46">
        <v>12979</v>
      </c>
      <c r="Q181" s="46" t="s">
        <v>3027</v>
      </c>
      <c r="R181" s="46" t="s">
        <v>3015</v>
      </c>
      <c r="S181" s="46" t="s">
        <v>628</v>
      </c>
      <c r="T181" s="46" t="s">
        <v>576</v>
      </c>
      <c r="U181" s="47">
        <f t="shared" si="11"/>
        <v>19.57</v>
      </c>
      <c r="V181" s="46" t="s">
        <v>1676</v>
      </c>
      <c r="W181" s="46" t="s">
        <v>1640</v>
      </c>
      <c r="X181" s="49" t="s">
        <v>321</v>
      </c>
    </row>
    <row r="182" spans="1:24" ht="15" customHeight="1" x14ac:dyDescent="0.25">
      <c r="A182" s="54" t="s">
        <v>3382</v>
      </c>
      <c r="B182" s="54" t="s">
        <v>3383</v>
      </c>
      <c r="C182" s="54" t="s">
        <v>3040</v>
      </c>
      <c r="D182" s="54" t="s">
        <v>597</v>
      </c>
      <c r="E182" s="55">
        <v>425.23</v>
      </c>
      <c r="F182" s="54">
        <v>7.4</v>
      </c>
      <c r="G182" s="54">
        <v>7.3</v>
      </c>
      <c r="H182" s="54">
        <f t="shared" si="10"/>
        <v>7.4</v>
      </c>
      <c r="I182" s="54">
        <v>58.9</v>
      </c>
      <c r="J182" s="54">
        <v>56.5</v>
      </c>
      <c r="K182" s="54">
        <v>48.6</v>
      </c>
      <c r="L182" s="54">
        <v>2.1</v>
      </c>
      <c r="M182" s="54">
        <v>435.3</v>
      </c>
      <c r="N182" s="54">
        <v>915</v>
      </c>
      <c r="O182" s="54">
        <v>1334</v>
      </c>
      <c r="P182" s="54">
        <v>12704</v>
      </c>
      <c r="Q182" s="54" t="s">
        <v>3011</v>
      </c>
      <c r="R182" s="54" t="s">
        <v>576</v>
      </c>
      <c r="S182" s="54" t="s">
        <v>586</v>
      </c>
      <c r="T182" s="54" t="s">
        <v>576</v>
      </c>
      <c r="U182" s="55">
        <f t="shared" si="11"/>
        <v>15.73</v>
      </c>
      <c r="V182" s="54" t="s">
        <v>1676</v>
      </c>
      <c r="W182" s="54" t="s">
        <v>622</v>
      </c>
      <c r="X182" s="57" t="s">
        <v>495</v>
      </c>
    </row>
    <row r="183" spans="1:24" ht="15" customHeight="1" x14ac:dyDescent="0.25">
      <c r="A183" s="46" t="s">
        <v>3384</v>
      </c>
      <c r="B183" s="46" t="s">
        <v>3385</v>
      </c>
      <c r="C183" s="46" t="s">
        <v>691</v>
      </c>
      <c r="D183" s="46" t="s">
        <v>3049</v>
      </c>
      <c r="E183" s="47">
        <v>373.72</v>
      </c>
      <c r="F183" s="46">
        <v>8.6999999999999993</v>
      </c>
      <c r="G183" s="46">
        <v>2.1</v>
      </c>
      <c r="H183" s="46">
        <f t="shared" si="10"/>
        <v>5.4</v>
      </c>
      <c r="I183" s="46">
        <v>75.099999999999994</v>
      </c>
      <c r="J183" s="46">
        <v>22.1</v>
      </c>
      <c r="K183" s="46">
        <v>47.5</v>
      </c>
      <c r="L183" s="46">
        <v>1.4</v>
      </c>
      <c r="M183" s="46">
        <v>121</v>
      </c>
      <c r="N183" s="46">
        <v>183</v>
      </c>
      <c r="O183" s="46">
        <v>307</v>
      </c>
      <c r="P183" s="46">
        <v>483</v>
      </c>
      <c r="Q183" s="46" t="s">
        <v>3053</v>
      </c>
      <c r="R183" s="46" t="s">
        <v>587</v>
      </c>
      <c r="S183" s="46" t="s">
        <v>716</v>
      </c>
      <c r="T183" s="46" t="s">
        <v>587</v>
      </c>
      <c r="U183" s="47">
        <f t="shared" si="11"/>
        <v>10.09</v>
      </c>
      <c r="V183" s="46" t="s">
        <v>1640</v>
      </c>
      <c r="W183" s="46" t="s">
        <v>1640</v>
      </c>
      <c r="X183" s="49" t="s">
        <v>321</v>
      </c>
    </row>
    <row r="184" spans="1:24" ht="15" customHeight="1" x14ac:dyDescent="0.25">
      <c r="A184" s="46" t="s">
        <v>3386</v>
      </c>
      <c r="B184" s="46" t="s">
        <v>3387</v>
      </c>
      <c r="C184" s="46" t="s">
        <v>3040</v>
      </c>
      <c r="D184" s="46" t="s">
        <v>661</v>
      </c>
      <c r="E184" s="47">
        <v>51.88</v>
      </c>
      <c r="F184" s="46">
        <v>9.9</v>
      </c>
      <c r="G184" s="46">
        <v>1.5</v>
      </c>
      <c r="H184" s="46">
        <f t="shared" si="10"/>
        <v>5.7</v>
      </c>
      <c r="I184" s="46">
        <v>62.2</v>
      </c>
      <c r="J184" s="46">
        <v>46.6</v>
      </c>
      <c r="K184" s="46">
        <v>61</v>
      </c>
      <c r="L184" s="46">
        <v>5</v>
      </c>
      <c r="M184" s="46">
        <v>356.8</v>
      </c>
      <c r="N184" s="46">
        <v>3759</v>
      </c>
      <c r="O184" s="46">
        <v>593</v>
      </c>
      <c r="P184" s="46">
        <v>11012</v>
      </c>
      <c r="Q184" s="46" t="s">
        <v>3018</v>
      </c>
      <c r="R184" s="46" t="s">
        <v>576</v>
      </c>
      <c r="S184" s="46" t="s">
        <v>609</v>
      </c>
      <c r="T184" s="46" t="s">
        <v>576</v>
      </c>
      <c r="U184" s="47">
        <f t="shared" si="11"/>
        <v>1.48</v>
      </c>
      <c r="V184" s="46" t="s">
        <v>622</v>
      </c>
      <c r="W184" s="46" t="s">
        <v>1640</v>
      </c>
      <c r="X184" s="49" t="s">
        <v>321</v>
      </c>
    </row>
    <row r="185" spans="1:24" ht="15" customHeight="1" x14ac:dyDescent="0.25">
      <c r="A185" s="46" t="s">
        <v>3388</v>
      </c>
      <c r="B185" s="46" t="s">
        <v>3389</v>
      </c>
      <c r="C185" s="46" t="s">
        <v>655</v>
      </c>
      <c r="D185" s="46" t="s">
        <v>605</v>
      </c>
      <c r="E185" s="47">
        <v>155.22999999999999</v>
      </c>
      <c r="F185" s="46">
        <v>6.4</v>
      </c>
      <c r="G185" s="46">
        <v>4.7</v>
      </c>
      <c r="H185" s="46">
        <f t="shared" si="10"/>
        <v>5.6</v>
      </c>
      <c r="I185" s="46">
        <v>75.7</v>
      </c>
      <c r="J185" s="46">
        <v>53</v>
      </c>
      <c r="K185" s="46">
        <v>49</v>
      </c>
      <c r="L185" s="46">
        <v>5.2</v>
      </c>
      <c r="M185" s="46">
        <v>320.2</v>
      </c>
      <c r="N185" s="46">
        <v>5481</v>
      </c>
      <c r="O185" s="46">
        <v>367</v>
      </c>
      <c r="P185" s="46">
        <v>3607</v>
      </c>
      <c r="Q185" s="46" t="s">
        <v>3018</v>
      </c>
      <c r="R185" s="46" t="s">
        <v>3015</v>
      </c>
      <c r="S185" s="46" t="s">
        <v>628</v>
      </c>
      <c r="T185" s="46" t="s">
        <v>576</v>
      </c>
      <c r="U185" s="47">
        <f t="shared" si="11"/>
        <v>4.3499999999999996</v>
      </c>
      <c r="V185" s="46" t="s">
        <v>1676</v>
      </c>
      <c r="W185" s="46" t="s">
        <v>1640</v>
      </c>
      <c r="X185" s="49" t="s">
        <v>321</v>
      </c>
    </row>
    <row r="186" spans="1:24" ht="15" customHeight="1" x14ac:dyDescent="0.25">
      <c r="A186" s="54" t="s">
        <v>3390</v>
      </c>
      <c r="B186" s="54" t="s">
        <v>3391</v>
      </c>
      <c r="C186" s="54" t="s">
        <v>614</v>
      </c>
      <c r="D186" s="54" t="s">
        <v>656</v>
      </c>
      <c r="E186" s="55">
        <v>221.39</v>
      </c>
      <c r="F186" s="54">
        <v>8.6</v>
      </c>
      <c r="G186" s="54">
        <v>7.7</v>
      </c>
      <c r="H186" s="54">
        <f t="shared" si="10"/>
        <v>8.1999999999999993</v>
      </c>
      <c r="I186" s="54">
        <v>70.7</v>
      </c>
      <c r="J186" s="54">
        <v>9.6999999999999993</v>
      </c>
      <c r="K186" s="54">
        <v>27</v>
      </c>
      <c r="L186" s="54">
        <v>2.5</v>
      </c>
      <c r="M186" s="54">
        <v>93.8</v>
      </c>
      <c r="N186" s="54">
        <v>870</v>
      </c>
      <c r="O186" s="54">
        <v>494</v>
      </c>
      <c r="P186" s="54">
        <v>931</v>
      </c>
      <c r="Q186" s="54" t="s">
        <v>3014</v>
      </c>
      <c r="R186" s="54" t="s">
        <v>587</v>
      </c>
      <c r="S186" s="54" t="s">
        <v>3030</v>
      </c>
      <c r="T186" s="54" t="s">
        <v>576</v>
      </c>
      <c r="U186" s="55">
        <f t="shared" si="11"/>
        <v>9.08</v>
      </c>
      <c r="V186" s="54" t="s">
        <v>622</v>
      </c>
      <c r="W186" s="54" t="s">
        <v>622</v>
      </c>
      <c r="X186" s="57" t="s">
        <v>495</v>
      </c>
    </row>
    <row r="187" spans="1:24" ht="15" customHeight="1" x14ac:dyDescent="0.25">
      <c r="A187" s="54" t="s">
        <v>3392</v>
      </c>
      <c r="B187" s="54" t="s">
        <v>3393</v>
      </c>
      <c r="C187" s="54" t="s">
        <v>655</v>
      </c>
      <c r="D187" s="54" t="s">
        <v>597</v>
      </c>
      <c r="E187" s="55">
        <v>313.81</v>
      </c>
      <c r="F187" s="54">
        <v>9</v>
      </c>
      <c r="G187" s="54">
        <v>9.6999999999999993</v>
      </c>
      <c r="H187" s="54">
        <f t="shared" si="10"/>
        <v>9.4</v>
      </c>
      <c r="I187" s="54">
        <v>38.4</v>
      </c>
      <c r="J187" s="54">
        <v>72.900000000000006</v>
      </c>
      <c r="K187" s="54">
        <v>27.4</v>
      </c>
      <c r="L187" s="54">
        <v>9.6</v>
      </c>
      <c r="M187" s="54">
        <v>544.70000000000005</v>
      </c>
      <c r="N187" s="54">
        <v>832</v>
      </c>
      <c r="O187" s="54">
        <v>1769</v>
      </c>
      <c r="P187" s="54">
        <v>4831</v>
      </c>
      <c r="Q187" s="54" t="s">
        <v>3011</v>
      </c>
      <c r="R187" s="54" t="s">
        <v>587</v>
      </c>
      <c r="S187" s="54" t="s">
        <v>609</v>
      </c>
      <c r="T187" s="54" t="s">
        <v>576</v>
      </c>
      <c r="U187" s="55">
        <f t="shared" si="11"/>
        <v>14.75</v>
      </c>
      <c r="V187" s="54" t="s">
        <v>622</v>
      </c>
      <c r="W187" s="54" t="s">
        <v>622</v>
      </c>
      <c r="X187" s="57" t="s">
        <v>495</v>
      </c>
    </row>
    <row r="188" spans="1:24" ht="15" customHeight="1" x14ac:dyDescent="0.25">
      <c r="A188" s="50" t="s">
        <v>3394</v>
      </c>
      <c r="B188" s="50" t="s">
        <v>3395</v>
      </c>
      <c r="C188" s="50" t="s">
        <v>680</v>
      </c>
      <c r="D188" s="50" t="s">
        <v>688</v>
      </c>
      <c r="E188" s="51">
        <v>305.92</v>
      </c>
      <c r="F188" s="50">
        <v>4.3</v>
      </c>
      <c r="G188" s="50">
        <v>3.7</v>
      </c>
      <c r="H188" s="50">
        <f t="shared" si="10"/>
        <v>4</v>
      </c>
      <c r="I188" s="50">
        <v>28</v>
      </c>
      <c r="J188" s="50">
        <v>58.4</v>
      </c>
      <c r="K188" s="50">
        <v>18.8</v>
      </c>
      <c r="L188" s="50">
        <v>6.9</v>
      </c>
      <c r="M188" s="50">
        <v>77.3</v>
      </c>
      <c r="N188" s="50">
        <v>491</v>
      </c>
      <c r="O188" s="50">
        <v>250</v>
      </c>
      <c r="P188" s="50">
        <v>904</v>
      </c>
      <c r="Q188" s="50" t="s">
        <v>3011</v>
      </c>
      <c r="R188" s="50" t="s">
        <v>587</v>
      </c>
      <c r="S188" s="50" t="s">
        <v>3054</v>
      </c>
      <c r="T188" s="50" t="s">
        <v>576</v>
      </c>
      <c r="U188" s="51">
        <f t="shared" si="11"/>
        <v>6.12</v>
      </c>
      <c r="V188" s="50" t="s">
        <v>622</v>
      </c>
      <c r="W188" s="50" t="s">
        <v>1676</v>
      </c>
      <c r="X188" s="53" t="s">
        <v>266</v>
      </c>
    </row>
    <row r="189" spans="1:24" ht="15" customHeight="1" x14ac:dyDescent="0.25">
      <c r="A189" s="50" t="s">
        <v>3396</v>
      </c>
      <c r="B189" s="50" t="s">
        <v>3397</v>
      </c>
      <c r="C189" s="50" t="s">
        <v>3033</v>
      </c>
      <c r="D189" s="50" t="s">
        <v>589</v>
      </c>
      <c r="E189" s="51">
        <v>320.94</v>
      </c>
      <c r="F189" s="50">
        <v>1.1000000000000001</v>
      </c>
      <c r="G189" s="50">
        <v>6.8</v>
      </c>
      <c r="H189" s="50">
        <f t="shared" si="10"/>
        <v>4</v>
      </c>
      <c r="I189" s="50">
        <v>35.200000000000003</v>
      </c>
      <c r="J189" s="50">
        <v>36.799999999999997</v>
      </c>
      <c r="K189" s="50">
        <v>11</v>
      </c>
      <c r="L189" s="50">
        <v>2.5</v>
      </c>
      <c r="M189" s="50">
        <v>210.6</v>
      </c>
      <c r="N189" s="50">
        <v>1462</v>
      </c>
      <c r="O189" s="50">
        <v>562</v>
      </c>
      <c r="P189" s="50">
        <v>5841</v>
      </c>
      <c r="Q189" s="50" t="s">
        <v>3027</v>
      </c>
      <c r="R189" s="50" t="s">
        <v>587</v>
      </c>
      <c r="S189" s="50" t="s">
        <v>586</v>
      </c>
      <c r="T189" s="50" t="s">
        <v>587</v>
      </c>
      <c r="U189" s="51">
        <f t="shared" si="11"/>
        <v>6.42</v>
      </c>
      <c r="V189" s="50" t="s">
        <v>622</v>
      </c>
      <c r="W189" s="50" t="s">
        <v>1676</v>
      </c>
      <c r="X189" s="53" t="s">
        <v>266</v>
      </c>
    </row>
    <row r="190" spans="1:24" ht="15" customHeight="1" x14ac:dyDescent="0.25">
      <c r="A190" s="46" t="s">
        <v>3398</v>
      </c>
      <c r="B190" s="46" t="s">
        <v>3399</v>
      </c>
      <c r="C190" s="46" t="s">
        <v>611</v>
      </c>
      <c r="D190" s="46" t="s">
        <v>819</v>
      </c>
      <c r="E190" s="47">
        <v>588.69000000000005</v>
      </c>
      <c r="F190" s="46">
        <v>4.0999999999999996</v>
      </c>
      <c r="G190" s="46">
        <v>6.9</v>
      </c>
      <c r="H190" s="46">
        <f t="shared" si="10"/>
        <v>5.5</v>
      </c>
      <c r="I190" s="46">
        <v>60.6</v>
      </c>
      <c r="J190" s="46">
        <v>23.7</v>
      </c>
      <c r="K190" s="46">
        <v>12.4</v>
      </c>
      <c r="L190" s="46">
        <v>7.1</v>
      </c>
      <c r="M190" s="46">
        <v>532.6</v>
      </c>
      <c r="N190" s="46">
        <v>5712</v>
      </c>
      <c r="O190" s="46">
        <v>360</v>
      </c>
      <c r="P190" s="46">
        <v>9745</v>
      </c>
      <c r="Q190" s="46" t="s">
        <v>3011</v>
      </c>
      <c r="R190" s="46" t="s">
        <v>587</v>
      </c>
      <c r="S190" s="46" t="s">
        <v>3054</v>
      </c>
      <c r="T190" s="46" t="s">
        <v>576</v>
      </c>
      <c r="U190" s="47">
        <f t="shared" si="11"/>
        <v>16.190000000000001</v>
      </c>
      <c r="V190" s="46" t="s">
        <v>622</v>
      </c>
      <c r="W190" s="46" t="s">
        <v>1640</v>
      </c>
      <c r="X190" s="49" t="s">
        <v>321</v>
      </c>
    </row>
    <row r="191" spans="1:24" ht="15" customHeight="1" x14ac:dyDescent="0.25">
      <c r="A191" s="54" t="s">
        <v>3400</v>
      </c>
      <c r="B191" s="54" t="s">
        <v>3401</v>
      </c>
      <c r="C191" s="54" t="s">
        <v>695</v>
      </c>
      <c r="D191" s="54" t="s">
        <v>819</v>
      </c>
      <c r="E191" s="55">
        <v>314.92</v>
      </c>
      <c r="F191" s="54">
        <v>6.8</v>
      </c>
      <c r="G191" s="54">
        <v>7.5</v>
      </c>
      <c r="H191" s="54">
        <f t="shared" si="10"/>
        <v>7.2</v>
      </c>
      <c r="I191" s="54">
        <v>77.599999999999994</v>
      </c>
      <c r="J191" s="54">
        <v>54.8</v>
      </c>
      <c r="K191" s="54">
        <v>43.8</v>
      </c>
      <c r="L191" s="54">
        <v>6.1</v>
      </c>
      <c r="M191" s="54">
        <v>69.400000000000006</v>
      </c>
      <c r="N191" s="54">
        <v>275</v>
      </c>
      <c r="O191" s="54">
        <v>152</v>
      </c>
      <c r="P191" s="54">
        <v>2392</v>
      </c>
      <c r="Q191" s="54" t="s">
        <v>3057</v>
      </c>
      <c r="R191" s="54" t="s">
        <v>576</v>
      </c>
      <c r="S191" s="54" t="s">
        <v>609</v>
      </c>
      <c r="T191" s="54" t="s">
        <v>587</v>
      </c>
      <c r="U191" s="55">
        <f t="shared" si="11"/>
        <v>11.34</v>
      </c>
      <c r="V191" s="54" t="s">
        <v>1640</v>
      </c>
      <c r="W191" s="54" t="s">
        <v>622</v>
      </c>
      <c r="X191" s="57" t="s">
        <v>495</v>
      </c>
    </row>
    <row r="192" spans="1:24" ht="15" customHeight="1" x14ac:dyDescent="0.25">
      <c r="A192" s="50" t="s">
        <v>3402</v>
      </c>
      <c r="B192" s="50" t="s">
        <v>3403</v>
      </c>
      <c r="C192" s="50" t="s">
        <v>611</v>
      </c>
      <c r="D192" s="50" t="s">
        <v>819</v>
      </c>
      <c r="E192" s="51">
        <v>287.66000000000003</v>
      </c>
      <c r="F192" s="50">
        <v>1.5</v>
      </c>
      <c r="G192" s="50">
        <v>5.8</v>
      </c>
      <c r="H192" s="50">
        <f t="shared" si="10"/>
        <v>3.7</v>
      </c>
      <c r="I192" s="50">
        <v>23</v>
      </c>
      <c r="J192" s="50">
        <v>23.3</v>
      </c>
      <c r="K192" s="50">
        <v>15.5</v>
      </c>
      <c r="L192" s="50">
        <v>8.3000000000000007</v>
      </c>
      <c r="M192" s="50">
        <v>514</v>
      </c>
      <c r="N192" s="50">
        <v>2473</v>
      </c>
      <c r="O192" s="50">
        <v>517</v>
      </c>
      <c r="P192" s="50">
        <v>2289</v>
      </c>
      <c r="Q192" s="50" t="s">
        <v>3011</v>
      </c>
      <c r="R192" s="50" t="s">
        <v>587</v>
      </c>
      <c r="S192" s="50" t="s">
        <v>653</v>
      </c>
      <c r="T192" s="50" t="s">
        <v>587</v>
      </c>
      <c r="U192" s="51">
        <f t="shared" si="11"/>
        <v>5.32</v>
      </c>
      <c r="V192" s="50" t="s">
        <v>1640</v>
      </c>
      <c r="W192" s="50" t="s">
        <v>1676</v>
      </c>
      <c r="X192" s="53" t="s">
        <v>266</v>
      </c>
    </row>
    <row r="193" spans="1:24" ht="15" customHeight="1" x14ac:dyDescent="0.25">
      <c r="A193" s="46" t="s">
        <v>3404</v>
      </c>
      <c r="B193" s="46" t="s">
        <v>3405</v>
      </c>
      <c r="C193" s="46" t="s">
        <v>655</v>
      </c>
      <c r="D193" s="46" t="s">
        <v>597</v>
      </c>
      <c r="E193" s="47">
        <v>687.09</v>
      </c>
      <c r="F193" s="46">
        <v>3.4</v>
      </c>
      <c r="G193" s="46">
        <v>8.8000000000000007</v>
      </c>
      <c r="H193" s="46">
        <f t="shared" si="10"/>
        <v>6.1</v>
      </c>
      <c r="I193" s="46">
        <v>67.3</v>
      </c>
      <c r="J193" s="46">
        <v>32.299999999999997</v>
      </c>
      <c r="K193" s="46">
        <v>45.8</v>
      </c>
      <c r="L193" s="46">
        <v>7.1</v>
      </c>
      <c r="M193" s="46">
        <v>374.7</v>
      </c>
      <c r="N193" s="46">
        <v>4215</v>
      </c>
      <c r="O193" s="46">
        <v>1844</v>
      </c>
      <c r="P193" s="46">
        <v>10614</v>
      </c>
      <c r="Q193" s="46" t="s">
        <v>3011</v>
      </c>
      <c r="R193" s="46" t="s">
        <v>3015</v>
      </c>
      <c r="S193" s="46" t="s">
        <v>575</v>
      </c>
      <c r="T193" s="46" t="s">
        <v>587</v>
      </c>
      <c r="U193" s="47">
        <f t="shared" si="11"/>
        <v>20.96</v>
      </c>
      <c r="V193" s="46" t="s">
        <v>1676</v>
      </c>
      <c r="W193" s="46" t="s">
        <v>1640</v>
      </c>
      <c r="X193" s="49" t="s">
        <v>321</v>
      </c>
    </row>
    <row r="194" spans="1:24" ht="15" customHeight="1" x14ac:dyDescent="0.25">
      <c r="A194" s="54" t="s">
        <v>3406</v>
      </c>
      <c r="B194" s="54" t="s">
        <v>3407</v>
      </c>
      <c r="C194" s="54" t="s">
        <v>671</v>
      </c>
      <c r="D194" s="54" t="s">
        <v>661</v>
      </c>
      <c r="E194" s="55">
        <v>333.78</v>
      </c>
      <c r="F194" s="54">
        <v>6.1</v>
      </c>
      <c r="G194" s="54">
        <v>9.9</v>
      </c>
      <c r="H194" s="54">
        <f t="shared" si="10"/>
        <v>8</v>
      </c>
      <c r="I194" s="54">
        <v>26.7</v>
      </c>
      <c r="J194" s="54">
        <v>32.1</v>
      </c>
      <c r="K194" s="54">
        <v>48.1</v>
      </c>
      <c r="L194" s="54">
        <v>8</v>
      </c>
      <c r="M194" s="54">
        <v>322</v>
      </c>
      <c r="N194" s="54">
        <v>1020</v>
      </c>
      <c r="O194" s="54">
        <v>1964</v>
      </c>
      <c r="P194" s="54">
        <v>4418</v>
      </c>
      <c r="Q194" s="54" t="s">
        <v>3057</v>
      </c>
      <c r="R194" s="54" t="s">
        <v>576</v>
      </c>
      <c r="S194" s="54" t="s">
        <v>638</v>
      </c>
      <c r="T194" s="54" t="s">
        <v>576</v>
      </c>
      <c r="U194" s="55">
        <f t="shared" si="11"/>
        <v>13.35</v>
      </c>
      <c r="V194" s="54" t="s">
        <v>1640</v>
      </c>
      <c r="W194" s="54" t="s">
        <v>622</v>
      </c>
      <c r="X194" s="57" t="s">
        <v>495</v>
      </c>
    </row>
    <row r="195" spans="1:24" ht="15" customHeight="1" x14ac:dyDescent="0.25">
      <c r="A195" s="50" t="s">
        <v>3408</v>
      </c>
      <c r="B195" s="50" t="s">
        <v>3409</v>
      </c>
      <c r="C195" s="50" t="s">
        <v>840</v>
      </c>
      <c r="D195" s="50" t="s">
        <v>597</v>
      </c>
      <c r="E195" s="51">
        <v>64.38</v>
      </c>
      <c r="F195" s="50">
        <v>7.3</v>
      </c>
      <c r="G195" s="50">
        <v>1.1000000000000001</v>
      </c>
      <c r="H195" s="50">
        <f t="shared" ref="H195:H226" si="12">ROUND((F195+G195)/2,1)</f>
        <v>4.2</v>
      </c>
      <c r="I195" s="50">
        <v>31.6</v>
      </c>
      <c r="J195" s="50">
        <v>63.7</v>
      </c>
      <c r="K195" s="50">
        <v>41.3</v>
      </c>
      <c r="L195" s="50">
        <v>9.5</v>
      </c>
      <c r="M195" s="50">
        <v>378.6</v>
      </c>
      <c r="N195" s="50">
        <v>3299</v>
      </c>
      <c r="O195" s="50">
        <v>959</v>
      </c>
      <c r="P195" s="50">
        <v>13458</v>
      </c>
      <c r="Q195" s="50" t="s">
        <v>3053</v>
      </c>
      <c r="R195" s="50" t="s">
        <v>3015</v>
      </c>
      <c r="S195" s="50" t="s">
        <v>609</v>
      </c>
      <c r="T195" s="50" t="s">
        <v>587</v>
      </c>
      <c r="U195" s="51">
        <f t="shared" ref="U195:U202" si="13">ROUND(E195*H195/100*0.5,2)</f>
        <v>1.35</v>
      </c>
      <c r="V195" s="50" t="s">
        <v>1640</v>
      </c>
      <c r="W195" s="50" t="s">
        <v>1676</v>
      </c>
      <c r="X195" s="53" t="s">
        <v>266</v>
      </c>
    </row>
    <row r="196" spans="1:24" ht="15" customHeight="1" x14ac:dyDescent="0.25">
      <c r="A196" s="46" t="s">
        <v>3410</v>
      </c>
      <c r="B196" s="46" t="s">
        <v>3411</v>
      </c>
      <c r="C196" s="46" t="s">
        <v>695</v>
      </c>
      <c r="D196" s="46" t="s">
        <v>649</v>
      </c>
      <c r="E196" s="47">
        <v>308.10000000000002</v>
      </c>
      <c r="F196" s="46">
        <v>8.6</v>
      </c>
      <c r="G196" s="46">
        <v>2.6</v>
      </c>
      <c r="H196" s="46">
        <f t="shared" si="12"/>
        <v>5.6</v>
      </c>
      <c r="I196" s="46">
        <v>73.3</v>
      </c>
      <c r="J196" s="46">
        <v>21.8</v>
      </c>
      <c r="K196" s="46">
        <v>31.1</v>
      </c>
      <c r="L196" s="46">
        <v>9.8000000000000007</v>
      </c>
      <c r="M196" s="46">
        <v>37.799999999999997</v>
      </c>
      <c r="N196" s="46">
        <v>426</v>
      </c>
      <c r="O196" s="46">
        <v>447</v>
      </c>
      <c r="P196" s="46">
        <v>2510</v>
      </c>
      <c r="Q196" s="46" t="s">
        <v>3014</v>
      </c>
      <c r="R196" s="46" t="s">
        <v>587</v>
      </c>
      <c r="S196" s="46" t="s">
        <v>609</v>
      </c>
      <c r="T196" s="46" t="s">
        <v>587</v>
      </c>
      <c r="U196" s="47">
        <f t="shared" si="13"/>
        <v>8.6300000000000008</v>
      </c>
      <c r="V196" s="46" t="s">
        <v>1676</v>
      </c>
      <c r="W196" s="46" t="s">
        <v>1640</v>
      </c>
      <c r="X196" s="49" t="s">
        <v>321</v>
      </c>
    </row>
    <row r="197" spans="1:24" ht="15" customHeight="1" x14ac:dyDescent="0.25">
      <c r="A197" s="54" t="s">
        <v>3412</v>
      </c>
      <c r="B197" s="54" t="s">
        <v>3413</v>
      </c>
      <c r="C197" s="54" t="s">
        <v>666</v>
      </c>
      <c r="D197" s="54" t="s">
        <v>3052</v>
      </c>
      <c r="E197" s="55">
        <v>235.84</v>
      </c>
      <c r="F197" s="54">
        <v>10</v>
      </c>
      <c r="G197" s="54">
        <v>9.6</v>
      </c>
      <c r="H197" s="54">
        <f t="shared" si="12"/>
        <v>9.8000000000000007</v>
      </c>
      <c r="I197" s="54">
        <v>57.1</v>
      </c>
      <c r="J197" s="54">
        <v>45.8</v>
      </c>
      <c r="K197" s="54">
        <v>18.399999999999999</v>
      </c>
      <c r="L197" s="54">
        <v>9.1</v>
      </c>
      <c r="M197" s="54">
        <v>142.30000000000001</v>
      </c>
      <c r="N197" s="54">
        <v>886</v>
      </c>
      <c r="O197" s="54">
        <v>109</v>
      </c>
      <c r="P197" s="54">
        <v>1332</v>
      </c>
      <c r="Q197" s="54" t="s">
        <v>3057</v>
      </c>
      <c r="R197" s="54" t="s">
        <v>587</v>
      </c>
      <c r="S197" s="54" t="s">
        <v>586</v>
      </c>
      <c r="T197" s="54" t="s">
        <v>576</v>
      </c>
      <c r="U197" s="55">
        <f t="shared" si="13"/>
        <v>11.56</v>
      </c>
      <c r="V197" s="54" t="s">
        <v>1640</v>
      </c>
      <c r="W197" s="54" t="s">
        <v>622</v>
      </c>
      <c r="X197" s="57" t="s">
        <v>495</v>
      </c>
    </row>
    <row r="198" spans="1:24" ht="15" customHeight="1" x14ac:dyDescent="0.25">
      <c r="A198" s="46" t="s">
        <v>3414</v>
      </c>
      <c r="B198" s="46" t="s">
        <v>3415</v>
      </c>
      <c r="C198" s="46" t="s">
        <v>695</v>
      </c>
      <c r="D198" s="46" t="s">
        <v>649</v>
      </c>
      <c r="E198" s="47">
        <v>193.01</v>
      </c>
      <c r="F198" s="46">
        <v>7.9</v>
      </c>
      <c r="G198" s="46">
        <v>3</v>
      </c>
      <c r="H198" s="46">
        <f t="shared" si="12"/>
        <v>5.5</v>
      </c>
      <c r="I198" s="46">
        <v>81.900000000000006</v>
      </c>
      <c r="J198" s="46">
        <v>52.6</v>
      </c>
      <c r="K198" s="46">
        <v>4.0999999999999996</v>
      </c>
      <c r="L198" s="46">
        <v>5.8</v>
      </c>
      <c r="M198" s="46">
        <v>109.2</v>
      </c>
      <c r="N198" s="46">
        <v>174</v>
      </c>
      <c r="O198" s="46">
        <v>303</v>
      </c>
      <c r="P198" s="46">
        <v>2274</v>
      </c>
      <c r="Q198" s="46" t="s">
        <v>3057</v>
      </c>
      <c r="R198" s="46" t="s">
        <v>576</v>
      </c>
      <c r="S198" s="46" t="s">
        <v>609</v>
      </c>
      <c r="T198" s="46" t="s">
        <v>576</v>
      </c>
      <c r="U198" s="47">
        <f t="shared" si="13"/>
        <v>5.31</v>
      </c>
      <c r="V198" s="46" t="s">
        <v>1676</v>
      </c>
      <c r="W198" s="46" t="s">
        <v>1640</v>
      </c>
      <c r="X198" s="49" t="s">
        <v>321</v>
      </c>
    </row>
    <row r="199" spans="1:24" ht="15" customHeight="1" x14ac:dyDescent="0.25">
      <c r="A199" s="46" t="s">
        <v>3416</v>
      </c>
      <c r="B199" s="46" t="s">
        <v>3417</v>
      </c>
      <c r="C199" s="46" t="s">
        <v>671</v>
      </c>
      <c r="D199" s="46" t="s">
        <v>621</v>
      </c>
      <c r="E199" s="47">
        <v>406.84</v>
      </c>
      <c r="F199" s="46">
        <v>1.8</v>
      </c>
      <c r="G199" s="46">
        <v>9.4</v>
      </c>
      <c r="H199" s="46">
        <f t="shared" si="12"/>
        <v>5.6</v>
      </c>
      <c r="I199" s="46">
        <v>27.5</v>
      </c>
      <c r="J199" s="46">
        <v>15.9</v>
      </c>
      <c r="K199" s="46">
        <v>25.5</v>
      </c>
      <c r="L199" s="46">
        <v>9.6999999999999993</v>
      </c>
      <c r="M199" s="46">
        <v>275.7</v>
      </c>
      <c r="N199" s="46">
        <v>1943</v>
      </c>
      <c r="O199" s="46">
        <v>1973</v>
      </c>
      <c r="P199" s="46">
        <v>9281</v>
      </c>
      <c r="Q199" s="46" t="s">
        <v>3053</v>
      </c>
      <c r="R199" s="46" t="s">
        <v>587</v>
      </c>
      <c r="S199" s="46" t="s">
        <v>575</v>
      </c>
      <c r="T199" s="46" t="s">
        <v>587</v>
      </c>
      <c r="U199" s="47">
        <f t="shared" si="13"/>
        <v>11.39</v>
      </c>
      <c r="V199" s="46" t="s">
        <v>1676</v>
      </c>
      <c r="W199" s="46" t="s">
        <v>1640</v>
      </c>
      <c r="X199" s="49" t="s">
        <v>321</v>
      </c>
    </row>
    <row r="200" spans="1:24" ht="15" customHeight="1" x14ac:dyDescent="0.25">
      <c r="A200" s="54" t="s">
        <v>3418</v>
      </c>
      <c r="B200" s="54" t="s">
        <v>3419</v>
      </c>
      <c r="C200" s="54" t="s">
        <v>713</v>
      </c>
      <c r="D200" s="54" t="s">
        <v>3049</v>
      </c>
      <c r="E200" s="55">
        <v>176.1</v>
      </c>
      <c r="F200" s="54">
        <v>9.6999999999999993</v>
      </c>
      <c r="G200" s="54">
        <v>8.8000000000000007</v>
      </c>
      <c r="H200" s="54">
        <f t="shared" si="12"/>
        <v>9.3000000000000007</v>
      </c>
      <c r="I200" s="54">
        <v>79.7</v>
      </c>
      <c r="J200" s="54">
        <v>52.4</v>
      </c>
      <c r="K200" s="54">
        <v>45.9</v>
      </c>
      <c r="L200" s="54">
        <v>4.7</v>
      </c>
      <c r="M200" s="54">
        <v>303.60000000000002</v>
      </c>
      <c r="N200" s="54">
        <v>1709</v>
      </c>
      <c r="O200" s="54">
        <v>1111</v>
      </c>
      <c r="P200" s="54">
        <v>8286</v>
      </c>
      <c r="Q200" s="54" t="s">
        <v>3053</v>
      </c>
      <c r="R200" s="54" t="s">
        <v>587</v>
      </c>
      <c r="S200" s="54" t="s">
        <v>609</v>
      </c>
      <c r="T200" s="54" t="s">
        <v>587</v>
      </c>
      <c r="U200" s="55">
        <f t="shared" si="13"/>
        <v>8.19</v>
      </c>
      <c r="V200" s="54" t="s">
        <v>1640</v>
      </c>
      <c r="W200" s="54" t="s">
        <v>622</v>
      </c>
      <c r="X200" s="57" t="s">
        <v>495</v>
      </c>
    </row>
    <row r="201" spans="1:24" ht="15" customHeight="1" x14ac:dyDescent="0.25">
      <c r="A201" s="50" t="s">
        <v>3420</v>
      </c>
      <c r="B201" s="50" t="s">
        <v>3421</v>
      </c>
      <c r="C201" s="50" t="s">
        <v>571</v>
      </c>
      <c r="D201" s="50" t="s">
        <v>597</v>
      </c>
      <c r="E201" s="51">
        <v>314.38</v>
      </c>
      <c r="F201" s="50">
        <v>2.8</v>
      </c>
      <c r="G201" s="50">
        <v>1</v>
      </c>
      <c r="H201" s="50">
        <f t="shared" si="12"/>
        <v>1.9</v>
      </c>
      <c r="I201" s="50">
        <v>27.3</v>
      </c>
      <c r="J201" s="50">
        <v>9.3000000000000007</v>
      </c>
      <c r="K201" s="50">
        <v>54.3</v>
      </c>
      <c r="L201" s="50">
        <v>9.3000000000000007</v>
      </c>
      <c r="M201" s="50">
        <v>101.8</v>
      </c>
      <c r="N201" s="50">
        <v>415</v>
      </c>
      <c r="O201" s="50">
        <v>467</v>
      </c>
      <c r="P201" s="50">
        <v>724</v>
      </c>
      <c r="Q201" s="50" t="s">
        <v>3053</v>
      </c>
      <c r="R201" s="50" t="s">
        <v>3015</v>
      </c>
      <c r="S201" s="50" t="s">
        <v>638</v>
      </c>
      <c r="T201" s="50" t="s">
        <v>576</v>
      </c>
      <c r="U201" s="51">
        <f t="shared" si="13"/>
        <v>2.99</v>
      </c>
      <c r="V201" s="50" t="s">
        <v>1640</v>
      </c>
      <c r="W201" s="50" t="s">
        <v>1676</v>
      </c>
      <c r="X201" s="53" t="s">
        <v>266</v>
      </c>
    </row>
    <row r="202" spans="1:24" ht="15" customHeight="1" x14ac:dyDescent="0.25">
      <c r="A202" s="46" t="s">
        <v>3422</v>
      </c>
      <c r="B202" s="46" t="s">
        <v>3423</v>
      </c>
      <c r="C202" s="46" t="s">
        <v>671</v>
      </c>
      <c r="D202" s="46" t="s">
        <v>605</v>
      </c>
      <c r="E202" s="47">
        <v>387.44</v>
      </c>
      <c r="F202" s="46">
        <v>9.9</v>
      </c>
      <c r="G202" s="46">
        <v>1.3</v>
      </c>
      <c r="H202" s="46">
        <f t="shared" si="12"/>
        <v>5.6</v>
      </c>
      <c r="I202" s="46">
        <v>78.7</v>
      </c>
      <c r="J202" s="46">
        <v>38.9</v>
      </c>
      <c r="K202" s="46">
        <v>45.3</v>
      </c>
      <c r="L202" s="46">
        <v>7.6</v>
      </c>
      <c r="M202" s="46">
        <v>179.6</v>
      </c>
      <c r="N202" s="46">
        <v>2026</v>
      </c>
      <c r="O202" s="46">
        <v>1509</v>
      </c>
      <c r="P202" s="46">
        <v>8587</v>
      </c>
      <c r="Q202" s="46" t="s">
        <v>3011</v>
      </c>
      <c r="R202" s="46" t="s">
        <v>576</v>
      </c>
      <c r="S202" s="46" t="s">
        <v>638</v>
      </c>
      <c r="T202" s="46" t="s">
        <v>587</v>
      </c>
      <c r="U202" s="47">
        <f t="shared" si="13"/>
        <v>10.85</v>
      </c>
      <c r="V202" s="46" t="s">
        <v>1676</v>
      </c>
      <c r="W202" s="46" t="s">
        <v>1640</v>
      </c>
      <c r="X202" s="49" t="s">
        <v>321</v>
      </c>
    </row>
  </sheetData>
  <mergeCells count="1"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02"/>
  <sheetViews>
    <sheetView zoomScaleNormal="100" workbookViewId="0">
      <pane xSplit="2" ySplit="2" topLeftCell="M3" activePane="bottomRight" state="frozen"/>
      <selection pane="topRight" activeCell="M1" sqref="M1"/>
      <selection pane="bottomLeft" activeCell="A4" sqref="A4"/>
      <selection pane="bottomRight" sqref="A1:X1"/>
    </sheetView>
  </sheetViews>
  <sheetFormatPr defaultColWidth="8.7109375" defaultRowHeight="15" x14ac:dyDescent="0.25"/>
  <cols>
    <col min="1" max="1" width="12.42578125" customWidth="1"/>
    <col min="2" max="2" width="11.42578125" customWidth="1"/>
    <col min="3" max="3" width="9.42578125" customWidth="1"/>
    <col min="4" max="4" width="15" customWidth="1"/>
    <col min="5" max="5" width="16.28515625" customWidth="1"/>
    <col min="6" max="6" width="14.5703125" customWidth="1"/>
    <col min="7" max="7" width="15.85546875" customWidth="1"/>
    <col min="8" max="8" width="31.140625" customWidth="1"/>
    <col min="9" max="9" width="25.28515625" customWidth="1"/>
    <col min="10" max="10" width="13.5703125" customWidth="1"/>
    <col min="11" max="11" width="14" customWidth="1"/>
    <col min="12" max="12" width="14.42578125" customWidth="1"/>
    <col min="13" max="13" width="21" customWidth="1"/>
    <col min="14" max="14" width="22.5703125" customWidth="1"/>
    <col min="15" max="15" width="22" customWidth="1"/>
    <col min="16" max="18" width="12" customWidth="1"/>
    <col min="19" max="19" width="14.7109375" customWidth="1"/>
    <col min="20" max="20" width="18.42578125" customWidth="1"/>
    <col min="21" max="21" width="18.28515625" customWidth="1"/>
    <col min="22" max="22" width="21" customWidth="1"/>
    <col min="23" max="23" width="7.42578125" customWidth="1"/>
    <col min="24" max="24" width="6.42578125" customWidth="1"/>
  </cols>
  <sheetData>
    <row r="1" spans="1:24" ht="37.5" customHeight="1" x14ac:dyDescent="0.25">
      <c r="A1" s="138" t="s">
        <v>3424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40"/>
    </row>
    <row r="2" spans="1:24" ht="21.75" customHeight="1" x14ac:dyDescent="0.25">
      <c r="A2" s="58" t="s">
        <v>1617</v>
      </c>
      <c r="B2" s="58" t="s">
        <v>1618</v>
      </c>
      <c r="C2" s="58" t="s">
        <v>3425</v>
      </c>
      <c r="D2" s="58" t="s">
        <v>3426</v>
      </c>
      <c r="E2" s="58" t="s">
        <v>3427</v>
      </c>
      <c r="F2" s="58" t="s">
        <v>3428</v>
      </c>
      <c r="G2" s="58" t="s">
        <v>3429</v>
      </c>
      <c r="H2" s="58" t="s">
        <v>3430</v>
      </c>
      <c r="I2" s="58" t="s">
        <v>3431</v>
      </c>
      <c r="J2" s="58" t="s">
        <v>3432</v>
      </c>
      <c r="K2" s="58" t="s">
        <v>3433</v>
      </c>
      <c r="L2" s="58" t="s">
        <v>3434</v>
      </c>
      <c r="M2" s="58" t="s">
        <v>3435</v>
      </c>
      <c r="N2" s="58" t="s">
        <v>3436</v>
      </c>
      <c r="O2" s="58" t="s">
        <v>3437</v>
      </c>
      <c r="P2" s="58" t="s">
        <v>3438</v>
      </c>
      <c r="Q2" s="58" t="s">
        <v>3439</v>
      </c>
      <c r="R2" s="58" t="s">
        <v>1627</v>
      </c>
      <c r="S2" s="58" t="s">
        <v>3440</v>
      </c>
      <c r="T2" s="58" t="s">
        <v>3441</v>
      </c>
      <c r="U2" s="58" t="s">
        <v>3442</v>
      </c>
      <c r="V2" s="58" t="s">
        <v>3443</v>
      </c>
      <c r="W2" s="58" t="s">
        <v>567</v>
      </c>
      <c r="X2" s="58" t="s">
        <v>568</v>
      </c>
    </row>
    <row r="3" spans="1:24" ht="25.5" customHeight="1" x14ac:dyDescent="0.25">
      <c r="A3" s="54" t="s">
        <v>3444</v>
      </c>
      <c r="B3" s="54" t="s">
        <v>1868</v>
      </c>
      <c r="C3" s="54" t="s">
        <v>1640</v>
      </c>
      <c r="D3" s="54" t="s">
        <v>3445</v>
      </c>
      <c r="E3" s="54" t="s">
        <v>3446</v>
      </c>
      <c r="F3" s="54" t="s">
        <v>3447</v>
      </c>
      <c r="G3" s="54">
        <v>16.3</v>
      </c>
      <c r="H3" s="54">
        <v>46531</v>
      </c>
      <c r="I3" s="54">
        <v>1.6434</v>
      </c>
      <c r="J3" s="54" t="s">
        <v>3448</v>
      </c>
      <c r="K3" s="54">
        <v>9.1999999999999993</v>
      </c>
      <c r="L3" s="54" t="s">
        <v>1684</v>
      </c>
      <c r="M3" s="54" t="s">
        <v>576</v>
      </c>
      <c r="N3" s="54">
        <v>10.3</v>
      </c>
      <c r="O3" s="54">
        <v>63</v>
      </c>
      <c r="P3" s="54">
        <v>8.8000000000000007</v>
      </c>
      <c r="Q3" s="54">
        <v>14</v>
      </c>
      <c r="R3" s="54" t="s">
        <v>587</v>
      </c>
      <c r="S3" s="54" t="s">
        <v>3449</v>
      </c>
      <c r="T3" s="54" t="s">
        <v>622</v>
      </c>
      <c r="U3" s="54" t="s">
        <v>3450</v>
      </c>
      <c r="V3" s="54">
        <v>38</v>
      </c>
      <c r="W3" s="54" t="s">
        <v>3451</v>
      </c>
      <c r="X3" s="57" t="s">
        <v>495</v>
      </c>
    </row>
    <row r="4" spans="1:24" ht="25.5" customHeight="1" x14ac:dyDescent="0.25">
      <c r="A4" s="54" t="s">
        <v>3452</v>
      </c>
      <c r="B4" s="54" t="s">
        <v>1249</v>
      </c>
      <c r="C4" s="54" t="s">
        <v>622</v>
      </c>
      <c r="D4" s="54" t="s">
        <v>3453</v>
      </c>
      <c r="E4" s="54" t="s">
        <v>3446</v>
      </c>
      <c r="F4" s="54" t="s">
        <v>3454</v>
      </c>
      <c r="G4" s="54">
        <v>8.1</v>
      </c>
      <c r="H4" s="54">
        <v>323631</v>
      </c>
      <c r="I4" s="54">
        <v>2.3687999999999998</v>
      </c>
      <c r="J4" s="54" t="s">
        <v>3455</v>
      </c>
      <c r="K4" s="54">
        <v>9.1999999999999993</v>
      </c>
      <c r="L4" s="54" t="s">
        <v>1684</v>
      </c>
      <c r="M4" s="54" t="s">
        <v>576</v>
      </c>
      <c r="N4" s="54">
        <v>8</v>
      </c>
      <c r="O4" s="54">
        <v>69.900000000000006</v>
      </c>
      <c r="P4" s="54">
        <v>19.600000000000001</v>
      </c>
      <c r="Q4" s="54">
        <v>19.7</v>
      </c>
      <c r="R4" s="54" t="s">
        <v>1684</v>
      </c>
      <c r="S4" s="54" t="s">
        <v>3449</v>
      </c>
      <c r="T4" s="54" t="s">
        <v>622</v>
      </c>
      <c r="U4" s="54" t="s">
        <v>3015</v>
      </c>
      <c r="V4" s="54">
        <v>38</v>
      </c>
      <c r="W4" s="54" t="s">
        <v>3451</v>
      </c>
      <c r="X4" s="57" t="s">
        <v>495</v>
      </c>
    </row>
    <row r="5" spans="1:24" ht="25.5" customHeight="1" x14ac:dyDescent="0.25">
      <c r="A5" s="54" t="s">
        <v>3456</v>
      </c>
      <c r="B5" s="54" t="s">
        <v>3457</v>
      </c>
      <c r="C5" s="54" t="s">
        <v>1640</v>
      </c>
      <c r="D5" s="54" t="s">
        <v>3453</v>
      </c>
      <c r="E5" s="54" t="s">
        <v>3446</v>
      </c>
      <c r="F5" s="54" t="s">
        <v>3454</v>
      </c>
      <c r="G5" s="54">
        <v>7.5</v>
      </c>
      <c r="H5" s="54">
        <v>224777</v>
      </c>
      <c r="I5" s="54">
        <v>0.72130000000000005</v>
      </c>
      <c r="J5" s="54" t="s">
        <v>3458</v>
      </c>
      <c r="K5" s="54">
        <v>4.2</v>
      </c>
      <c r="L5" s="54" t="s">
        <v>3459</v>
      </c>
      <c r="M5" s="54" t="s">
        <v>587</v>
      </c>
      <c r="N5" s="54">
        <v>20.2</v>
      </c>
      <c r="O5" s="54">
        <v>90.9</v>
      </c>
      <c r="P5" s="54">
        <v>13.5</v>
      </c>
      <c r="Q5" s="54">
        <v>37.799999999999997</v>
      </c>
      <c r="R5" s="54" t="s">
        <v>1684</v>
      </c>
      <c r="S5" s="54" t="s">
        <v>3449</v>
      </c>
      <c r="T5" s="54" t="s">
        <v>1640</v>
      </c>
      <c r="U5" s="54" t="s">
        <v>3015</v>
      </c>
      <c r="V5" s="54">
        <v>31</v>
      </c>
      <c r="W5" s="54" t="s">
        <v>1652</v>
      </c>
      <c r="X5" s="57" t="s">
        <v>495</v>
      </c>
    </row>
    <row r="6" spans="1:24" ht="25.5" customHeight="1" x14ac:dyDescent="0.25">
      <c r="A6" s="54" t="s">
        <v>3460</v>
      </c>
      <c r="B6" s="54" t="s">
        <v>1746</v>
      </c>
      <c r="C6" s="54" t="s">
        <v>622</v>
      </c>
      <c r="D6" s="54" t="s">
        <v>3461</v>
      </c>
      <c r="E6" s="54" t="s">
        <v>3462</v>
      </c>
      <c r="F6" s="54" t="s">
        <v>3463</v>
      </c>
      <c r="G6" s="54">
        <v>6.7</v>
      </c>
      <c r="H6" s="54">
        <v>82773</v>
      </c>
      <c r="I6" s="54">
        <v>2.8637999999999999</v>
      </c>
      <c r="J6" s="54" t="s">
        <v>3464</v>
      </c>
      <c r="K6" s="54">
        <v>4.2</v>
      </c>
      <c r="L6" s="54" t="s">
        <v>1684</v>
      </c>
      <c r="M6" s="54" t="s">
        <v>576</v>
      </c>
      <c r="N6" s="54">
        <v>35.5</v>
      </c>
      <c r="O6" s="54">
        <v>96.4</v>
      </c>
      <c r="P6" s="54">
        <v>12.1</v>
      </c>
      <c r="Q6" s="54">
        <v>63.9</v>
      </c>
      <c r="R6" s="54" t="s">
        <v>1684</v>
      </c>
      <c r="S6" s="54" t="s">
        <v>3465</v>
      </c>
      <c r="T6" s="54" t="s">
        <v>622</v>
      </c>
      <c r="U6" s="54" t="s">
        <v>3466</v>
      </c>
      <c r="V6" s="54">
        <v>34</v>
      </c>
      <c r="W6" s="54" t="s">
        <v>3451</v>
      </c>
      <c r="X6" s="57" t="s">
        <v>495</v>
      </c>
    </row>
    <row r="7" spans="1:24" ht="25.5" customHeight="1" x14ac:dyDescent="0.25">
      <c r="A7" s="54" t="s">
        <v>3467</v>
      </c>
      <c r="B7" s="54" t="s">
        <v>1865</v>
      </c>
      <c r="C7" s="54" t="s">
        <v>1640</v>
      </c>
      <c r="D7" s="54" t="s">
        <v>3468</v>
      </c>
      <c r="E7" s="54" t="s">
        <v>161</v>
      </c>
      <c r="F7" s="54" t="s">
        <v>3454</v>
      </c>
      <c r="G7" s="54">
        <v>4.8</v>
      </c>
      <c r="H7" s="54">
        <v>114608</v>
      </c>
      <c r="I7" s="54">
        <v>0.68259999999999998</v>
      </c>
      <c r="J7" s="54" t="s">
        <v>3469</v>
      </c>
      <c r="K7" s="54">
        <v>2.2999999999999998</v>
      </c>
      <c r="L7" s="54" t="s">
        <v>1684</v>
      </c>
      <c r="M7" s="54" t="s">
        <v>576</v>
      </c>
      <c r="N7" s="54">
        <v>31.9</v>
      </c>
      <c r="O7" s="54">
        <v>75.900000000000006</v>
      </c>
      <c r="P7" s="54">
        <v>7.4</v>
      </c>
      <c r="Q7" s="54">
        <v>79.8</v>
      </c>
      <c r="R7" s="54" t="s">
        <v>587</v>
      </c>
      <c r="S7" s="54" t="s">
        <v>3470</v>
      </c>
      <c r="T7" s="54" t="s">
        <v>622</v>
      </c>
      <c r="U7" s="54" t="s">
        <v>3015</v>
      </c>
      <c r="V7" s="54">
        <v>36</v>
      </c>
      <c r="W7" s="54" t="s">
        <v>3451</v>
      </c>
      <c r="X7" s="57" t="s">
        <v>495</v>
      </c>
    </row>
    <row r="8" spans="1:24" ht="25.5" customHeight="1" x14ac:dyDescent="0.25">
      <c r="A8" s="54" t="s">
        <v>3471</v>
      </c>
      <c r="B8" s="54" t="s">
        <v>1948</v>
      </c>
      <c r="C8" s="54" t="s">
        <v>3472</v>
      </c>
      <c r="D8" s="54" t="s">
        <v>3473</v>
      </c>
      <c r="E8" s="54" t="s">
        <v>3474</v>
      </c>
      <c r="F8" s="54" t="s">
        <v>3454</v>
      </c>
      <c r="G8" s="54">
        <v>35.4</v>
      </c>
      <c r="H8" s="54">
        <v>431468</v>
      </c>
      <c r="I8" s="54">
        <v>3.6966000000000001</v>
      </c>
      <c r="J8" s="54" t="s">
        <v>3475</v>
      </c>
      <c r="K8" s="54">
        <v>2.9</v>
      </c>
      <c r="L8" s="54" t="s">
        <v>3459</v>
      </c>
      <c r="M8" s="54" t="s">
        <v>587</v>
      </c>
      <c r="N8" s="54">
        <v>12.5</v>
      </c>
      <c r="O8" s="54">
        <v>89.9</v>
      </c>
      <c r="P8" s="54">
        <v>19.100000000000001</v>
      </c>
      <c r="Q8" s="54">
        <v>39.299999999999997</v>
      </c>
      <c r="R8" s="54" t="s">
        <v>576</v>
      </c>
      <c r="S8" s="54" t="s">
        <v>3476</v>
      </c>
      <c r="T8" s="54" t="s">
        <v>622</v>
      </c>
      <c r="U8" s="54" t="s">
        <v>3450</v>
      </c>
      <c r="V8" s="54">
        <v>34</v>
      </c>
      <c r="W8" s="54" t="s">
        <v>1652</v>
      </c>
      <c r="X8" s="57" t="s">
        <v>495</v>
      </c>
    </row>
    <row r="9" spans="1:24" ht="25.5" customHeight="1" x14ac:dyDescent="0.25">
      <c r="A9" s="54" t="s">
        <v>3477</v>
      </c>
      <c r="B9" s="54" t="s">
        <v>2381</v>
      </c>
      <c r="C9" s="54" t="s">
        <v>1640</v>
      </c>
      <c r="D9" s="54" t="s">
        <v>3453</v>
      </c>
      <c r="E9" s="54" t="s">
        <v>3478</v>
      </c>
      <c r="F9" s="54" t="s">
        <v>3463</v>
      </c>
      <c r="G9" s="54">
        <v>25</v>
      </c>
      <c r="H9" s="54">
        <v>351749</v>
      </c>
      <c r="I9" s="54">
        <v>0.2145</v>
      </c>
      <c r="J9" s="54" t="s">
        <v>3479</v>
      </c>
      <c r="K9" s="54">
        <v>8.6999999999999993</v>
      </c>
      <c r="L9" s="54" t="s">
        <v>3480</v>
      </c>
      <c r="M9" s="54" t="s">
        <v>576</v>
      </c>
      <c r="N9" s="54">
        <v>32.799999999999997</v>
      </c>
      <c r="O9" s="54">
        <v>33.700000000000003</v>
      </c>
      <c r="P9" s="54">
        <v>0.8</v>
      </c>
      <c r="Q9" s="54">
        <v>53.5</v>
      </c>
      <c r="R9" s="54" t="s">
        <v>576</v>
      </c>
      <c r="S9" s="54" t="s">
        <v>3465</v>
      </c>
      <c r="T9" s="54" t="s">
        <v>1676</v>
      </c>
      <c r="U9" s="54" t="s">
        <v>3466</v>
      </c>
      <c r="V9" s="54">
        <v>42</v>
      </c>
      <c r="W9" s="54" t="s">
        <v>1652</v>
      </c>
      <c r="X9" s="57" t="s">
        <v>495</v>
      </c>
    </row>
    <row r="10" spans="1:24" ht="25.5" customHeight="1" x14ac:dyDescent="0.25">
      <c r="A10" s="54" t="s">
        <v>3481</v>
      </c>
      <c r="B10" s="54" t="s">
        <v>1856</v>
      </c>
      <c r="C10" s="54" t="s">
        <v>622</v>
      </c>
      <c r="D10" s="54" t="s">
        <v>3482</v>
      </c>
      <c r="E10" s="54" t="s">
        <v>3446</v>
      </c>
      <c r="F10" s="54" t="s">
        <v>3447</v>
      </c>
      <c r="G10" s="54">
        <v>33.5</v>
      </c>
      <c r="H10" s="54">
        <v>165537</v>
      </c>
      <c r="I10" s="54">
        <v>2.4217</v>
      </c>
      <c r="J10" s="54" t="s">
        <v>3483</v>
      </c>
      <c r="K10" s="54">
        <v>8.1</v>
      </c>
      <c r="L10" s="54" t="s">
        <v>3459</v>
      </c>
      <c r="M10" s="54" t="s">
        <v>587</v>
      </c>
      <c r="N10" s="54">
        <v>16.3</v>
      </c>
      <c r="O10" s="54">
        <v>57.7</v>
      </c>
      <c r="P10" s="54">
        <v>19.3</v>
      </c>
      <c r="Q10" s="54">
        <v>75.099999999999994</v>
      </c>
      <c r="R10" s="54" t="s">
        <v>1684</v>
      </c>
      <c r="S10" s="54" t="s">
        <v>3476</v>
      </c>
      <c r="T10" s="54" t="s">
        <v>1640</v>
      </c>
      <c r="U10" s="54" t="s">
        <v>3450</v>
      </c>
      <c r="V10" s="54">
        <v>27</v>
      </c>
      <c r="W10" s="54" t="s">
        <v>3451</v>
      </c>
      <c r="X10" s="57" t="s">
        <v>495</v>
      </c>
    </row>
    <row r="11" spans="1:24" ht="25.5" customHeight="1" x14ac:dyDescent="0.25">
      <c r="A11" s="54" t="s">
        <v>3484</v>
      </c>
      <c r="B11" s="54" t="s">
        <v>2942</v>
      </c>
      <c r="C11" s="54" t="s">
        <v>1676</v>
      </c>
      <c r="D11" s="54" t="s">
        <v>3468</v>
      </c>
      <c r="E11" s="54" t="s">
        <v>3485</v>
      </c>
      <c r="F11" s="54" t="s">
        <v>3447</v>
      </c>
      <c r="G11" s="54">
        <v>5.8</v>
      </c>
      <c r="H11" s="54">
        <v>352548</v>
      </c>
      <c r="I11" s="54">
        <v>0.59109999999999996</v>
      </c>
      <c r="J11" s="54" t="s">
        <v>3486</v>
      </c>
      <c r="K11" s="54">
        <v>6.3</v>
      </c>
      <c r="L11" s="54" t="s">
        <v>1684</v>
      </c>
      <c r="M11" s="54" t="s">
        <v>587</v>
      </c>
      <c r="N11" s="54">
        <v>22.8</v>
      </c>
      <c r="O11" s="54">
        <v>50.7</v>
      </c>
      <c r="P11" s="54">
        <v>19.399999999999999</v>
      </c>
      <c r="Q11" s="54">
        <v>6.7</v>
      </c>
      <c r="R11" s="54" t="s">
        <v>576</v>
      </c>
      <c r="S11" s="54" t="s">
        <v>3449</v>
      </c>
      <c r="T11" s="54" t="s">
        <v>1676</v>
      </c>
      <c r="U11" s="54" t="s">
        <v>3466</v>
      </c>
      <c r="V11" s="54">
        <v>10</v>
      </c>
      <c r="W11" s="54" t="s">
        <v>3451</v>
      </c>
      <c r="X11" s="57" t="s">
        <v>495</v>
      </c>
    </row>
    <row r="12" spans="1:24" ht="25.5" customHeight="1" x14ac:dyDescent="0.25">
      <c r="A12" s="54" t="s">
        <v>3487</v>
      </c>
      <c r="B12" s="54" t="s">
        <v>1552</v>
      </c>
      <c r="C12" s="54" t="s">
        <v>622</v>
      </c>
      <c r="D12" s="54" t="s">
        <v>3445</v>
      </c>
      <c r="E12" s="54" t="s">
        <v>161</v>
      </c>
      <c r="F12" s="54" t="s">
        <v>3463</v>
      </c>
      <c r="G12" s="54">
        <v>8.5</v>
      </c>
      <c r="H12" s="54">
        <v>79470</v>
      </c>
      <c r="I12" s="54">
        <v>3.5789</v>
      </c>
      <c r="J12" s="54" t="s">
        <v>3488</v>
      </c>
      <c r="K12" s="54">
        <v>9.5</v>
      </c>
      <c r="L12" s="54" t="s">
        <v>1684</v>
      </c>
      <c r="M12" s="54" t="s">
        <v>587</v>
      </c>
      <c r="N12" s="54">
        <v>45.3</v>
      </c>
      <c r="O12" s="54">
        <v>62.8</v>
      </c>
      <c r="P12" s="54">
        <v>11.4</v>
      </c>
      <c r="Q12" s="54">
        <v>46.2</v>
      </c>
      <c r="R12" s="54" t="s">
        <v>587</v>
      </c>
      <c r="S12" s="54" t="s">
        <v>3465</v>
      </c>
      <c r="T12" s="54" t="s">
        <v>1676</v>
      </c>
      <c r="U12" s="54" t="s">
        <v>3015</v>
      </c>
      <c r="V12" s="54">
        <v>33</v>
      </c>
      <c r="W12" s="54" t="s">
        <v>3451</v>
      </c>
      <c r="X12" s="57" t="s">
        <v>495</v>
      </c>
    </row>
    <row r="13" spans="1:24" ht="25.5" customHeight="1" x14ac:dyDescent="0.25">
      <c r="A13" s="54" t="s">
        <v>3489</v>
      </c>
      <c r="B13" s="54" t="s">
        <v>1704</v>
      </c>
      <c r="C13" s="54" t="s">
        <v>1676</v>
      </c>
      <c r="D13" s="54" t="s">
        <v>3482</v>
      </c>
      <c r="E13" s="54" t="s">
        <v>161</v>
      </c>
      <c r="F13" s="54" t="s">
        <v>3447</v>
      </c>
      <c r="G13" s="54">
        <v>5</v>
      </c>
      <c r="H13" s="54">
        <v>404959</v>
      </c>
      <c r="I13" s="54">
        <v>0.80800000000000005</v>
      </c>
      <c r="J13" s="54" t="s">
        <v>3490</v>
      </c>
      <c r="K13" s="54">
        <v>4.9000000000000004</v>
      </c>
      <c r="L13" s="54" t="s">
        <v>3491</v>
      </c>
      <c r="M13" s="54" t="s">
        <v>576</v>
      </c>
      <c r="N13" s="54">
        <v>23.3</v>
      </c>
      <c r="O13" s="54">
        <v>35.200000000000003</v>
      </c>
      <c r="P13" s="54">
        <v>14.1</v>
      </c>
      <c r="Q13" s="54">
        <v>43.4</v>
      </c>
      <c r="R13" s="54" t="s">
        <v>1684</v>
      </c>
      <c r="S13" s="54" t="s">
        <v>3465</v>
      </c>
      <c r="T13" s="54" t="s">
        <v>622</v>
      </c>
      <c r="U13" s="54" t="s">
        <v>3015</v>
      </c>
      <c r="V13" s="54">
        <v>26</v>
      </c>
      <c r="W13" s="54" t="s">
        <v>3451</v>
      </c>
      <c r="X13" s="57" t="s">
        <v>495</v>
      </c>
    </row>
    <row r="14" spans="1:24" ht="25.5" customHeight="1" x14ac:dyDescent="0.25">
      <c r="A14" s="46" t="s">
        <v>3492</v>
      </c>
      <c r="B14" s="46" t="s">
        <v>2236</v>
      </c>
      <c r="C14" s="46" t="s">
        <v>622</v>
      </c>
      <c r="D14" s="46" t="s">
        <v>3461</v>
      </c>
      <c r="E14" s="46" t="s">
        <v>3478</v>
      </c>
      <c r="F14" s="46" t="s">
        <v>3493</v>
      </c>
      <c r="G14" s="46">
        <v>7.5</v>
      </c>
      <c r="H14" s="46">
        <v>404682</v>
      </c>
      <c r="I14" s="46">
        <v>1.1851</v>
      </c>
      <c r="J14" s="46" t="s">
        <v>3494</v>
      </c>
      <c r="K14" s="46">
        <v>3.8</v>
      </c>
      <c r="L14" s="46" t="s">
        <v>3459</v>
      </c>
      <c r="M14" s="46" t="s">
        <v>587</v>
      </c>
      <c r="N14" s="46">
        <v>9.5</v>
      </c>
      <c r="O14" s="46">
        <v>14.2</v>
      </c>
      <c r="P14" s="46">
        <v>1.6</v>
      </c>
      <c r="Q14" s="46">
        <v>11.4</v>
      </c>
      <c r="R14" s="46" t="s">
        <v>576</v>
      </c>
      <c r="S14" s="46" t="s">
        <v>3495</v>
      </c>
      <c r="T14" s="46" t="s">
        <v>1676</v>
      </c>
      <c r="U14" s="46" t="s">
        <v>3466</v>
      </c>
      <c r="V14" s="46">
        <v>31</v>
      </c>
      <c r="W14" s="46" t="s">
        <v>3451</v>
      </c>
      <c r="X14" s="49" t="s">
        <v>321</v>
      </c>
    </row>
    <row r="15" spans="1:24" ht="25.5" customHeight="1" x14ac:dyDescent="0.25">
      <c r="A15" s="54" t="s">
        <v>3496</v>
      </c>
      <c r="B15" s="54" t="s">
        <v>2381</v>
      </c>
      <c r="C15" s="54" t="s">
        <v>3472</v>
      </c>
      <c r="D15" s="54" t="s">
        <v>3453</v>
      </c>
      <c r="E15" s="54" t="s">
        <v>3478</v>
      </c>
      <c r="F15" s="54" t="s">
        <v>3447</v>
      </c>
      <c r="G15" s="54">
        <v>5.5</v>
      </c>
      <c r="H15" s="54">
        <v>74547</v>
      </c>
      <c r="I15" s="54">
        <v>2.2246999999999999</v>
      </c>
      <c r="J15" s="54" t="s">
        <v>3497</v>
      </c>
      <c r="K15" s="54">
        <v>4.5999999999999996</v>
      </c>
      <c r="L15" s="54" t="s">
        <v>3480</v>
      </c>
      <c r="M15" s="54" t="s">
        <v>587</v>
      </c>
      <c r="N15" s="54">
        <v>25.1</v>
      </c>
      <c r="O15" s="54">
        <v>31.2</v>
      </c>
      <c r="P15" s="54">
        <v>11</v>
      </c>
      <c r="Q15" s="54">
        <v>37.1</v>
      </c>
      <c r="R15" s="54" t="s">
        <v>587</v>
      </c>
      <c r="S15" s="54" t="s">
        <v>3476</v>
      </c>
      <c r="T15" s="54" t="s">
        <v>1640</v>
      </c>
      <c r="U15" s="54" t="s">
        <v>3450</v>
      </c>
      <c r="V15" s="54">
        <v>24</v>
      </c>
      <c r="W15" s="54" t="s">
        <v>3451</v>
      </c>
      <c r="X15" s="57" t="s">
        <v>495</v>
      </c>
    </row>
    <row r="16" spans="1:24" ht="25.5" customHeight="1" x14ac:dyDescent="0.25">
      <c r="A16" s="54" t="s">
        <v>3498</v>
      </c>
      <c r="B16" s="54" t="s">
        <v>2192</v>
      </c>
      <c r="C16" s="54" t="s">
        <v>622</v>
      </c>
      <c r="D16" s="54" t="s">
        <v>3499</v>
      </c>
      <c r="E16" s="54" t="s">
        <v>3478</v>
      </c>
      <c r="F16" s="54" t="s">
        <v>3454</v>
      </c>
      <c r="G16" s="54">
        <v>3.6</v>
      </c>
      <c r="H16" s="54">
        <v>186075</v>
      </c>
      <c r="I16" s="54">
        <v>2.5082</v>
      </c>
      <c r="J16" s="54" t="s">
        <v>3500</v>
      </c>
      <c r="K16" s="54">
        <v>5.2</v>
      </c>
      <c r="L16" s="54" t="s">
        <v>3459</v>
      </c>
      <c r="M16" s="54" t="s">
        <v>587</v>
      </c>
      <c r="N16" s="54">
        <v>48.8</v>
      </c>
      <c r="O16" s="54">
        <v>57.4</v>
      </c>
      <c r="P16" s="54">
        <v>15</v>
      </c>
      <c r="Q16" s="54">
        <v>77.099999999999994</v>
      </c>
      <c r="R16" s="54" t="s">
        <v>587</v>
      </c>
      <c r="S16" s="54" t="s">
        <v>3476</v>
      </c>
      <c r="T16" s="54" t="s">
        <v>1676</v>
      </c>
      <c r="U16" s="54" t="s">
        <v>3015</v>
      </c>
      <c r="V16" s="54">
        <v>36</v>
      </c>
      <c r="W16" s="54" t="s">
        <v>3451</v>
      </c>
      <c r="X16" s="57" t="s">
        <v>495</v>
      </c>
    </row>
    <row r="17" spans="1:24" ht="25.5" customHeight="1" x14ac:dyDescent="0.25">
      <c r="A17" s="54" t="s">
        <v>3501</v>
      </c>
      <c r="B17" s="54" t="s">
        <v>2920</v>
      </c>
      <c r="C17" s="54" t="s">
        <v>622</v>
      </c>
      <c r="D17" s="54" t="s">
        <v>3482</v>
      </c>
      <c r="E17" s="54" t="s">
        <v>3446</v>
      </c>
      <c r="F17" s="54" t="s">
        <v>3454</v>
      </c>
      <c r="G17" s="54">
        <v>11.9</v>
      </c>
      <c r="H17" s="54">
        <v>312198</v>
      </c>
      <c r="I17" s="54">
        <v>3.7178</v>
      </c>
      <c r="J17" s="54" t="s">
        <v>3502</v>
      </c>
      <c r="K17" s="54">
        <v>2.6</v>
      </c>
      <c r="L17" s="54" t="s">
        <v>3480</v>
      </c>
      <c r="M17" s="54" t="s">
        <v>576</v>
      </c>
      <c r="N17" s="54">
        <v>8.5</v>
      </c>
      <c r="O17" s="54">
        <v>17.8</v>
      </c>
      <c r="P17" s="54">
        <v>10.199999999999999</v>
      </c>
      <c r="Q17" s="54">
        <v>18.100000000000001</v>
      </c>
      <c r="R17" s="54" t="s">
        <v>587</v>
      </c>
      <c r="S17" s="54" t="s">
        <v>3449</v>
      </c>
      <c r="T17" s="54" t="s">
        <v>1676</v>
      </c>
      <c r="U17" s="54" t="s">
        <v>3466</v>
      </c>
      <c r="V17" s="54">
        <v>39</v>
      </c>
      <c r="W17" s="54" t="s">
        <v>3451</v>
      </c>
      <c r="X17" s="57" t="s">
        <v>495</v>
      </c>
    </row>
    <row r="18" spans="1:24" ht="25.5" customHeight="1" x14ac:dyDescent="0.25">
      <c r="A18" s="46" t="s">
        <v>3503</v>
      </c>
      <c r="B18" s="46" t="s">
        <v>1707</v>
      </c>
      <c r="C18" s="46" t="s">
        <v>622</v>
      </c>
      <c r="D18" s="46" t="s">
        <v>3504</v>
      </c>
      <c r="E18" s="46" t="s">
        <v>3485</v>
      </c>
      <c r="F18" s="46" t="s">
        <v>3447</v>
      </c>
      <c r="G18" s="46">
        <v>18.7</v>
      </c>
      <c r="H18" s="46">
        <v>345697</v>
      </c>
      <c r="I18" s="46">
        <v>1.9831000000000001</v>
      </c>
      <c r="J18" s="46" t="s">
        <v>3505</v>
      </c>
      <c r="K18" s="46">
        <v>3.7</v>
      </c>
      <c r="L18" s="46" t="s">
        <v>3480</v>
      </c>
      <c r="M18" s="46" t="s">
        <v>587</v>
      </c>
      <c r="N18" s="46">
        <v>43.8</v>
      </c>
      <c r="O18" s="46">
        <v>94.3</v>
      </c>
      <c r="P18" s="46">
        <v>7.4</v>
      </c>
      <c r="Q18" s="46">
        <v>19.3</v>
      </c>
      <c r="R18" s="46" t="s">
        <v>1684</v>
      </c>
      <c r="S18" s="46" t="s">
        <v>3495</v>
      </c>
      <c r="T18" s="46" t="s">
        <v>1676</v>
      </c>
      <c r="U18" s="46" t="s">
        <v>3466</v>
      </c>
      <c r="V18" s="46">
        <v>39</v>
      </c>
      <c r="W18" s="46" t="s">
        <v>1652</v>
      </c>
      <c r="X18" s="49" t="s">
        <v>321</v>
      </c>
    </row>
    <row r="19" spans="1:24" ht="25.5" customHeight="1" x14ac:dyDescent="0.25">
      <c r="A19" s="54" t="s">
        <v>3506</v>
      </c>
      <c r="B19" s="54" t="s">
        <v>2526</v>
      </c>
      <c r="C19" s="54" t="s">
        <v>622</v>
      </c>
      <c r="D19" s="54" t="s">
        <v>3461</v>
      </c>
      <c r="E19" s="54" t="s">
        <v>3446</v>
      </c>
      <c r="F19" s="54" t="s">
        <v>3454</v>
      </c>
      <c r="G19" s="54">
        <v>15.2</v>
      </c>
      <c r="H19" s="54">
        <v>119706</v>
      </c>
      <c r="I19" s="54">
        <v>2.6937000000000002</v>
      </c>
      <c r="J19" s="54" t="s">
        <v>3507</v>
      </c>
      <c r="K19" s="54">
        <v>8.9</v>
      </c>
      <c r="L19" s="54" t="s">
        <v>3480</v>
      </c>
      <c r="M19" s="54" t="s">
        <v>576</v>
      </c>
      <c r="N19" s="54">
        <v>26.5</v>
      </c>
      <c r="O19" s="54">
        <v>68.3</v>
      </c>
      <c r="P19" s="54">
        <v>15.9</v>
      </c>
      <c r="Q19" s="54">
        <v>45.8</v>
      </c>
      <c r="R19" s="54" t="s">
        <v>576</v>
      </c>
      <c r="S19" s="54" t="s">
        <v>3449</v>
      </c>
      <c r="T19" s="54" t="s">
        <v>1676</v>
      </c>
      <c r="U19" s="54" t="s">
        <v>3015</v>
      </c>
      <c r="V19" s="54">
        <v>21</v>
      </c>
      <c r="W19" s="54" t="s">
        <v>3451</v>
      </c>
      <c r="X19" s="57" t="s">
        <v>495</v>
      </c>
    </row>
    <row r="20" spans="1:24" ht="25.5" customHeight="1" x14ac:dyDescent="0.25">
      <c r="A20" s="54" t="s">
        <v>3508</v>
      </c>
      <c r="B20" s="54" t="s">
        <v>2312</v>
      </c>
      <c r="C20" s="54" t="s">
        <v>622</v>
      </c>
      <c r="D20" s="54" t="s">
        <v>3453</v>
      </c>
      <c r="E20" s="54" t="s">
        <v>3446</v>
      </c>
      <c r="F20" s="54" t="s">
        <v>3454</v>
      </c>
      <c r="G20" s="54">
        <v>6.8</v>
      </c>
      <c r="H20" s="54">
        <v>5181</v>
      </c>
      <c r="I20" s="54">
        <v>1.4622999999999999</v>
      </c>
      <c r="J20" s="54" t="s">
        <v>3509</v>
      </c>
      <c r="K20" s="54">
        <v>2.2000000000000002</v>
      </c>
      <c r="L20" s="54" t="s">
        <v>1684</v>
      </c>
      <c r="M20" s="54" t="s">
        <v>576</v>
      </c>
      <c r="N20" s="54">
        <v>43.1</v>
      </c>
      <c r="O20" s="54">
        <v>76.599999999999994</v>
      </c>
      <c r="P20" s="54">
        <v>11.8</v>
      </c>
      <c r="Q20" s="54">
        <v>25.5</v>
      </c>
      <c r="R20" s="54" t="s">
        <v>1684</v>
      </c>
      <c r="S20" s="54" t="s">
        <v>3495</v>
      </c>
      <c r="T20" s="54" t="s">
        <v>1676</v>
      </c>
      <c r="U20" s="54" t="s">
        <v>3466</v>
      </c>
      <c r="V20" s="54">
        <v>40</v>
      </c>
      <c r="W20" s="54" t="s">
        <v>3451</v>
      </c>
      <c r="X20" s="57" t="s">
        <v>495</v>
      </c>
    </row>
    <row r="21" spans="1:24" ht="25.5" customHeight="1" x14ac:dyDescent="0.25">
      <c r="A21" s="54" t="s">
        <v>3510</v>
      </c>
      <c r="B21" s="54" t="s">
        <v>2234</v>
      </c>
      <c r="C21" s="54" t="s">
        <v>1640</v>
      </c>
      <c r="D21" s="54" t="s">
        <v>3473</v>
      </c>
      <c r="E21" s="54" t="s">
        <v>3474</v>
      </c>
      <c r="F21" s="54" t="s">
        <v>3463</v>
      </c>
      <c r="G21" s="54">
        <v>8.1</v>
      </c>
      <c r="H21" s="54">
        <v>146824</v>
      </c>
      <c r="I21" s="54">
        <v>0.29870000000000002</v>
      </c>
      <c r="J21" s="54" t="s">
        <v>3511</v>
      </c>
      <c r="K21" s="54">
        <v>8.6</v>
      </c>
      <c r="L21" s="54" t="s">
        <v>3491</v>
      </c>
      <c r="M21" s="54" t="s">
        <v>576</v>
      </c>
      <c r="N21" s="54">
        <v>7.8</v>
      </c>
      <c r="O21" s="54">
        <v>61.9</v>
      </c>
      <c r="P21" s="54">
        <v>13.8</v>
      </c>
      <c r="Q21" s="54">
        <v>66.2</v>
      </c>
      <c r="R21" s="54" t="s">
        <v>576</v>
      </c>
      <c r="S21" s="54" t="s">
        <v>3512</v>
      </c>
      <c r="T21" s="54" t="s">
        <v>1640</v>
      </c>
      <c r="U21" s="54" t="s">
        <v>3450</v>
      </c>
      <c r="V21" s="54">
        <v>8</v>
      </c>
      <c r="W21" s="54" t="s">
        <v>1652</v>
      </c>
      <c r="X21" s="57" t="s">
        <v>495</v>
      </c>
    </row>
    <row r="22" spans="1:24" ht="25.5" customHeight="1" x14ac:dyDescent="0.25">
      <c r="A22" s="54" t="s">
        <v>3513</v>
      </c>
      <c r="B22" s="54" t="s">
        <v>2950</v>
      </c>
      <c r="C22" s="54" t="s">
        <v>622</v>
      </c>
      <c r="D22" s="54" t="s">
        <v>3453</v>
      </c>
      <c r="E22" s="54" t="s">
        <v>3485</v>
      </c>
      <c r="F22" s="54" t="s">
        <v>3447</v>
      </c>
      <c r="G22" s="54">
        <v>43.5</v>
      </c>
      <c r="H22" s="54">
        <v>312901</v>
      </c>
      <c r="I22" s="54">
        <v>3.0207999999999999</v>
      </c>
      <c r="J22" s="54" t="s">
        <v>3514</v>
      </c>
      <c r="K22" s="54">
        <v>4</v>
      </c>
      <c r="L22" s="54" t="s">
        <v>3480</v>
      </c>
      <c r="M22" s="54" t="s">
        <v>587</v>
      </c>
      <c r="N22" s="54">
        <v>48.2</v>
      </c>
      <c r="O22" s="54">
        <v>56.4</v>
      </c>
      <c r="P22" s="54">
        <v>10.6</v>
      </c>
      <c r="Q22" s="54">
        <v>64.900000000000006</v>
      </c>
      <c r="R22" s="54" t="s">
        <v>1684</v>
      </c>
      <c r="S22" s="54" t="s">
        <v>3470</v>
      </c>
      <c r="T22" s="54" t="s">
        <v>1676</v>
      </c>
      <c r="U22" s="54" t="s">
        <v>3450</v>
      </c>
      <c r="V22" s="54">
        <v>16</v>
      </c>
      <c r="W22" s="54" t="s">
        <v>3451</v>
      </c>
      <c r="X22" s="57" t="s">
        <v>495</v>
      </c>
    </row>
    <row r="23" spans="1:24" ht="25.5" customHeight="1" x14ac:dyDescent="0.25">
      <c r="A23" s="54" t="s">
        <v>3515</v>
      </c>
      <c r="B23" s="54" t="s">
        <v>1820</v>
      </c>
      <c r="C23" s="54" t="s">
        <v>1640</v>
      </c>
      <c r="D23" s="54" t="s">
        <v>3516</v>
      </c>
      <c r="E23" s="54" t="s">
        <v>3485</v>
      </c>
      <c r="F23" s="54" t="s">
        <v>3447</v>
      </c>
      <c r="G23" s="54">
        <v>12.2</v>
      </c>
      <c r="H23" s="54">
        <v>117823</v>
      </c>
      <c r="I23" s="54">
        <v>0.3947</v>
      </c>
      <c r="J23" s="54" t="s">
        <v>3517</v>
      </c>
      <c r="K23" s="54">
        <v>1.4</v>
      </c>
      <c r="L23" s="54" t="s">
        <v>1684</v>
      </c>
      <c r="M23" s="54" t="s">
        <v>587</v>
      </c>
      <c r="N23" s="54">
        <v>44.6</v>
      </c>
      <c r="O23" s="54">
        <v>20.7</v>
      </c>
      <c r="P23" s="54">
        <v>10.1</v>
      </c>
      <c r="Q23" s="54">
        <v>74.8</v>
      </c>
      <c r="R23" s="54" t="s">
        <v>1684</v>
      </c>
      <c r="S23" s="54" t="s">
        <v>3449</v>
      </c>
      <c r="T23" s="54" t="s">
        <v>1676</v>
      </c>
      <c r="U23" s="54" t="s">
        <v>3450</v>
      </c>
      <c r="V23" s="54">
        <v>12</v>
      </c>
      <c r="W23" s="54" t="s">
        <v>3451</v>
      </c>
      <c r="X23" s="57" t="s">
        <v>495</v>
      </c>
    </row>
    <row r="24" spans="1:24" ht="25.5" customHeight="1" x14ac:dyDescent="0.25">
      <c r="A24" s="54" t="s">
        <v>3518</v>
      </c>
      <c r="B24" s="54" t="s">
        <v>1945</v>
      </c>
      <c r="C24" s="54" t="s">
        <v>1640</v>
      </c>
      <c r="D24" s="54" t="s">
        <v>3516</v>
      </c>
      <c r="E24" s="54" t="s">
        <v>3462</v>
      </c>
      <c r="F24" s="54" t="s">
        <v>3493</v>
      </c>
      <c r="G24" s="54">
        <v>20</v>
      </c>
      <c r="H24" s="54">
        <v>122629</v>
      </c>
      <c r="I24" s="54">
        <v>0.24299999999999999</v>
      </c>
      <c r="J24" s="54" t="s">
        <v>3519</v>
      </c>
      <c r="K24" s="54">
        <v>7.4</v>
      </c>
      <c r="L24" s="54" t="s">
        <v>3491</v>
      </c>
      <c r="M24" s="54" t="s">
        <v>587</v>
      </c>
      <c r="N24" s="54">
        <v>39.200000000000003</v>
      </c>
      <c r="O24" s="54">
        <v>54.9</v>
      </c>
      <c r="P24" s="54">
        <v>1.2</v>
      </c>
      <c r="Q24" s="54">
        <v>45.1</v>
      </c>
      <c r="R24" s="54" t="s">
        <v>1684</v>
      </c>
      <c r="S24" s="54" t="s">
        <v>3495</v>
      </c>
      <c r="T24" s="54" t="s">
        <v>622</v>
      </c>
      <c r="U24" s="54" t="s">
        <v>3015</v>
      </c>
      <c r="V24" s="54">
        <v>9</v>
      </c>
      <c r="W24" s="54" t="s">
        <v>3451</v>
      </c>
      <c r="X24" s="57" t="s">
        <v>495</v>
      </c>
    </row>
    <row r="25" spans="1:24" ht="25.5" customHeight="1" x14ac:dyDescent="0.25">
      <c r="A25" s="46" t="s">
        <v>3520</v>
      </c>
      <c r="B25" s="46" t="s">
        <v>2403</v>
      </c>
      <c r="C25" s="46" t="s">
        <v>622</v>
      </c>
      <c r="D25" s="46" t="s">
        <v>3499</v>
      </c>
      <c r="E25" s="46" t="s">
        <v>3474</v>
      </c>
      <c r="F25" s="46" t="s">
        <v>3463</v>
      </c>
      <c r="G25" s="46">
        <v>33</v>
      </c>
      <c r="H25" s="46">
        <v>230718</v>
      </c>
      <c r="I25" s="46">
        <v>4.8836000000000004</v>
      </c>
      <c r="J25" s="46" t="s">
        <v>3521</v>
      </c>
      <c r="K25" s="46">
        <v>5.2</v>
      </c>
      <c r="L25" s="46" t="s">
        <v>1684</v>
      </c>
      <c r="M25" s="46" t="s">
        <v>576</v>
      </c>
      <c r="N25" s="46">
        <v>15.5</v>
      </c>
      <c r="O25" s="46">
        <v>84.5</v>
      </c>
      <c r="P25" s="46">
        <v>1.9</v>
      </c>
      <c r="Q25" s="46">
        <v>19.8</v>
      </c>
      <c r="R25" s="46" t="s">
        <v>587</v>
      </c>
      <c r="S25" s="46" t="s">
        <v>3476</v>
      </c>
      <c r="T25" s="46" t="s">
        <v>1676</v>
      </c>
      <c r="U25" s="46" t="s">
        <v>3450</v>
      </c>
      <c r="V25" s="46">
        <v>35</v>
      </c>
      <c r="W25" s="46" t="s">
        <v>3451</v>
      </c>
      <c r="X25" s="49" t="s">
        <v>321</v>
      </c>
    </row>
    <row r="26" spans="1:24" ht="25.5" customHeight="1" x14ac:dyDescent="0.25">
      <c r="A26" s="54" t="s">
        <v>3522</v>
      </c>
      <c r="B26" s="54" t="s">
        <v>2356</v>
      </c>
      <c r="C26" s="54" t="s">
        <v>1640</v>
      </c>
      <c r="D26" s="54" t="s">
        <v>3473</v>
      </c>
      <c r="E26" s="54" t="s">
        <v>161</v>
      </c>
      <c r="F26" s="54" t="s">
        <v>3454</v>
      </c>
      <c r="G26" s="54">
        <v>22.2</v>
      </c>
      <c r="H26" s="54">
        <v>398817</v>
      </c>
      <c r="I26" s="54">
        <v>1.9339999999999999</v>
      </c>
      <c r="J26" s="54" t="s">
        <v>3523</v>
      </c>
      <c r="K26" s="54">
        <v>2.8</v>
      </c>
      <c r="L26" s="54" t="s">
        <v>1684</v>
      </c>
      <c r="M26" s="54" t="s">
        <v>576</v>
      </c>
      <c r="N26" s="54">
        <v>1</v>
      </c>
      <c r="O26" s="54">
        <v>3.6</v>
      </c>
      <c r="P26" s="54">
        <v>8.3000000000000007</v>
      </c>
      <c r="Q26" s="54">
        <v>46.7</v>
      </c>
      <c r="R26" s="54" t="s">
        <v>576</v>
      </c>
      <c r="S26" s="54" t="s">
        <v>3449</v>
      </c>
      <c r="T26" s="54" t="s">
        <v>1676</v>
      </c>
      <c r="U26" s="54" t="s">
        <v>3450</v>
      </c>
      <c r="V26" s="54">
        <v>14</v>
      </c>
      <c r="W26" s="54" t="s">
        <v>1652</v>
      </c>
      <c r="X26" s="57" t="s">
        <v>495</v>
      </c>
    </row>
    <row r="27" spans="1:24" ht="25.5" customHeight="1" x14ac:dyDescent="0.25">
      <c r="A27" s="54" t="s">
        <v>3524</v>
      </c>
      <c r="B27" s="54" t="s">
        <v>3525</v>
      </c>
      <c r="C27" s="54" t="s">
        <v>1640</v>
      </c>
      <c r="D27" s="54" t="s">
        <v>3482</v>
      </c>
      <c r="E27" s="54" t="s">
        <v>161</v>
      </c>
      <c r="F27" s="54" t="s">
        <v>3447</v>
      </c>
      <c r="G27" s="54">
        <v>3</v>
      </c>
      <c r="H27" s="54">
        <v>352444</v>
      </c>
      <c r="I27" s="54">
        <v>1.7922</v>
      </c>
      <c r="J27" s="54" t="s">
        <v>3526</v>
      </c>
      <c r="K27" s="54">
        <v>4.3</v>
      </c>
      <c r="L27" s="54" t="s">
        <v>3459</v>
      </c>
      <c r="M27" s="54" t="s">
        <v>587</v>
      </c>
      <c r="N27" s="54">
        <v>42.9</v>
      </c>
      <c r="O27" s="54">
        <v>15.9</v>
      </c>
      <c r="P27" s="54">
        <v>11.7</v>
      </c>
      <c r="Q27" s="54">
        <v>49.6</v>
      </c>
      <c r="R27" s="54" t="s">
        <v>587</v>
      </c>
      <c r="S27" s="54" t="s">
        <v>3449</v>
      </c>
      <c r="T27" s="54" t="s">
        <v>622</v>
      </c>
      <c r="U27" s="54" t="s">
        <v>3450</v>
      </c>
      <c r="V27" s="54">
        <v>11</v>
      </c>
      <c r="W27" s="54" t="s">
        <v>3451</v>
      </c>
      <c r="X27" s="57" t="s">
        <v>495</v>
      </c>
    </row>
    <row r="28" spans="1:24" ht="25.5" customHeight="1" x14ac:dyDescent="0.25">
      <c r="A28" s="54" t="s">
        <v>3527</v>
      </c>
      <c r="B28" s="54" t="s">
        <v>974</v>
      </c>
      <c r="C28" s="54" t="s">
        <v>1640</v>
      </c>
      <c r="D28" s="54" t="s">
        <v>3499</v>
      </c>
      <c r="E28" s="54" t="s">
        <v>3528</v>
      </c>
      <c r="F28" s="54" t="s">
        <v>3493</v>
      </c>
      <c r="G28" s="54">
        <v>27.4</v>
      </c>
      <c r="H28" s="54">
        <v>292571</v>
      </c>
      <c r="I28" s="54">
        <v>1.8897999999999999</v>
      </c>
      <c r="J28" s="54" t="s">
        <v>3529</v>
      </c>
      <c r="K28" s="54">
        <v>8.3000000000000007</v>
      </c>
      <c r="L28" s="54" t="s">
        <v>1684</v>
      </c>
      <c r="M28" s="54" t="s">
        <v>576</v>
      </c>
      <c r="N28" s="54">
        <v>1.9</v>
      </c>
      <c r="O28" s="54">
        <v>28.5</v>
      </c>
      <c r="P28" s="54">
        <v>22.1</v>
      </c>
      <c r="Q28" s="54">
        <v>63.8</v>
      </c>
      <c r="R28" s="54" t="s">
        <v>576</v>
      </c>
      <c r="S28" s="54" t="s">
        <v>3449</v>
      </c>
      <c r="T28" s="54" t="s">
        <v>622</v>
      </c>
      <c r="U28" s="54" t="s">
        <v>3466</v>
      </c>
      <c r="V28" s="54">
        <v>29</v>
      </c>
      <c r="W28" s="54" t="s">
        <v>1652</v>
      </c>
      <c r="X28" s="57" t="s">
        <v>495</v>
      </c>
    </row>
    <row r="29" spans="1:24" ht="25.5" customHeight="1" x14ac:dyDescent="0.25">
      <c r="A29" s="54" t="s">
        <v>3530</v>
      </c>
      <c r="B29" s="54" t="s">
        <v>1895</v>
      </c>
      <c r="C29" s="54" t="s">
        <v>622</v>
      </c>
      <c r="D29" s="54" t="s">
        <v>3499</v>
      </c>
      <c r="E29" s="54" t="s">
        <v>3528</v>
      </c>
      <c r="F29" s="54" t="s">
        <v>3447</v>
      </c>
      <c r="G29" s="54">
        <v>36.4</v>
      </c>
      <c r="H29" s="54">
        <v>348035</v>
      </c>
      <c r="I29" s="54">
        <v>4.8220000000000001</v>
      </c>
      <c r="J29" s="54" t="s">
        <v>3531</v>
      </c>
      <c r="K29" s="54">
        <v>3.6</v>
      </c>
      <c r="L29" s="54" t="s">
        <v>3480</v>
      </c>
      <c r="M29" s="54" t="s">
        <v>576</v>
      </c>
      <c r="N29" s="54">
        <v>22.2</v>
      </c>
      <c r="O29" s="54">
        <v>88.1</v>
      </c>
      <c r="P29" s="54">
        <v>10.199999999999999</v>
      </c>
      <c r="Q29" s="54">
        <v>66.8</v>
      </c>
      <c r="R29" s="54" t="s">
        <v>1684</v>
      </c>
      <c r="S29" s="54" t="s">
        <v>3470</v>
      </c>
      <c r="T29" s="54" t="s">
        <v>1640</v>
      </c>
      <c r="U29" s="54" t="s">
        <v>3015</v>
      </c>
      <c r="V29" s="54">
        <v>49</v>
      </c>
      <c r="W29" s="54" t="s">
        <v>1652</v>
      </c>
      <c r="X29" s="57" t="s">
        <v>495</v>
      </c>
    </row>
    <row r="30" spans="1:24" ht="25.5" customHeight="1" x14ac:dyDescent="0.25">
      <c r="A30" s="54" t="s">
        <v>3532</v>
      </c>
      <c r="B30" s="54" t="s">
        <v>1511</v>
      </c>
      <c r="C30" s="54" t="s">
        <v>622</v>
      </c>
      <c r="D30" s="54" t="s">
        <v>3453</v>
      </c>
      <c r="E30" s="54" t="s">
        <v>3485</v>
      </c>
      <c r="F30" s="54" t="s">
        <v>3454</v>
      </c>
      <c r="G30" s="54">
        <v>21.9</v>
      </c>
      <c r="H30" s="54">
        <v>437419</v>
      </c>
      <c r="I30" s="54">
        <v>3.4137</v>
      </c>
      <c r="J30" s="54" t="s">
        <v>3533</v>
      </c>
      <c r="K30" s="54">
        <v>9.3000000000000007</v>
      </c>
      <c r="L30" s="54" t="s">
        <v>3459</v>
      </c>
      <c r="M30" s="54" t="s">
        <v>587</v>
      </c>
      <c r="N30" s="54">
        <v>18.3</v>
      </c>
      <c r="O30" s="54">
        <v>55.1</v>
      </c>
      <c r="P30" s="54">
        <v>13.1</v>
      </c>
      <c r="Q30" s="54">
        <v>73.8</v>
      </c>
      <c r="R30" s="54" t="s">
        <v>576</v>
      </c>
      <c r="S30" s="54" t="s">
        <v>3512</v>
      </c>
      <c r="T30" s="54" t="s">
        <v>1640</v>
      </c>
      <c r="U30" s="54" t="s">
        <v>3015</v>
      </c>
      <c r="V30" s="54">
        <v>9</v>
      </c>
      <c r="W30" s="54" t="s">
        <v>3451</v>
      </c>
      <c r="X30" s="57" t="s">
        <v>495</v>
      </c>
    </row>
    <row r="31" spans="1:24" ht="25.5" customHeight="1" x14ac:dyDescent="0.25">
      <c r="A31" s="54" t="s">
        <v>3534</v>
      </c>
      <c r="B31" s="54" t="s">
        <v>1746</v>
      </c>
      <c r="C31" s="54" t="s">
        <v>3472</v>
      </c>
      <c r="D31" s="54" t="s">
        <v>3445</v>
      </c>
      <c r="E31" s="54" t="s">
        <v>3474</v>
      </c>
      <c r="F31" s="54" t="s">
        <v>3493</v>
      </c>
      <c r="G31" s="54">
        <v>28.7</v>
      </c>
      <c r="H31" s="54">
        <v>307673</v>
      </c>
      <c r="I31" s="54">
        <v>2.1804999999999999</v>
      </c>
      <c r="J31" s="54" t="s">
        <v>3535</v>
      </c>
      <c r="K31" s="54">
        <v>4.5</v>
      </c>
      <c r="L31" s="54" t="s">
        <v>3480</v>
      </c>
      <c r="M31" s="54" t="s">
        <v>587</v>
      </c>
      <c r="N31" s="54">
        <v>45.8</v>
      </c>
      <c r="O31" s="54">
        <v>73</v>
      </c>
      <c r="P31" s="54">
        <v>4</v>
      </c>
      <c r="Q31" s="54">
        <v>21.3</v>
      </c>
      <c r="R31" s="54" t="s">
        <v>576</v>
      </c>
      <c r="S31" s="54" t="s">
        <v>3512</v>
      </c>
      <c r="T31" s="54" t="s">
        <v>1676</v>
      </c>
      <c r="U31" s="54" t="s">
        <v>3466</v>
      </c>
      <c r="V31" s="54">
        <v>36</v>
      </c>
      <c r="W31" s="54" t="s">
        <v>1652</v>
      </c>
      <c r="X31" s="57" t="s">
        <v>495</v>
      </c>
    </row>
    <row r="32" spans="1:24" ht="25.5" customHeight="1" x14ac:dyDescent="0.25">
      <c r="A32" s="54" t="s">
        <v>3536</v>
      </c>
      <c r="B32" s="54" t="s">
        <v>3537</v>
      </c>
      <c r="C32" s="54" t="s">
        <v>1676</v>
      </c>
      <c r="D32" s="54" t="s">
        <v>3445</v>
      </c>
      <c r="E32" s="54" t="s">
        <v>3528</v>
      </c>
      <c r="F32" s="54" t="s">
        <v>3463</v>
      </c>
      <c r="G32" s="54">
        <v>2.8</v>
      </c>
      <c r="H32" s="54">
        <v>270228</v>
      </c>
      <c r="I32" s="54">
        <v>0.48499999999999999</v>
      </c>
      <c r="J32" s="54" t="s">
        <v>3538</v>
      </c>
      <c r="K32" s="54">
        <v>7.3</v>
      </c>
      <c r="L32" s="54" t="s">
        <v>3491</v>
      </c>
      <c r="M32" s="54" t="s">
        <v>576</v>
      </c>
      <c r="N32" s="54">
        <v>33.6</v>
      </c>
      <c r="O32" s="54">
        <v>89.3</v>
      </c>
      <c r="P32" s="54">
        <v>21.6</v>
      </c>
      <c r="Q32" s="54">
        <v>37.4</v>
      </c>
      <c r="R32" s="54" t="s">
        <v>576</v>
      </c>
      <c r="S32" s="54" t="s">
        <v>3465</v>
      </c>
      <c r="T32" s="54" t="s">
        <v>1640</v>
      </c>
      <c r="U32" s="54" t="s">
        <v>3015</v>
      </c>
      <c r="V32" s="54">
        <v>2</v>
      </c>
      <c r="W32" s="54" t="s">
        <v>3451</v>
      </c>
      <c r="X32" s="57" t="s">
        <v>495</v>
      </c>
    </row>
    <row r="33" spans="1:24" ht="25.5" customHeight="1" x14ac:dyDescent="0.25">
      <c r="A33" s="54" t="s">
        <v>3539</v>
      </c>
      <c r="B33" s="54" t="s">
        <v>1889</v>
      </c>
      <c r="C33" s="54" t="s">
        <v>1640</v>
      </c>
      <c r="D33" s="54" t="s">
        <v>3445</v>
      </c>
      <c r="E33" s="54" t="s">
        <v>3478</v>
      </c>
      <c r="F33" s="54" t="s">
        <v>3454</v>
      </c>
      <c r="G33" s="54">
        <v>6.2</v>
      </c>
      <c r="H33" s="54">
        <v>465387</v>
      </c>
      <c r="I33" s="54">
        <v>0.93220000000000003</v>
      </c>
      <c r="J33" s="54" t="s">
        <v>3540</v>
      </c>
      <c r="K33" s="54">
        <v>5.4</v>
      </c>
      <c r="L33" s="54" t="s">
        <v>1684</v>
      </c>
      <c r="M33" s="54" t="s">
        <v>576</v>
      </c>
      <c r="N33" s="54">
        <v>7.5</v>
      </c>
      <c r="O33" s="54">
        <v>50.2</v>
      </c>
      <c r="P33" s="54">
        <v>9.6</v>
      </c>
      <c r="Q33" s="54">
        <v>21.9</v>
      </c>
      <c r="R33" s="54" t="s">
        <v>576</v>
      </c>
      <c r="S33" s="54" t="s">
        <v>3470</v>
      </c>
      <c r="T33" s="54" t="s">
        <v>1640</v>
      </c>
      <c r="U33" s="54" t="s">
        <v>3450</v>
      </c>
      <c r="V33" s="54">
        <v>10</v>
      </c>
      <c r="W33" s="54" t="s">
        <v>1652</v>
      </c>
      <c r="X33" s="57" t="s">
        <v>495</v>
      </c>
    </row>
    <row r="34" spans="1:24" ht="25.5" customHeight="1" x14ac:dyDescent="0.25">
      <c r="A34" s="54" t="s">
        <v>3541</v>
      </c>
      <c r="B34" s="54" t="s">
        <v>797</v>
      </c>
      <c r="C34" s="54" t="s">
        <v>3472</v>
      </c>
      <c r="D34" s="54" t="s">
        <v>3473</v>
      </c>
      <c r="E34" s="54" t="s">
        <v>3474</v>
      </c>
      <c r="F34" s="54" t="s">
        <v>3463</v>
      </c>
      <c r="G34" s="54">
        <v>33.200000000000003</v>
      </c>
      <c r="H34" s="54">
        <v>169035</v>
      </c>
      <c r="I34" s="54">
        <v>3.6960000000000002</v>
      </c>
      <c r="J34" s="54" t="s">
        <v>3542</v>
      </c>
      <c r="K34" s="54">
        <v>6.3</v>
      </c>
      <c r="L34" s="54" t="s">
        <v>3491</v>
      </c>
      <c r="M34" s="54" t="s">
        <v>576</v>
      </c>
      <c r="N34" s="54">
        <v>45.5</v>
      </c>
      <c r="O34" s="54">
        <v>74.5</v>
      </c>
      <c r="P34" s="54">
        <v>0.5</v>
      </c>
      <c r="Q34" s="54">
        <v>44.1</v>
      </c>
      <c r="R34" s="54" t="s">
        <v>576</v>
      </c>
      <c r="S34" s="54" t="s">
        <v>3449</v>
      </c>
      <c r="T34" s="54" t="s">
        <v>1640</v>
      </c>
      <c r="U34" s="54" t="s">
        <v>3466</v>
      </c>
      <c r="V34" s="54">
        <v>19</v>
      </c>
      <c r="W34" s="54" t="s">
        <v>3451</v>
      </c>
      <c r="X34" s="57" t="s">
        <v>495</v>
      </c>
    </row>
    <row r="35" spans="1:24" ht="25.5" customHeight="1" x14ac:dyDescent="0.25">
      <c r="A35" s="54" t="s">
        <v>3543</v>
      </c>
      <c r="B35" s="54" t="s">
        <v>3544</v>
      </c>
      <c r="C35" s="54" t="s">
        <v>1640</v>
      </c>
      <c r="D35" s="54" t="s">
        <v>3504</v>
      </c>
      <c r="E35" s="54" t="s">
        <v>161</v>
      </c>
      <c r="F35" s="54" t="s">
        <v>3454</v>
      </c>
      <c r="G35" s="54">
        <v>1.3</v>
      </c>
      <c r="H35" s="54">
        <v>422757</v>
      </c>
      <c r="I35" s="54">
        <v>1.2685999999999999</v>
      </c>
      <c r="J35" s="54" t="s">
        <v>3545</v>
      </c>
      <c r="K35" s="54">
        <v>8.6999999999999993</v>
      </c>
      <c r="L35" s="54" t="s">
        <v>3491</v>
      </c>
      <c r="M35" s="54" t="s">
        <v>587</v>
      </c>
      <c r="N35" s="54">
        <v>4</v>
      </c>
      <c r="O35" s="54">
        <v>77.099999999999994</v>
      </c>
      <c r="P35" s="54">
        <v>7.9</v>
      </c>
      <c r="Q35" s="54">
        <v>63.5</v>
      </c>
      <c r="R35" s="54" t="s">
        <v>587</v>
      </c>
      <c r="S35" s="54" t="s">
        <v>3465</v>
      </c>
      <c r="T35" s="54" t="s">
        <v>1640</v>
      </c>
      <c r="U35" s="54" t="s">
        <v>3015</v>
      </c>
      <c r="V35" s="54">
        <v>44</v>
      </c>
      <c r="W35" s="54" t="s">
        <v>3451</v>
      </c>
      <c r="X35" s="57" t="s">
        <v>495</v>
      </c>
    </row>
    <row r="36" spans="1:24" ht="25.5" customHeight="1" x14ac:dyDescent="0.25">
      <c r="A36" s="46" t="s">
        <v>3546</v>
      </c>
      <c r="B36" s="46" t="s">
        <v>2114</v>
      </c>
      <c r="C36" s="46" t="s">
        <v>1640</v>
      </c>
      <c r="D36" s="46" t="s">
        <v>3461</v>
      </c>
      <c r="E36" s="46" t="s">
        <v>3474</v>
      </c>
      <c r="F36" s="46" t="s">
        <v>3454</v>
      </c>
      <c r="G36" s="46">
        <v>13</v>
      </c>
      <c r="H36" s="46">
        <v>238161</v>
      </c>
      <c r="I36" s="46">
        <v>0.81640000000000001</v>
      </c>
      <c r="J36" s="46" t="s">
        <v>3547</v>
      </c>
      <c r="K36" s="46">
        <v>3.9</v>
      </c>
      <c r="L36" s="46" t="s">
        <v>1684</v>
      </c>
      <c r="M36" s="46" t="s">
        <v>576</v>
      </c>
      <c r="N36" s="46">
        <v>45.6</v>
      </c>
      <c r="O36" s="46">
        <v>57.6</v>
      </c>
      <c r="P36" s="46">
        <v>0.9</v>
      </c>
      <c r="Q36" s="46">
        <v>8.3000000000000007</v>
      </c>
      <c r="R36" s="46" t="s">
        <v>587</v>
      </c>
      <c r="S36" s="46" t="s">
        <v>3495</v>
      </c>
      <c r="T36" s="46" t="s">
        <v>622</v>
      </c>
      <c r="U36" s="46" t="s">
        <v>3450</v>
      </c>
      <c r="V36" s="46">
        <v>9</v>
      </c>
      <c r="W36" s="46" t="s">
        <v>3451</v>
      </c>
      <c r="X36" s="49" t="s">
        <v>321</v>
      </c>
    </row>
    <row r="37" spans="1:24" ht="25.5" customHeight="1" x14ac:dyDescent="0.25">
      <c r="A37" s="54" t="s">
        <v>3548</v>
      </c>
      <c r="B37" s="54" t="s">
        <v>2770</v>
      </c>
      <c r="C37" s="54" t="s">
        <v>622</v>
      </c>
      <c r="D37" s="54" t="s">
        <v>3473</v>
      </c>
      <c r="E37" s="54" t="s">
        <v>3474</v>
      </c>
      <c r="F37" s="54" t="s">
        <v>3454</v>
      </c>
      <c r="G37" s="54">
        <v>7.6</v>
      </c>
      <c r="H37" s="54">
        <v>454344</v>
      </c>
      <c r="I37" s="54">
        <v>2.1547999999999998</v>
      </c>
      <c r="J37" s="54" t="s">
        <v>3549</v>
      </c>
      <c r="K37" s="54">
        <v>3</v>
      </c>
      <c r="L37" s="54" t="s">
        <v>1684</v>
      </c>
      <c r="M37" s="54" t="s">
        <v>587</v>
      </c>
      <c r="N37" s="54">
        <v>16.100000000000001</v>
      </c>
      <c r="O37" s="54">
        <v>67.2</v>
      </c>
      <c r="P37" s="54">
        <v>14.2</v>
      </c>
      <c r="Q37" s="54">
        <v>20.100000000000001</v>
      </c>
      <c r="R37" s="54" t="s">
        <v>576</v>
      </c>
      <c r="S37" s="54" t="s">
        <v>3465</v>
      </c>
      <c r="T37" s="54" t="s">
        <v>622</v>
      </c>
      <c r="U37" s="54" t="s">
        <v>3015</v>
      </c>
      <c r="V37" s="54">
        <v>9</v>
      </c>
      <c r="W37" s="54" t="s">
        <v>3451</v>
      </c>
      <c r="X37" s="57" t="s">
        <v>495</v>
      </c>
    </row>
    <row r="38" spans="1:24" ht="25.5" customHeight="1" x14ac:dyDescent="0.25">
      <c r="A38" s="54" t="s">
        <v>3550</v>
      </c>
      <c r="B38" s="54" t="s">
        <v>3551</v>
      </c>
      <c r="C38" s="54" t="s">
        <v>622</v>
      </c>
      <c r="D38" s="54" t="s">
        <v>3516</v>
      </c>
      <c r="E38" s="54" t="s">
        <v>3474</v>
      </c>
      <c r="F38" s="54" t="s">
        <v>3463</v>
      </c>
      <c r="G38" s="54">
        <v>22.7</v>
      </c>
      <c r="H38" s="54">
        <v>348731</v>
      </c>
      <c r="I38" s="54">
        <v>1.1192</v>
      </c>
      <c r="J38" s="54" t="s">
        <v>3552</v>
      </c>
      <c r="K38" s="54">
        <v>1.2</v>
      </c>
      <c r="L38" s="54" t="s">
        <v>3480</v>
      </c>
      <c r="M38" s="54" t="s">
        <v>576</v>
      </c>
      <c r="N38" s="54">
        <v>10.1</v>
      </c>
      <c r="O38" s="54">
        <v>72.900000000000006</v>
      </c>
      <c r="P38" s="54">
        <v>5.7</v>
      </c>
      <c r="Q38" s="54">
        <v>44</v>
      </c>
      <c r="R38" s="54" t="s">
        <v>576</v>
      </c>
      <c r="S38" s="54" t="s">
        <v>3476</v>
      </c>
      <c r="T38" s="54" t="s">
        <v>1640</v>
      </c>
      <c r="U38" s="54" t="s">
        <v>3015</v>
      </c>
      <c r="V38" s="54">
        <v>34</v>
      </c>
      <c r="W38" s="54" t="s">
        <v>3451</v>
      </c>
      <c r="X38" s="57" t="s">
        <v>495</v>
      </c>
    </row>
    <row r="39" spans="1:24" ht="25.5" customHeight="1" x14ac:dyDescent="0.25">
      <c r="A39" s="54" t="s">
        <v>3553</v>
      </c>
      <c r="B39" s="54" t="s">
        <v>1529</v>
      </c>
      <c r="C39" s="54" t="s">
        <v>1676</v>
      </c>
      <c r="D39" s="54" t="s">
        <v>3445</v>
      </c>
      <c r="E39" s="54" t="s">
        <v>3474</v>
      </c>
      <c r="F39" s="54" t="s">
        <v>3493</v>
      </c>
      <c r="G39" s="54">
        <v>2.2999999999999998</v>
      </c>
      <c r="H39" s="54">
        <v>411051</v>
      </c>
      <c r="I39" s="54">
        <v>0.83740000000000003</v>
      </c>
      <c r="J39" s="54" t="s">
        <v>3554</v>
      </c>
      <c r="K39" s="54">
        <v>7.7</v>
      </c>
      <c r="L39" s="54" t="s">
        <v>3459</v>
      </c>
      <c r="M39" s="54" t="s">
        <v>587</v>
      </c>
      <c r="N39" s="54">
        <v>27.1</v>
      </c>
      <c r="O39" s="54">
        <v>87.2</v>
      </c>
      <c r="P39" s="54">
        <v>13.3</v>
      </c>
      <c r="Q39" s="54">
        <v>43.8</v>
      </c>
      <c r="R39" s="54" t="s">
        <v>587</v>
      </c>
      <c r="S39" s="54" t="s">
        <v>3495</v>
      </c>
      <c r="T39" s="54" t="s">
        <v>1676</v>
      </c>
      <c r="U39" s="54" t="s">
        <v>3450</v>
      </c>
      <c r="V39" s="54">
        <v>48</v>
      </c>
      <c r="W39" s="54" t="s">
        <v>1652</v>
      </c>
      <c r="X39" s="57" t="s">
        <v>495</v>
      </c>
    </row>
    <row r="40" spans="1:24" ht="25.5" customHeight="1" x14ac:dyDescent="0.25">
      <c r="A40" s="54" t="s">
        <v>3555</v>
      </c>
      <c r="B40" s="54" t="s">
        <v>1892</v>
      </c>
      <c r="C40" s="54" t="s">
        <v>1640</v>
      </c>
      <c r="D40" s="54" t="s">
        <v>3504</v>
      </c>
      <c r="E40" s="54" t="s">
        <v>3556</v>
      </c>
      <c r="F40" s="54" t="s">
        <v>3463</v>
      </c>
      <c r="G40" s="54">
        <v>12.3</v>
      </c>
      <c r="H40" s="54">
        <v>394256</v>
      </c>
      <c r="I40" s="54">
        <v>2.4742999999999999</v>
      </c>
      <c r="J40" s="54" t="s">
        <v>3557</v>
      </c>
      <c r="K40" s="54">
        <v>1.4</v>
      </c>
      <c r="L40" s="54" t="s">
        <v>3491</v>
      </c>
      <c r="M40" s="54" t="s">
        <v>576</v>
      </c>
      <c r="N40" s="54">
        <v>28.7</v>
      </c>
      <c r="O40" s="54">
        <v>51.2</v>
      </c>
      <c r="P40" s="54">
        <v>22.4</v>
      </c>
      <c r="Q40" s="54">
        <v>36.5</v>
      </c>
      <c r="R40" s="54" t="s">
        <v>1684</v>
      </c>
      <c r="S40" s="54" t="s">
        <v>3465</v>
      </c>
      <c r="T40" s="54" t="s">
        <v>1676</v>
      </c>
      <c r="U40" s="54" t="s">
        <v>3466</v>
      </c>
      <c r="V40" s="54">
        <v>33</v>
      </c>
      <c r="W40" s="54" t="s">
        <v>3451</v>
      </c>
      <c r="X40" s="57" t="s">
        <v>495</v>
      </c>
    </row>
    <row r="41" spans="1:24" ht="25.5" customHeight="1" x14ac:dyDescent="0.25">
      <c r="A41" s="54" t="s">
        <v>3558</v>
      </c>
      <c r="B41" s="54" t="s">
        <v>1003</v>
      </c>
      <c r="C41" s="54" t="s">
        <v>622</v>
      </c>
      <c r="D41" s="54" t="s">
        <v>3516</v>
      </c>
      <c r="E41" s="54" t="s">
        <v>3462</v>
      </c>
      <c r="F41" s="54" t="s">
        <v>3454</v>
      </c>
      <c r="G41" s="54">
        <v>39.200000000000003</v>
      </c>
      <c r="H41" s="54">
        <v>229245</v>
      </c>
      <c r="I41" s="54">
        <v>1.2988</v>
      </c>
      <c r="J41" s="54" t="s">
        <v>3559</v>
      </c>
      <c r="K41" s="54">
        <v>3</v>
      </c>
      <c r="L41" s="54" t="s">
        <v>1684</v>
      </c>
      <c r="M41" s="54" t="s">
        <v>576</v>
      </c>
      <c r="N41" s="54">
        <v>30.7</v>
      </c>
      <c r="O41" s="54">
        <v>72.099999999999994</v>
      </c>
      <c r="P41" s="54">
        <v>10.7</v>
      </c>
      <c r="Q41" s="54">
        <v>13.3</v>
      </c>
      <c r="R41" s="54" t="s">
        <v>576</v>
      </c>
      <c r="S41" s="54" t="s">
        <v>3449</v>
      </c>
      <c r="T41" s="54" t="s">
        <v>1676</v>
      </c>
      <c r="U41" s="54" t="s">
        <v>3450</v>
      </c>
      <c r="V41" s="54">
        <v>19</v>
      </c>
      <c r="W41" s="54" t="s">
        <v>1652</v>
      </c>
      <c r="X41" s="57" t="s">
        <v>495</v>
      </c>
    </row>
    <row r="42" spans="1:24" ht="25.5" customHeight="1" x14ac:dyDescent="0.25">
      <c r="A42" s="54" t="s">
        <v>3560</v>
      </c>
      <c r="B42" s="54" t="s">
        <v>3561</v>
      </c>
      <c r="C42" s="54" t="s">
        <v>1640</v>
      </c>
      <c r="D42" s="54" t="s">
        <v>3516</v>
      </c>
      <c r="E42" s="54" t="s">
        <v>3556</v>
      </c>
      <c r="F42" s="54" t="s">
        <v>3493</v>
      </c>
      <c r="G42" s="54">
        <v>24.1</v>
      </c>
      <c r="H42" s="54">
        <v>385166</v>
      </c>
      <c r="I42" s="54">
        <v>0.45939999999999998</v>
      </c>
      <c r="J42" s="54" t="s">
        <v>3562</v>
      </c>
      <c r="K42" s="54">
        <v>9.3000000000000007</v>
      </c>
      <c r="L42" s="54" t="s">
        <v>3459</v>
      </c>
      <c r="M42" s="54" t="s">
        <v>576</v>
      </c>
      <c r="N42" s="54">
        <v>23.8</v>
      </c>
      <c r="O42" s="54">
        <v>62.3</v>
      </c>
      <c r="P42" s="54">
        <v>4.0999999999999996</v>
      </c>
      <c r="Q42" s="54">
        <v>61.3</v>
      </c>
      <c r="R42" s="54" t="s">
        <v>1684</v>
      </c>
      <c r="S42" s="54" t="s">
        <v>3470</v>
      </c>
      <c r="T42" s="54" t="s">
        <v>622</v>
      </c>
      <c r="U42" s="54" t="s">
        <v>3015</v>
      </c>
      <c r="V42" s="54">
        <v>17</v>
      </c>
      <c r="W42" s="54" t="s">
        <v>1652</v>
      </c>
      <c r="X42" s="57" t="s">
        <v>495</v>
      </c>
    </row>
    <row r="43" spans="1:24" ht="25.5" customHeight="1" x14ac:dyDescent="0.25">
      <c r="A43" s="46" t="s">
        <v>3563</v>
      </c>
      <c r="B43" s="46" t="s">
        <v>3564</v>
      </c>
      <c r="C43" s="46" t="s">
        <v>1640</v>
      </c>
      <c r="D43" s="46" t="s">
        <v>3461</v>
      </c>
      <c r="E43" s="46" t="s">
        <v>3528</v>
      </c>
      <c r="F43" s="46" t="s">
        <v>3463</v>
      </c>
      <c r="G43" s="46">
        <v>2.7</v>
      </c>
      <c r="H43" s="46">
        <v>222379</v>
      </c>
      <c r="I43" s="46">
        <v>2.2128999999999999</v>
      </c>
      <c r="J43" s="46" t="s">
        <v>3565</v>
      </c>
      <c r="K43" s="46">
        <v>7.6</v>
      </c>
      <c r="L43" s="46" t="s">
        <v>1684</v>
      </c>
      <c r="M43" s="46" t="s">
        <v>576</v>
      </c>
      <c r="N43" s="46">
        <v>3.6</v>
      </c>
      <c r="O43" s="46">
        <v>36.1</v>
      </c>
      <c r="P43" s="46">
        <v>5.0999999999999996</v>
      </c>
      <c r="Q43" s="46">
        <v>14.6</v>
      </c>
      <c r="R43" s="46" t="s">
        <v>587</v>
      </c>
      <c r="S43" s="46" t="s">
        <v>3449</v>
      </c>
      <c r="T43" s="46" t="s">
        <v>622</v>
      </c>
      <c r="U43" s="46" t="s">
        <v>3466</v>
      </c>
      <c r="V43" s="46">
        <v>12</v>
      </c>
      <c r="W43" s="46" t="s">
        <v>1652</v>
      </c>
      <c r="X43" s="49" t="s">
        <v>321</v>
      </c>
    </row>
    <row r="44" spans="1:24" ht="25.5" customHeight="1" x14ac:dyDescent="0.25">
      <c r="A44" s="54" t="s">
        <v>3566</v>
      </c>
      <c r="B44" s="54" t="s">
        <v>3567</v>
      </c>
      <c r="C44" s="54" t="s">
        <v>1640</v>
      </c>
      <c r="D44" s="54" t="s">
        <v>3499</v>
      </c>
      <c r="E44" s="54" t="s">
        <v>3485</v>
      </c>
      <c r="F44" s="54" t="s">
        <v>3493</v>
      </c>
      <c r="G44" s="54">
        <v>8.8000000000000007</v>
      </c>
      <c r="H44" s="54">
        <v>472410</v>
      </c>
      <c r="I44" s="54">
        <v>2.2385000000000002</v>
      </c>
      <c r="J44" s="54" t="s">
        <v>3568</v>
      </c>
      <c r="K44" s="54">
        <v>9.4</v>
      </c>
      <c r="L44" s="54" t="s">
        <v>1684</v>
      </c>
      <c r="M44" s="54" t="s">
        <v>587</v>
      </c>
      <c r="N44" s="54">
        <v>42.2</v>
      </c>
      <c r="O44" s="54">
        <v>62.4</v>
      </c>
      <c r="P44" s="54">
        <v>16</v>
      </c>
      <c r="Q44" s="54">
        <v>46</v>
      </c>
      <c r="R44" s="54" t="s">
        <v>1684</v>
      </c>
      <c r="S44" s="54" t="s">
        <v>3476</v>
      </c>
      <c r="T44" s="54" t="s">
        <v>1676</v>
      </c>
      <c r="U44" s="54" t="s">
        <v>3466</v>
      </c>
      <c r="V44" s="54">
        <v>25</v>
      </c>
      <c r="W44" s="54" t="s">
        <v>3451</v>
      </c>
      <c r="X44" s="57" t="s">
        <v>495</v>
      </c>
    </row>
    <row r="45" spans="1:24" ht="25.5" customHeight="1" x14ac:dyDescent="0.25">
      <c r="A45" s="54" t="s">
        <v>3569</v>
      </c>
      <c r="B45" s="54" t="s">
        <v>2397</v>
      </c>
      <c r="C45" s="54" t="s">
        <v>622</v>
      </c>
      <c r="D45" s="54" t="s">
        <v>3482</v>
      </c>
      <c r="E45" s="54" t="s">
        <v>3446</v>
      </c>
      <c r="F45" s="54" t="s">
        <v>3493</v>
      </c>
      <c r="G45" s="54">
        <v>10.5</v>
      </c>
      <c r="H45" s="54">
        <v>467372</v>
      </c>
      <c r="I45" s="54">
        <v>3.1343999999999999</v>
      </c>
      <c r="J45" s="54" t="s">
        <v>3570</v>
      </c>
      <c r="K45" s="54">
        <v>6.5</v>
      </c>
      <c r="L45" s="54" t="s">
        <v>3491</v>
      </c>
      <c r="M45" s="54" t="s">
        <v>576</v>
      </c>
      <c r="N45" s="54">
        <v>11.1</v>
      </c>
      <c r="O45" s="54">
        <v>49.4</v>
      </c>
      <c r="P45" s="54">
        <v>21.7</v>
      </c>
      <c r="Q45" s="54">
        <v>8.5</v>
      </c>
      <c r="R45" s="54" t="s">
        <v>587</v>
      </c>
      <c r="S45" s="54" t="s">
        <v>3512</v>
      </c>
      <c r="T45" s="54" t="s">
        <v>1676</v>
      </c>
      <c r="U45" s="54" t="s">
        <v>3015</v>
      </c>
      <c r="V45" s="54">
        <v>34</v>
      </c>
      <c r="W45" s="54" t="s">
        <v>3451</v>
      </c>
      <c r="X45" s="57" t="s">
        <v>495</v>
      </c>
    </row>
    <row r="46" spans="1:24" ht="25.5" customHeight="1" x14ac:dyDescent="0.25">
      <c r="A46" s="54" t="s">
        <v>3571</v>
      </c>
      <c r="B46" s="54" t="s">
        <v>749</v>
      </c>
      <c r="C46" s="54" t="s">
        <v>1640</v>
      </c>
      <c r="D46" s="54" t="s">
        <v>3445</v>
      </c>
      <c r="E46" s="54" t="s">
        <v>3446</v>
      </c>
      <c r="F46" s="54" t="s">
        <v>3447</v>
      </c>
      <c r="G46" s="54">
        <v>17</v>
      </c>
      <c r="H46" s="54">
        <v>57969</v>
      </c>
      <c r="I46" s="54">
        <v>2.4198</v>
      </c>
      <c r="J46" s="54" t="s">
        <v>3572</v>
      </c>
      <c r="K46" s="54">
        <v>2.7</v>
      </c>
      <c r="L46" s="54" t="s">
        <v>1684</v>
      </c>
      <c r="M46" s="54" t="s">
        <v>576</v>
      </c>
      <c r="N46" s="54">
        <v>45.1</v>
      </c>
      <c r="O46" s="54">
        <v>72.3</v>
      </c>
      <c r="P46" s="54">
        <v>4.0999999999999996</v>
      </c>
      <c r="Q46" s="54">
        <v>54.5</v>
      </c>
      <c r="R46" s="54" t="s">
        <v>1684</v>
      </c>
      <c r="S46" s="54" t="s">
        <v>3512</v>
      </c>
      <c r="T46" s="54" t="s">
        <v>1676</v>
      </c>
      <c r="U46" s="54" t="s">
        <v>3466</v>
      </c>
      <c r="V46" s="54">
        <v>11</v>
      </c>
      <c r="W46" s="54" t="s">
        <v>3451</v>
      </c>
      <c r="X46" s="57" t="s">
        <v>495</v>
      </c>
    </row>
    <row r="47" spans="1:24" ht="25.5" customHeight="1" x14ac:dyDescent="0.25">
      <c r="A47" s="54" t="s">
        <v>3573</v>
      </c>
      <c r="B47" s="54" t="s">
        <v>1482</v>
      </c>
      <c r="C47" s="54" t="s">
        <v>622</v>
      </c>
      <c r="D47" s="54" t="s">
        <v>3445</v>
      </c>
      <c r="E47" s="54" t="s">
        <v>3556</v>
      </c>
      <c r="F47" s="54" t="s">
        <v>3447</v>
      </c>
      <c r="G47" s="54">
        <v>17.600000000000001</v>
      </c>
      <c r="H47" s="54">
        <v>387024</v>
      </c>
      <c r="I47" s="54">
        <v>4.7392000000000003</v>
      </c>
      <c r="J47" s="54" t="s">
        <v>3574</v>
      </c>
      <c r="K47" s="54">
        <v>4.7</v>
      </c>
      <c r="L47" s="54" t="s">
        <v>3491</v>
      </c>
      <c r="M47" s="54" t="s">
        <v>587</v>
      </c>
      <c r="N47" s="54">
        <v>19.600000000000001</v>
      </c>
      <c r="O47" s="54">
        <v>65.8</v>
      </c>
      <c r="P47" s="54">
        <v>10.4</v>
      </c>
      <c r="Q47" s="54">
        <v>51.1</v>
      </c>
      <c r="R47" s="54" t="s">
        <v>587</v>
      </c>
      <c r="S47" s="54" t="s">
        <v>3470</v>
      </c>
      <c r="T47" s="54" t="s">
        <v>1676</v>
      </c>
      <c r="U47" s="54" t="s">
        <v>3450</v>
      </c>
      <c r="V47" s="54">
        <v>40</v>
      </c>
      <c r="W47" s="54" t="s">
        <v>1652</v>
      </c>
      <c r="X47" s="57" t="s">
        <v>495</v>
      </c>
    </row>
    <row r="48" spans="1:24" ht="25.5" customHeight="1" x14ac:dyDescent="0.25">
      <c r="A48" s="54" t="s">
        <v>3575</v>
      </c>
      <c r="B48" s="54" t="s">
        <v>2093</v>
      </c>
      <c r="C48" s="54" t="s">
        <v>622</v>
      </c>
      <c r="D48" s="54" t="s">
        <v>3461</v>
      </c>
      <c r="E48" s="54" t="s">
        <v>3528</v>
      </c>
      <c r="F48" s="54" t="s">
        <v>3493</v>
      </c>
      <c r="G48" s="54">
        <v>24.4</v>
      </c>
      <c r="H48" s="54">
        <v>215827</v>
      </c>
      <c r="I48" s="54">
        <v>2.6673</v>
      </c>
      <c r="J48" s="54" t="s">
        <v>3576</v>
      </c>
      <c r="K48" s="54">
        <v>9.3000000000000007</v>
      </c>
      <c r="L48" s="54" t="s">
        <v>3459</v>
      </c>
      <c r="M48" s="54" t="s">
        <v>587</v>
      </c>
      <c r="N48" s="54">
        <v>48.5</v>
      </c>
      <c r="O48" s="54">
        <v>43.1</v>
      </c>
      <c r="P48" s="54">
        <v>20.6</v>
      </c>
      <c r="Q48" s="54">
        <v>52.2</v>
      </c>
      <c r="R48" s="54" t="s">
        <v>1684</v>
      </c>
      <c r="S48" s="54" t="s">
        <v>3512</v>
      </c>
      <c r="T48" s="54" t="s">
        <v>1640</v>
      </c>
      <c r="U48" s="54" t="s">
        <v>3466</v>
      </c>
      <c r="V48" s="54">
        <v>42</v>
      </c>
      <c r="W48" s="54" t="s">
        <v>3451</v>
      </c>
      <c r="X48" s="57" t="s">
        <v>495</v>
      </c>
    </row>
    <row r="49" spans="1:24" ht="25.5" customHeight="1" x14ac:dyDescent="0.25">
      <c r="A49" s="54" t="s">
        <v>3577</v>
      </c>
      <c r="B49" s="54" t="s">
        <v>2691</v>
      </c>
      <c r="C49" s="54" t="s">
        <v>622</v>
      </c>
      <c r="D49" s="54" t="s">
        <v>3499</v>
      </c>
      <c r="E49" s="54" t="s">
        <v>3474</v>
      </c>
      <c r="F49" s="54" t="s">
        <v>3447</v>
      </c>
      <c r="G49" s="54">
        <v>20.100000000000001</v>
      </c>
      <c r="H49" s="54">
        <v>431951</v>
      </c>
      <c r="I49" s="54">
        <v>3.7229000000000001</v>
      </c>
      <c r="J49" s="54" t="s">
        <v>3578</v>
      </c>
      <c r="K49" s="54">
        <v>4.5</v>
      </c>
      <c r="L49" s="54" t="s">
        <v>1684</v>
      </c>
      <c r="M49" s="54" t="s">
        <v>587</v>
      </c>
      <c r="N49" s="54">
        <v>28.9</v>
      </c>
      <c r="O49" s="54">
        <v>11.2</v>
      </c>
      <c r="P49" s="54">
        <v>8.1</v>
      </c>
      <c r="Q49" s="54">
        <v>17.899999999999999</v>
      </c>
      <c r="R49" s="54" t="s">
        <v>1684</v>
      </c>
      <c r="S49" s="54" t="s">
        <v>3470</v>
      </c>
      <c r="T49" s="54" t="s">
        <v>622</v>
      </c>
      <c r="U49" s="54" t="s">
        <v>3015</v>
      </c>
      <c r="V49" s="54">
        <v>10</v>
      </c>
      <c r="W49" s="54" t="s">
        <v>3451</v>
      </c>
      <c r="X49" s="57" t="s">
        <v>495</v>
      </c>
    </row>
    <row r="50" spans="1:24" ht="25.5" customHeight="1" x14ac:dyDescent="0.25">
      <c r="A50" s="54" t="s">
        <v>3579</v>
      </c>
      <c r="B50" s="54" t="s">
        <v>1127</v>
      </c>
      <c r="C50" s="54" t="s">
        <v>1640</v>
      </c>
      <c r="D50" s="54" t="s">
        <v>3516</v>
      </c>
      <c r="E50" s="54" t="s">
        <v>3462</v>
      </c>
      <c r="F50" s="54" t="s">
        <v>3463</v>
      </c>
      <c r="G50" s="54">
        <v>23.2</v>
      </c>
      <c r="H50" s="54">
        <v>465830</v>
      </c>
      <c r="I50" s="54">
        <v>1.8977999999999999</v>
      </c>
      <c r="J50" s="54" t="s">
        <v>3580</v>
      </c>
      <c r="K50" s="54">
        <v>5</v>
      </c>
      <c r="L50" s="54" t="s">
        <v>3491</v>
      </c>
      <c r="M50" s="54" t="s">
        <v>576</v>
      </c>
      <c r="N50" s="54">
        <v>38.4</v>
      </c>
      <c r="O50" s="54">
        <v>42.4</v>
      </c>
      <c r="P50" s="54">
        <v>14.4</v>
      </c>
      <c r="Q50" s="54">
        <v>79.8</v>
      </c>
      <c r="R50" s="54" t="s">
        <v>576</v>
      </c>
      <c r="S50" s="54" t="s">
        <v>3465</v>
      </c>
      <c r="T50" s="54" t="s">
        <v>622</v>
      </c>
      <c r="U50" s="54" t="s">
        <v>3015</v>
      </c>
      <c r="V50" s="54">
        <v>25</v>
      </c>
      <c r="W50" s="54" t="s">
        <v>3451</v>
      </c>
      <c r="X50" s="57" t="s">
        <v>495</v>
      </c>
    </row>
    <row r="51" spans="1:24" ht="25.5" customHeight="1" x14ac:dyDescent="0.25">
      <c r="A51" s="54" t="s">
        <v>3581</v>
      </c>
      <c r="B51" s="54" t="s">
        <v>2105</v>
      </c>
      <c r="C51" s="54" t="s">
        <v>622</v>
      </c>
      <c r="D51" s="54" t="s">
        <v>3504</v>
      </c>
      <c r="E51" s="54" t="s">
        <v>161</v>
      </c>
      <c r="F51" s="54" t="s">
        <v>3454</v>
      </c>
      <c r="G51" s="54">
        <v>34.9</v>
      </c>
      <c r="H51" s="54">
        <v>294155</v>
      </c>
      <c r="I51" s="54">
        <v>2.8917000000000002</v>
      </c>
      <c r="J51" s="54" t="s">
        <v>3582</v>
      </c>
      <c r="K51" s="54">
        <v>4.7</v>
      </c>
      <c r="L51" s="54" t="s">
        <v>3459</v>
      </c>
      <c r="M51" s="54" t="s">
        <v>576</v>
      </c>
      <c r="N51" s="54">
        <v>40.200000000000003</v>
      </c>
      <c r="O51" s="54">
        <v>80.599999999999994</v>
      </c>
      <c r="P51" s="54">
        <v>20.399999999999999</v>
      </c>
      <c r="Q51" s="54">
        <v>10.8</v>
      </c>
      <c r="R51" s="54" t="s">
        <v>587</v>
      </c>
      <c r="S51" s="54" t="s">
        <v>3449</v>
      </c>
      <c r="T51" s="54" t="s">
        <v>1640</v>
      </c>
      <c r="U51" s="54" t="s">
        <v>3466</v>
      </c>
      <c r="V51" s="54">
        <v>33</v>
      </c>
      <c r="W51" s="54" t="s">
        <v>3451</v>
      </c>
      <c r="X51" s="57" t="s">
        <v>495</v>
      </c>
    </row>
    <row r="52" spans="1:24" ht="25.5" customHeight="1" x14ac:dyDescent="0.25">
      <c r="A52" s="54" t="s">
        <v>3583</v>
      </c>
      <c r="B52" s="54" t="s">
        <v>1194</v>
      </c>
      <c r="C52" s="54" t="s">
        <v>1640</v>
      </c>
      <c r="D52" s="54" t="s">
        <v>3504</v>
      </c>
      <c r="E52" s="54" t="s">
        <v>3556</v>
      </c>
      <c r="F52" s="54" t="s">
        <v>3463</v>
      </c>
      <c r="G52" s="54">
        <v>29.9</v>
      </c>
      <c r="H52" s="54">
        <v>307330</v>
      </c>
      <c r="I52" s="54">
        <v>0.87380000000000002</v>
      </c>
      <c r="J52" s="54" t="s">
        <v>3584</v>
      </c>
      <c r="K52" s="54">
        <v>3.4</v>
      </c>
      <c r="L52" s="54" t="s">
        <v>3480</v>
      </c>
      <c r="M52" s="54" t="s">
        <v>576</v>
      </c>
      <c r="N52" s="54">
        <v>39.700000000000003</v>
      </c>
      <c r="O52" s="54">
        <v>18.3</v>
      </c>
      <c r="P52" s="54">
        <v>15.5</v>
      </c>
      <c r="Q52" s="54">
        <v>64.900000000000006</v>
      </c>
      <c r="R52" s="54" t="s">
        <v>576</v>
      </c>
      <c r="S52" s="54" t="s">
        <v>3495</v>
      </c>
      <c r="T52" s="54" t="s">
        <v>1676</v>
      </c>
      <c r="U52" s="54" t="s">
        <v>3450</v>
      </c>
      <c r="V52" s="54">
        <v>2</v>
      </c>
      <c r="W52" s="54" t="s">
        <v>3451</v>
      </c>
      <c r="X52" s="57" t="s">
        <v>495</v>
      </c>
    </row>
    <row r="53" spans="1:24" ht="25.5" customHeight="1" x14ac:dyDescent="0.25">
      <c r="A53" s="54" t="s">
        <v>3585</v>
      </c>
      <c r="B53" s="54" t="s">
        <v>746</v>
      </c>
      <c r="C53" s="54" t="s">
        <v>1676</v>
      </c>
      <c r="D53" s="54" t="s">
        <v>3453</v>
      </c>
      <c r="E53" s="54" t="s">
        <v>3586</v>
      </c>
      <c r="F53" s="54" t="s">
        <v>3447</v>
      </c>
      <c r="G53" s="54">
        <v>8.3000000000000007</v>
      </c>
      <c r="H53" s="54">
        <v>473767</v>
      </c>
      <c r="I53" s="54">
        <v>0.57520000000000004</v>
      </c>
      <c r="J53" s="54" t="s">
        <v>3587</v>
      </c>
      <c r="K53" s="54">
        <v>8.6</v>
      </c>
      <c r="L53" s="54" t="s">
        <v>1684</v>
      </c>
      <c r="M53" s="54" t="s">
        <v>587</v>
      </c>
      <c r="N53" s="54">
        <v>27</v>
      </c>
      <c r="O53" s="54">
        <v>26.8</v>
      </c>
      <c r="P53" s="54">
        <v>12.7</v>
      </c>
      <c r="Q53" s="54">
        <v>62.1</v>
      </c>
      <c r="R53" s="54" t="s">
        <v>576</v>
      </c>
      <c r="S53" s="54" t="s">
        <v>3470</v>
      </c>
      <c r="T53" s="54" t="s">
        <v>622</v>
      </c>
      <c r="U53" s="54" t="s">
        <v>3015</v>
      </c>
      <c r="V53" s="54">
        <v>35</v>
      </c>
      <c r="W53" s="54" t="s">
        <v>3451</v>
      </c>
      <c r="X53" s="57" t="s">
        <v>495</v>
      </c>
    </row>
    <row r="54" spans="1:24" ht="25.5" customHeight="1" x14ac:dyDescent="0.25">
      <c r="A54" s="54" t="s">
        <v>3588</v>
      </c>
      <c r="B54" s="54" t="s">
        <v>1680</v>
      </c>
      <c r="C54" s="54" t="s">
        <v>622</v>
      </c>
      <c r="D54" s="54" t="s">
        <v>3468</v>
      </c>
      <c r="E54" s="54" t="s">
        <v>161</v>
      </c>
      <c r="F54" s="54" t="s">
        <v>3454</v>
      </c>
      <c r="G54" s="54">
        <v>34</v>
      </c>
      <c r="H54" s="54">
        <v>125235</v>
      </c>
      <c r="I54" s="54">
        <v>3.0716000000000001</v>
      </c>
      <c r="J54" s="54" t="s">
        <v>3589</v>
      </c>
      <c r="K54" s="54">
        <v>3.4</v>
      </c>
      <c r="L54" s="54" t="s">
        <v>3459</v>
      </c>
      <c r="M54" s="54" t="s">
        <v>587</v>
      </c>
      <c r="N54" s="54">
        <v>21.1</v>
      </c>
      <c r="O54" s="54">
        <v>86.8</v>
      </c>
      <c r="P54" s="54">
        <v>0.8</v>
      </c>
      <c r="Q54" s="54">
        <v>74.2</v>
      </c>
      <c r="R54" s="54" t="s">
        <v>587</v>
      </c>
      <c r="S54" s="54" t="s">
        <v>3495</v>
      </c>
      <c r="T54" s="54" t="s">
        <v>1676</v>
      </c>
      <c r="U54" s="54" t="s">
        <v>3450</v>
      </c>
      <c r="V54" s="54">
        <v>0</v>
      </c>
      <c r="W54" s="54" t="s">
        <v>3451</v>
      </c>
      <c r="X54" s="57" t="s">
        <v>495</v>
      </c>
    </row>
    <row r="55" spans="1:24" ht="25.5" customHeight="1" x14ac:dyDescent="0.25">
      <c r="A55" s="54" t="s">
        <v>3590</v>
      </c>
      <c r="B55" s="54" t="s">
        <v>3591</v>
      </c>
      <c r="C55" s="54" t="s">
        <v>622</v>
      </c>
      <c r="D55" s="54" t="s">
        <v>3482</v>
      </c>
      <c r="E55" s="54" t="s">
        <v>3462</v>
      </c>
      <c r="F55" s="54" t="s">
        <v>3463</v>
      </c>
      <c r="G55" s="54">
        <v>30.4</v>
      </c>
      <c r="H55" s="54">
        <v>313706</v>
      </c>
      <c r="I55" s="54">
        <v>4.4516</v>
      </c>
      <c r="J55" s="54" t="s">
        <v>3592</v>
      </c>
      <c r="K55" s="54">
        <v>1.2</v>
      </c>
      <c r="L55" s="54" t="s">
        <v>3480</v>
      </c>
      <c r="M55" s="54" t="s">
        <v>587</v>
      </c>
      <c r="N55" s="54">
        <v>15</v>
      </c>
      <c r="O55" s="54">
        <v>56.7</v>
      </c>
      <c r="P55" s="54">
        <v>18.5</v>
      </c>
      <c r="Q55" s="54">
        <v>16.899999999999999</v>
      </c>
      <c r="R55" s="54" t="s">
        <v>587</v>
      </c>
      <c r="S55" s="54" t="s">
        <v>3470</v>
      </c>
      <c r="T55" s="54" t="s">
        <v>622</v>
      </c>
      <c r="U55" s="54" t="s">
        <v>3466</v>
      </c>
      <c r="V55" s="54">
        <v>27</v>
      </c>
      <c r="W55" s="54" t="s">
        <v>3451</v>
      </c>
      <c r="X55" s="57" t="s">
        <v>495</v>
      </c>
    </row>
    <row r="56" spans="1:24" ht="25.5" customHeight="1" x14ac:dyDescent="0.25">
      <c r="A56" s="46" t="s">
        <v>3593</v>
      </c>
      <c r="B56" s="46" t="s">
        <v>2701</v>
      </c>
      <c r="C56" s="46" t="s">
        <v>1676</v>
      </c>
      <c r="D56" s="46" t="s">
        <v>3453</v>
      </c>
      <c r="E56" s="46" t="s">
        <v>3586</v>
      </c>
      <c r="F56" s="46" t="s">
        <v>3463</v>
      </c>
      <c r="G56" s="46">
        <v>10.9</v>
      </c>
      <c r="H56" s="46">
        <v>461422</v>
      </c>
      <c r="I56" s="46">
        <v>0.2039</v>
      </c>
      <c r="J56" s="46" t="s">
        <v>3594</v>
      </c>
      <c r="K56" s="46">
        <v>1.3</v>
      </c>
      <c r="L56" s="46" t="s">
        <v>1684</v>
      </c>
      <c r="M56" s="46" t="s">
        <v>587</v>
      </c>
      <c r="N56" s="46">
        <v>18.899999999999999</v>
      </c>
      <c r="O56" s="46">
        <v>69.400000000000006</v>
      </c>
      <c r="P56" s="46">
        <v>1.6</v>
      </c>
      <c r="Q56" s="46">
        <v>23.2</v>
      </c>
      <c r="R56" s="46" t="s">
        <v>587</v>
      </c>
      <c r="S56" s="46" t="s">
        <v>3495</v>
      </c>
      <c r="T56" s="46" t="s">
        <v>1640</v>
      </c>
      <c r="U56" s="46" t="s">
        <v>3450</v>
      </c>
      <c r="V56" s="46">
        <v>38</v>
      </c>
      <c r="W56" s="46" t="s">
        <v>1652</v>
      </c>
      <c r="X56" s="49" t="s">
        <v>321</v>
      </c>
    </row>
    <row r="57" spans="1:24" ht="25.5" customHeight="1" x14ac:dyDescent="0.25">
      <c r="A57" s="54" t="s">
        <v>3595</v>
      </c>
      <c r="B57" s="54" t="s">
        <v>1354</v>
      </c>
      <c r="C57" s="54" t="s">
        <v>1640</v>
      </c>
      <c r="D57" s="54" t="s">
        <v>3468</v>
      </c>
      <c r="E57" s="54" t="s">
        <v>3462</v>
      </c>
      <c r="F57" s="54" t="s">
        <v>3447</v>
      </c>
      <c r="G57" s="54">
        <v>24.7</v>
      </c>
      <c r="H57" s="54">
        <v>158749</v>
      </c>
      <c r="I57" s="54">
        <v>1.0607</v>
      </c>
      <c r="J57" s="54" t="s">
        <v>3596</v>
      </c>
      <c r="K57" s="54">
        <v>2.2999999999999998</v>
      </c>
      <c r="L57" s="54" t="s">
        <v>1684</v>
      </c>
      <c r="M57" s="54" t="s">
        <v>576</v>
      </c>
      <c r="N57" s="54">
        <v>16.5</v>
      </c>
      <c r="O57" s="54">
        <v>35.700000000000003</v>
      </c>
      <c r="P57" s="54">
        <v>14.5</v>
      </c>
      <c r="Q57" s="54">
        <v>70</v>
      </c>
      <c r="R57" s="54" t="s">
        <v>576</v>
      </c>
      <c r="S57" s="54" t="s">
        <v>3495</v>
      </c>
      <c r="T57" s="54" t="s">
        <v>1640</v>
      </c>
      <c r="U57" s="54" t="s">
        <v>3450</v>
      </c>
      <c r="V57" s="54">
        <v>11</v>
      </c>
      <c r="W57" s="54" t="s">
        <v>3451</v>
      </c>
      <c r="X57" s="57" t="s">
        <v>495</v>
      </c>
    </row>
    <row r="58" spans="1:24" ht="25.5" customHeight="1" x14ac:dyDescent="0.25">
      <c r="A58" s="54" t="s">
        <v>3597</v>
      </c>
      <c r="B58" s="54" t="s">
        <v>3598</v>
      </c>
      <c r="C58" s="54" t="s">
        <v>622</v>
      </c>
      <c r="D58" s="54" t="s">
        <v>3468</v>
      </c>
      <c r="E58" s="54" t="s">
        <v>3446</v>
      </c>
      <c r="F58" s="54" t="s">
        <v>3493</v>
      </c>
      <c r="G58" s="54">
        <v>46.7</v>
      </c>
      <c r="H58" s="54">
        <v>155610</v>
      </c>
      <c r="I58" s="54">
        <v>3.5196000000000001</v>
      </c>
      <c r="J58" s="54" t="s">
        <v>3599</v>
      </c>
      <c r="K58" s="54">
        <v>3.3</v>
      </c>
      <c r="L58" s="54" t="s">
        <v>3480</v>
      </c>
      <c r="M58" s="54" t="s">
        <v>587</v>
      </c>
      <c r="N58" s="54">
        <v>45.1</v>
      </c>
      <c r="O58" s="54">
        <v>31.8</v>
      </c>
      <c r="P58" s="54">
        <v>7.3</v>
      </c>
      <c r="Q58" s="54">
        <v>63.3</v>
      </c>
      <c r="R58" s="54" t="s">
        <v>587</v>
      </c>
      <c r="S58" s="54" t="s">
        <v>3470</v>
      </c>
      <c r="T58" s="54" t="s">
        <v>1676</v>
      </c>
      <c r="U58" s="54" t="s">
        <v>3015</v>
      </c>
      <c r="V58" s="54">
        <v>27</v>
      </c>
      <c r="W58" s="54" t="s">
        <v>3451</v>
      </c>
      <c r="X58" s="57" t="s">
        <v>495</v>
      </c>
    </row>
    <row r="59" spans="1:24" ht="25.5" customHeight="1" x14ac:dyDescent="0.25">
      <c r="A59" s="54" t="s">
        <v>3600</v>
      </c>
      <c r="B59" s="54" t="s">
        <v>3601</v>
      </c>
      <c r="C59" s="54" t="s">
        <v>1676</v>
      </c>
      <c r="D59" s="54" t="s">
        <v>3461</v>
      </c>
      <c r="E59" s="54" t="s">
        <v>3556</v>
      </c>
      <c r="F59" s="54" t="s">
        <v>3493</v>
      </c>
      <c r="G59" s="54">
        <v>6.6</v>
      </c>
      <c r="H59" s="54">
        <v>43905</v>
      </c>
      <c r="I59" s="54">
        <v>0.51459999999999995</v>
      </c>
      <c r="J59" s="54" t="s">
        <v>3602</v>
      </c>
      <c r="K59" s="54">
        <v>4</v>
      </c>
      <c r="L59" s="54" t="s">
        <v>3480</v>
      </c>
      <c r="M59" s="54" t="s">
        <v>576</v>
      </c>
      <c r="N59" s="54">
        <v>5.5</v>
      </c>
      <c r="O59" s="54">
        <v>70.7</v>
      </c>
      <c r="P59" s="54">
        <v>20.8</v>
      </c>
      <c r="Q59" s="54">
        <v>48.5</v>
      </c>
      <c r="R59" s="54" t="s">
        <v>576</v>
      </c>
      <c r="S59" s="54" t="s">
        <v>3512</v>
      </c>
      <c r="T59" s="54" t="s">
        <v>1676</v>
      </c>
      <c r="U59" s="54" t="s">
        <v>3466</v>
      </c>
      <c r="V59" s="54">
        <v>8</v>
      </c>
      <c r="W59" s="54" t="s">
        <v>3451</v>
      </c>
      <c r="X59" s="57" t="s">
        <v>495</v>
      </c>
    </row>
    <row r="60" spans="1:24" ht="25.5" customHeight="1" x14ac:dyDescent="0.25">
      <c r="A60" s="54" t="s">
        <v>3603</v>
      </c>
      <c r="B60" s="54" t="s">
        <v>2196</v>
      </c>
      <c r="C60" s="54" t="s">
        <v>3472</v>
      </c>
      <c r="D60" s="54" t="s">
        <v>3445</v>
      </c>
      <c r="E60" s="54" t="s">
        <v>161</v>
      </c>
      <c r="F60" s="54" t="s">
        <v>3493</v>
      </c>
      <c r="G60" s="54">
        <v>74.2</v>
      </c>
      <c r="H60" s="54">
        <v>333035</v>
      </c>
      <c r="I60" s="54">
        <v>4.8803999999999998</v>
      </c>
      <c r="J60" s="54" t="s">
        <v>3604</v>
      </c>
      <c r="K60" s="54">
        <v>2.4</v>
      </c>
      <c r="L60" s="54" t="s">
        <v>3480</v>
      </c>
      <c r="M60" s="54" t="s">
        <v>576</v>
      </c>
      <c r="N60" s="54">
        <v>31.1</v>
      </c>
      <c r="O60" s="54">
        <v>56.5</v>
      </c>
      <c r="P60" s="54">
        <v>17.2</v>
      </c>
      <c r="Q60" s="54">
        <v>27.1</v>
      </c>
      <c r="R60" s="54" t="s">
        <v>587</v>
      </c>
      <c r="S60" s="54" t="s">
        <v>3449</v>
      </c>
      <c r="T60" s="54" t="s">
        <v>1676</v>
      </c>
      <c r="U60" s="54" t="s">
        <v>3015</v>
      </c>
      <c r="V60" s="54">
        <v>42</v>
      </c>
      <c r="W60" s="54" t="s">
        <v>3451</v>
      </c>
      <c r="X60" s="57" t="s">
        <v>495</v>
      </c>
    </row>
    <row r="61" spans="1:24" ht="25.5" customHeight="1" x14ac:dyDescent="0.25">
      <c r="A61" s="54" t="s">
        <v>3605</v>
      </c>
      <c r="B61" s="54" t="s">
        <v>3601</v>
      </c>
      <c r="C61" s="54" t="s">
        <v>622</v>
      </c>
      <c r="D61" s="54" t="s">
        <v>3468</v>
      </c>
      <c r="E61" s="54" t="s">
        <v>3474</v>
      </c>
      <c r="F61" s="54" t="s">
        <v>3454</v>
      </c>
      <c r="G61" s="54">
        <v>6.9</v>
      </c>
      <c r="H61" s="54">
        <v>264379</v>
      </c>
      <c r="I61" s="54">
        <v>1.2858000000000001</v>
      </c>
      <c r="J61" s="54" t="s">
        <v>3606</v>
      </c>
      <c r="K61" s="54">
        <v>4.3</v>
      </c>
      <c r="L61" s="54" t="s">
        <v>3459</v>
      </c>
      <c r="M61" s="54" t="s">
        <v>587</v>
      </c>
      <c r="N61" s="54">
        <v>3.8</v>
      </c>
      <c r="O61" s="54">
        <v>34.9</v>
      </c>
      <c r="P61" s="54">
        <v>1.7</v>
      </c>
      <c r="Q61" s="54">
        <v>68.400000000000006</v>
      </c>
      <c r="R61" s="54" t="s">
        <v>576</v>
      </c>
      <c r="S61" s="54" t="s">
        <v>3495</v>
      </c>
      <c r="T61" s="54" t="s">
        <v>1640</v>
      </c>
      <c r="U61" s="54" t="s">
        <v>3015</v>
      </c>
      <c r="V61" s="54">
        <v>5</v>
      </c>
      <c r="W61" s="54" t="s">
        <v>3451</v>
      </c>
      <c r="X61" s="57" t="s">
        <v>495</v>
      </c>
    </row>
    <row r="62" spans="1:24" ht="25.5" customHeight="1" x14ac:dyDescent="0.25">
      <c r="A62" s="54" t="s">
        <v>3607</v>
      </c>
      <c r="B62" s="54" t="s">
        <v>1953</v>
      </c>
      <c r="C62" s="54" t="s">
        <v>1640</v>
      </c>
      <c r="D62" s="54" t="s">
        <v>3516</v>
      </c>
      <c r="E62" s="54" t="s">
        <v>161</v>
      </c>
      <c r="F62" s="54" t="s">
        <v>3493</v>
      </c>
      <c r="G62" s="54">
        <v>23.2</v>
      </c>
      <c r="H62" s="54">
        <v>187972</v>
      </c>
      <c r="I62" s="54">
        <v>1.6688000000000001</v>
      </c>
      <c r="J62" s="54" t="s">
        <v>3608</v>
      </c>
      <c r="K62" s="54">
        <v>3.7</v>
      </c>
      <c r="L62" s="54" t="s">
        <v>3480</v>
      </c>
      <c r="M62" s="54" t="s">
        <v>576</v>
      </c>
      <c r="N62" s="54">
        <v>41.7</v>
      </c>
      <c r="O62" s="54">
        <v>84.7</v>
      </c>
      <c r="P62" s="54">
        <v>3.3</v>
      </c>
      <c r="Q62" s="54">
        <v>47.3</v>
      </c>
      <c r="R62" s="54" t="s">
        <v>1684</v>
      </c>
      <c r="S62" s="54" t="s">
        <v>3470</v>
      </c>
      <c r="T62" s="54" t="s">
        <v>1640</v>
      </c>
      <c r="U62" s="54" t="s">
        <v>3450</v>
      </c>
      <c r="V62" s="54">
        <v>16</v>
      </c>
      <c r="W62" s="54" t="s">
        <v>3451</v>
      </c>
      <c r="X62" s="57" t="s">
        <v>495</v>
      </c>
    </row>
    <row r="63" spans="1:24" ht="25.5" customHeight="1" x14ac:dyDescent="0.25">
      <c r="A63" s="54" t="s">
        <v>3609</v>
      </c>
      <c r="B63" s="54" t="s">
        <v>1971</v>
      </c>
      <c r="C63" s="54" t="s">
        <v>1640</v>
      </c>
      <c r="D63" s="54" t="s">
        <v>3468</v>
      </c>
      <c r="E63" s="54" t="s">
        <v>3446</v>
      </c>
      <c r="F63" s="54" t="s">
        <v>3447</v>
      </c>
      <c r="G63" s="54">
        <v>15.8</v>
      </c>
      <c r="H63" s="54">
        <v>103359</v>
      </c>
      <c r="I63" s="54">
        <v>0.2697</v>
      </c>
      <c r="J63" s="54" t="s">
        <v>3610</v>
      </c>
      <c r="K63" s="54">
        <v>3</v>
      </c>
      <c r="L63" s="54" t="s">
        <v>3459</v>
      </c>
      <c r="M63" s="54" t="s">
        <v>576</v>
      </c>
      <c r="N63" s="54">
        <v>34.6</v>
      </c>
      <c r="O63" s="54">
        <v>25.5</v>
      </c>
      <c r="P63" s="54">
        <v>15.6</v>
      </c>
      <c r="Q63" s="54">
        <v>73.599999999999994</v>
      </c>
      <c r="R63" s="54" t="s">
        <v>576</v>
      </c>
      <c r="S63" s="54" t="s">
        <v>3465</v>
      </c>
      <c r="T63" s="54" t="s">
        <v>1676</v>
      </c>
      <c r="U63" s="54" t="s">
        <v>3015</v>
      </c>
      <c r="V63" s="54">
        <v>30</v>
      </c>
      <c r="W63" s="54" t="s">
        <v>3451</v>
      </c>
      <c r="X63" s="57" t="s">
        <v>495</v>
      </c>
    </row>
    <row r="64" spans="1:24" ht="25.5" customHeight="1" x14ac:dyDescent="0.25">
      <c r="A64" s="54" t="s">
        <v>3611</v>
      </c>
      <c r="B64" s="54" t="s">
        <v>1942</v>
      </c>
      <c r="C64" s="54" t="s">
        <v>1676</v>
      </c>
      <c r="D64" s="54" t="s">
        <v>3473</v>
      </c>
      <c r="E64" s="54" t="s">
        <v>161</v>
      </c>
      <c r="F64" s="54" t="s">
        <v>3447</v>
      </c>
      <c r="G64" s="54">
        <v>4.3</v>
      </c>
      <c r="H64" s="54">
        <v>291902</v>
      </c>
      <c r="I64" s="54">
        <v>0.32100000000000001</v>
      </c>
      <c r="J64" s="54" t="s">
        <v>3612</v>
      </c>
      <c r="K64" s="54">
        <v>3.8</v>
      </c>
      <c r="L64" s="54" t="s">
        <v>3459</v>
      </c>
      <c r="M64" s="54" t="s">
        <v>587</v>
      </c>
      <c r="N64" s="54">
        <v>9.5</v>
      </c>
      <c r="O64" s="54">
        <v>45.6</v>
      </c>
      <c r="P64" s="54">
        <v>7.7</v>
      </c>
      <c r="Q64" s="54">
        <v>27.5</v>
      </c>
      <c r="R64" s="54" t="s">
        <v>1684</v>
      </c>
      <c r="S64" s="54" t="s">
        <v>3449</v>
      </c>
      <c r="T64" s="54" t="s">
        <v>1640</v>
      </c>
      <c r="U64" s="54" t="s">
        <v>3015</v>
      </c>
      <c r="V64" s="54">
        <v>14</v>
      </c>
      <c r="W64" s="54" t="s">
        <v>3451</v>
      </c>
      <c r="X64" s="57" t="s">
        <v>495</v>
      </c>
    </row>
    <row r="65" spans="1:24" ht="25.5" customHeight="1" x14ac:dyDescent="0.25">
      <c r="A65" s="54" t="s">
        <v>3613</v>
      </c>
      <c r="B65" s="54" t="s">
        <v>755</v>
      </c>
      <c r="C65" s="54" t="s">
        <v>1676</v>
      </c>
      <c r="D65" s="54" t="s">
        <v>3504</v>
      </c>
      <c r="E65" s="54" t="s">
        <v>3528</v>
      </c>
      <c r="F65" s="54" t="s">
        <v>3454</v>
      </c>
      <c r="G65" s="54">
        <v>8.8000000000000007</v>
      </c>
      <c r="H65" s="54">
        <v>154373</v>
      </c>
      <c r="I65" s="54">
        <v>0.50439999999999996</v>
      </c>
      <c r="J65" s="54" t="s">
        <v>3614</v>
      </c>
      <c r="K65" s="54">
        <v>5.5</v>
      </c>
      <c r="L65" s="54" t="s">
        <v>3491</v>
      </c>
      <c r="M65" s="54" t="s">
        <v>587</v>
      </c>
      <c r="N65" s="54">
        <v>37.200000000000003</v>
      </c>
      <c r="O65" s="54">
        <v>93.5</v>
      </c>
      <c r="P65" s="54">
        <v>14.4</v>
      </c>
      <c r="Q65" s="54">
        <v>33</v>
      </c>
      <c r="R65" s="54" t="s">
        <v>576</v>
      </c>
      <c r="S65" s="54" t="s">
        <v>3495</v>
      </c>
      <c r="T65" s="54" t="s">
        <v>1676</v>
      </c>
      <c r="U65" s="54" t="s">
        <v>3450</v>
      </c>
      <c r="V65" s="54">
        <v>25</v>
      </c>
      <c r="W65" s="54" t="s">
        <v>3451</v>
      </c>
      <c r="X65" s="57" t="s">
        <v>495</v>
      </c>
    </row>
    <row r="66" spans="1:24" ht="25.5" customHeight="1" x14ac:dyDescent="0.25">
      <c r="A66" s="54" t="s">
        <v>3615</v>
      </c>
      <c r="B66" s="54" t="s">
        <v>1743</v>
      </c>
      <c r="C66" s="54" t="s">
        <v>622</v>
      </c>
      <c r="D66" s="54" t="s">
        <v>3516</v>
      </c>
      <c r="E66" s="54" t="s">
        <v>3462</v>
      </c>
      <c r="F66" s="54" t="s">
        <v>3447</v>
      </c>
      <c r="G66" s="54">
        <v>14.6</v>
      </c>
      <c r="H66" s="54">
        <v>28608</v>
      </c>
      <c r="I66" s="54">
        <v>4.6052999999999997</v>
      </c>
      <c r="J66" s="54" t="s">
        <v>3616</v>
      </c>
      <c r="K66" s="54">
        <v>7.2</v>
      </c>
      <c r="L66" s="54" t="s">
        <v>3459</v>
      </c>
      <c r="M66" s="54" t="s">
        <v>576</v>
      </c>
      <c r="N66" s="54">
        <v>26.8</v>
      </c>
      <c r="O66" s="54">
        <v>56.3</v>
      </c>
      <c r="P66" s="54">
        <v>11.8</v>
      </c>
      <c r="Q66" s="54">
        <v>47</v>
      </c>
      <c r="R66" s="54" t="s">
        <v>1684</v>
      </c>
      <c r="S66" s="54" t="s">
        <v>3449</v>
      </c>
      <c r="T66" s="54" t="s">
        <v>622</v>
      </c>
      <c r="U66" s="54" t="s">
        <v>3015</v>
      </c>
      <c r="V66" s="54">
        <v>21</v>
      </c>
      <c r="W66" s="54" t="s">
        <v>3451</v>
      </c>
      <c r="X66" s="57" t="s">
        <v>495</v>
      </c>
    </row>
    <row r="67" spans="1:24" ht="25.5" customHeight="1" x14ac:dyDescent="0.25">
      <c r="A67" s="54" t="s">
        <v>3617</v>
      </c>
      <c r="B67" s="54" t="s">
        <v>1975</v>
      </c>
      <c r="C67" s="54" t="s">
        <v>622</v>
      </c>
      <c r="D67" s="54" t="s">
        <v>3504</v>
      </c>
      <c r="E67" s="54" t="s">
        <v>3462</v>
      </c>
      <c r="F67" s="54" t="s">
        <v>3454</v>
      </c>
      <c r="G67" s="54">
        <v>45.4</v>
      </c>
      <c r="H67" s="54">
        <v>155564</v>
      </c>
      <c r="I67" s="54">
        <v>1.5147999999999999</v>
      </c>
      <c r="J67" s="54" t="s">
        <v>3618</v>
      </c>
      <c r="K67" s="54">
        <v>7.6</v>
      </c>
      <c r="L67" s="54" t="s">
        <v>3480</v>
      </c>
      <c r="M67" s="54" t="s">
        <v>587</v>
      </c>
      <c r="N67" s="54">
        <v>29.4</v>
      </c>
      <c r="O67" s="54">
        <v>44.9</v>
      </c>
      <c r="P67" s="54">
        <v>13.7</v>
      </c>
      <c r="Q67" s="54">
        <v>70.400000000000006</v>
      </c>
      <c r="R67" s="54" t="s">
        <v>587</v>
      </c>
      <c r="S67" s="54" t="s">
        <v>3495</v>
      </c>
      <c r="T67" s="54" t="s">
        <v>622</v>
      </c>
      <c r="U67" s="54" t="s">
        <v>3015</v>
      </c>
      <c r="V67" s="54">
        <v>36</v>
      </c>
      <c r="W67" s="54" t="s">
        <v>3451</v>
      </c>
      <c r="X67" s="57" t="s">
        <v>495</v>
      </c>
    </row>
    <row r="68" spans="1:24" ht="25.5" customHeight="1" x14ac:dyDescent="0.25">
      <c r="A68" s="54" t="s">
        <v>3619</v>
      </c>
      <c r="B68" s="54" t="s">
        <v>712</v>
      </c>
      <c r="C68" s="54" t="s">
        <v>1676</v>
      </c>
      <c r="D68" s="54" t="s">
        <v>3504</v>
      </c>
      <c r="E68" s="54" t="s">
        <v>3528</v>
      </c>
      <c r="F68" s="54" t="s">
        <v>3463</v>
      </c>
      <c r="G68" s="54">
        <v>4</v>
      </c>
      <c r="H68" s="54">
        <v>391695</v>
      </c>
      <c r="I68" s="54">
        <v>0.1179</v>
      </c>
      <c r="J68" s="54" t="s">
        <v>3620</v>
      </c>
      <c r="K68" s="54">
        <v>7.6</v>
      </c>
      <c r="L68" s="54" t="s">
        <v>3459</v>
      </c>
      <c r="M68" s="54" t="s">
        <v>576</v>
      </c>
      <c r="N68" s="54">
        <v>15.3</v>
      </c>
      <c r="O68" s="54">
        <v>55</v>
      </c>
      <c r="P68" s="54">
        <v>15.5</v>
      </c>
      <c r="Q68" s="54">
        <v>72.8</v>
      </c>
      <c r="R68" s="54" t="s">
        <v>587</v>
      </c>
      <c r="S68" s="54" t="s">
        <v>3476</v>
      </c>
      <c r="T68" s="54" t="s">
        <v>1640</v>
      </c>
      <c r="U68" s="54" t="s">
        <v>3450</v>
      </c>
      <c r="V68" s="54">
        <v>21</v>
      </c>
      <c r="W68" s="54" t="s">
        <v>3451</v>
      </c>
      <c r="X68" s="57" t="s">
        <v>495</v>
      </c>
    </row>
    <row r="69" spans="1:24" ht="25.5" customHeight="1" x14ac:dyDescent="0.25">
      <c r="A69" s="54" t="s">
        <v>3621</v>
      </c>
      <c r="B69" s="54" t="s">
        <v>643</v>
      </c>
      <c r="C69" s="54" t="s">
        <v>3472</v>
      </c>
      <c r="D69" s="54" t="s">
        <v>3445</v>
      </c>
      <c r="E69" s="54" t="s">
        <v>3478</v>
      </c>
      <c r="F69" s="54" t="s">
        <v>3493</v>
      </c>
      <c r="G69" s="54">
        <v>36.9</v>
      </c>
      <c r="H69" s="54">
        <v>84821</v>
      </c>
      <c r="I69" s="54">
        <v>5.4225000000000003</v>
      </c>
      <c r="J69" s="54" t="s">
        <v>3622</v>
      </c>
      <c r="K69" s="54">
        <v>9.8000000000000007</v>
      </c>
      <c r="L69" s="54" t="s">
        <v>3459</v>
      </c>
      <c r="M69" s="54" t="s">
        <v>576</v>
      </c>
      <c r="N69" s="54">
        <v>9.5</v>
      </c>
      <c r="O69" s="54">
        <v>23.3</v>
      </c>
      <c r="P69" s="54">
        <v>1.2</v>
      </c>
      <c r="Q69" s="54">
        <v>43.2</v>
      </c>
      <c r="R69" s="54" t="s">
        <v>587</v>
      </c>
      <c r="S69" s="54" t="s">
        <v>3465</v>
      </c>
      <c r="T69" s="54" t="s">
        <v>622</v>
      </c>
      <c r="U69" s="54" t="s">
        <v>3450</v>
      </c>
      <c r="V69" s="54">
        <v>49</v>
      </c>
      <c r="W69" s="54" t="s">
        <v>1652</v>
      </c>
      <c r="X69" s="57" t="s">
        <v>495</v>
      </c>
    </row>
    <row r="70" spans="1:24" ht="25.5" customHeight="1" x14ac:dyDescent="0.25">
      <c r="A70" s="54" t="s">
        <v>3623</v>
      </c>
      <c r="B70" s="54" t="s">
        <v>945</v>
      </c>
      <c r="C70" s="54" t="s">
        <v>1640</v>
      </c>
      <c r="D70" s="54" t="s">
        <v>3453</v>
      </c>
      <c r="E70" s="54" t="s">
        <v>3556</v>
      </c>
      <c r="F70" s="54" t="s">
        <v>3463</v>
      </c>
      <c r="G70" s="54">
        <v>9</v>
      </c>
      <c r="H70" s="54">
        <v>303219</v>
      </c>
      <c r="I70" s="54">
        <v>2.3077999999999999</v>
      </c>
      <c r="J70" s="54" t="s">
        <v>3624</v>
      </c>
      <c r="K70" s="54">
        <v>7.6</v>
      </c>
      <c r="L70" s="54" t="s">
        <v>1684</v>
      </c>
      <c r="M70" s="54" t="s">
        <v>576</v>
      </c>
      <c r="N70" s="54">
        <v>22.5</v>
      </c>
      <c r="O70" s="54">
        <v>58.6</v>
      </c>
      <c r="P70" s="54">
        <v>9.1999999999999993</v>
      </c>
      <c r="Q70" s="54">
        <v>13.5</v>
      </c>
      <c r="R70" s="54" t="s">
        <v>587</v>
      </c>
      <c r="S70" s="54" t="s">
        <v>3465</v>
      </c>
      <c r="T70" s="54" t="s">
        <v>622</v>
      </c>
      <c r="U70" s="54" t="s">
        <v>3450</v>
      </c>
      <c r="V70" s="54">
        <v>14</v>
      </c>
      <c r="W70" s="54" t="s">
        <v>3451</v>
      </c>
      <c r="X70" s="57" t="s">
        <v>495</v>
      </c>
    </row>
    <row r="71" spans="1:24" ht="25.5" customHeight="1" x14ac:dyDescent="0.25">
      <c r="A71" s="54" t="s">
        <v>3625</v>
      </c>
      <c r="B71" s="54" t="s">
        <v>1480</v>
      </c>
      <c r="C71" s="54" t="s">
        <v>622</v>
      </c>
      <c r="D71" s="54" t="s">
        <v>3468</v>
      </c>
      <c r="E71" s="54" t="s">
        <v>3556</v>
      </c>
      <c r="F71" s="54" t="s">
        <v>3463</v>
      </c>
      <c r="G71" s="54">
        <v>38.200000000000003</v>
      </c>
      <c r="H71" s="54">
        <v>393692</v>
      </c>
      <c r="I71" s="54">
        <v>2.7517</v>
      </c>
      <c r="J71" s="54" t="s">
        <v>3626</v>
      </c>
      <c r="K71" s="54">
        <v>2.8</v>
      </c>
      <c r="L71" s="54" t="s">
        <v>3491</v>
      </c>
      <c r="M71" s="54" t="s">
        <v>576</v>
      </c>
      <c r="N71" s="54">
        <v>37.4</v>
      </c>
      <c r="O71" s="54">
        <v>13.9</v>
      </c>
      <c r="P71" s="54">
        <v>14</v>
      </c>
      <c r="Q71" s="54">
        <v>63.4</v>
      </c>
      <c r="R71" s="54" t="s">
        <v>576</v>
      </c>
      <c r="S71" s="54" t="s">
        <v>3476</v>
      </c>
      <c r="T71" s="54" t="s">
        <v>1676</v>
      </c>
      <c r="U71" s="54" t="s">
        <v>3015</v>
      </c>
      <c r="V71" s="54">
        <v>8</v>
      </c>
      <c r="W71" s="54" t="s">
        <v>3451</v>
      </c>
      <c r="X71" s="57" t="s">
        <v>495</v>
      </c>
    </row>
    <row r="72" spans="1:24" ht="25.5" customHeight="1" x14ac:dyDescent="0.25">
      <c r="A72" s="54" t="s">
        <v>3627</v>
      </c>
      <c r="B72" s="54" t="s">
        <v>2291</v>
      </c>
      <c r="C72" s="54" t="s">
        <v>1676</v>
      </c>
      <c r="D72" s="54" t="s">
        <v>3468</v>
      </c>
      <c r="E72" s="54" t="s">
        <v>3485</v>
      </c>
      <c r="F72" s="54" t="s">
        <v>3463</v>
      </c>
      <c r="G72" s="54">
        <v>5.2</v>
      </c>
      <c r="H72" s="54">
        <v>301924</v>
      </c>
      <c r="I72" s="54">
        <v>0.45529999999999998</v>
      </c>
      <c r="J72" s="54" t="s">
        <v>3628</v>
      </c>
      <c r="K72" s="54">
        <v>4</v>
      </c>
      <c r="L72" s="54" t="s">
        <v>3459</v>
      </c>
      <c r="M72" s="54" t="s">
        <v>576</v>
      </c>
      <c r="N72" s="54">
        <v>2.6</v>
      </c>
      <c r="O72" s="54">
        <v>34.1</v>
      </c>
      <c r="P72" s="54">
        <v>21.2</v>
      </c>
      <c r="Q72" s="54">
        <v>25.3</v>
      </c>
      <c r="R72" s="54" t="s">
        <v>1684</v>
      </c>
      <c r="S72" s="54" t="s">
        <v>3465</v>
      </c>
      <c r="T72" s="54" t="s">
        <v>1676</v>
      </c>
      <c r="U72" s="54" t="s">
        <v>3466</v>
      </c>
      <c r="V72" s="54">
        <v>4</v>
      </c>
      <c r="W72" s="54" t="s">
        <v>3451</v>
      </c>
      <c r="X72" s="57" t="s">
        <v>495</v>
      </c>
    </row>
    <row r="73" spans="1:24" ht="25.5" customHeight="1" x14ac:dyDescent="0.25">
      <c r="A73" s="54" t="s">
        <v>3629</v>
      </c>
      <c r="B73" s="54" t="s">
        <v>1892</v>
      </c>
      <c r="C73" s="54" t="s">
        <v>1640</v>
      </c>
      <c r="D73" s="54" t="s">
        <v>3482</v>
      </c>
      <c r="E73" s="54" t="s">
        <v>3462</v>
      </c>
      <c r="F73" s="54" t="s">
        <v>3493</v>
      </c>
      <c r="G73" s="54">
        <v>27.5</v>
      </c>
      <c r="H73" s="54">
        <v>362867</v>
      </c>
      <c r="I73" s="54">
        <v>0.38140000000000002</v>
      </c>
      <c r="J73" s="54" t="s">
        <v>3630</v>
      </c>
      <c r="K73" s="54">
        <v>7.5</v>
      </c>
      <c r="L73" s="54" t="s">
        <v>3491</v>
      </c>
      <c r="M73" s="54" t="s">
        <v>576</v>
      </c>
      <c r="N73" s="54">
        <v>10.8</v>
      </c>
      <c r="O73" s="54">
        <v>25.7</v>
      </c>
      <c r="P73" s="54">
        <v>15</v>
      </c>
      <c r="Q73" s="54">
        <v>56.9</v>
      </c>
      <c r="R73" s="54" t="s">
        <v>1684</v>
      </c>
      <c r="S73" s="54" t="s">
        <v>3495</v>
      </c>
      <c r="T73" s="54" t="s">
        <v>622</v>
      </c>
      <c r="U73" s="54" t="s">
        <v>3466</v>
      </c>
      <c r="V73" s="54">
        <v>48</v>
      </c>
      <c r="W73" s="54" t="s">
        <v>3451</v>
      </c>
      <c r="X73" s="57" t="s">
        <v>495</v>
      </c>
    </row>
    <row r="74" spans="1:24" ht="25.5" customHeight="1" x14ac:dyDescent="0.25">
      <c r="A74" s="54" t="s">
        <v>3631</v>
      </c>
      <c r="B74" s="54" t="s">
        <v>1256</v>
      </c>
      <c r="C74" s="54" t="s">
        <v>1640</v>
      </c>
      <c r="D74" s="54" t="s">
        <v>3516</v>
      </c>
      <c r="E74" s="54" t="s">
        <v>161</v>
      </c>
      <c r="F74" s="54" t="s">
        <v>3493</v>
      </c>
      <c r="G74" s="54">
        <v>3.5</v>
      </c>
      <c r="H74" s="54">
        <v>203288</v>
      </c>
      <c r="I74" s="54">
        <v>0.96889999999999998</v>
      </c>
      <c r="J74" s="54" t="s">
        <v>3632</v>
      </c>
      <c r="K74" s="54">
        <v>3.2</v>
      </c>
      <c r="L74" s="54" t="s">
        <v>3491</v>
      </c>
      <c r="M74" s="54" t="s">
        <v>576</v>
      </c>
      <c r="N74" s="54">
        <v>18.2</v>
      </c>
      <c r="O74" s="54">
        <v>79.400000000000006</v>
      </c>
      <c r="P74" s="54">
        <v>3.2</v>
      </c>
      <c r="Q74" s="54">
        <v>31.6</v>
      </c>
      <c r="R74" s="54" t="s">
        <v>576</v>
      </c>
      <c r="S74" s="54" t="s">
        <v>3465</v>
      </c>
      <c r="T74" s="54" t="s">
        <v>622</v>
      </c>
      <c r="U74" s="54" t="s">
        <v>3015</v>
      </c>
      <c r="V74" s="54">
        <v>2</v>
      </c>
      <c r="W74" s="54" t="s">
        <v>3451</v>
      </c>
      <c r="X74" s="57" t="s">
        <v>495</v>
      </c>
    </row>
    <row r="75" spans="1:24" ht="25.5" customHeight="1" x14ac:dyDescent="0.25">
      <c r="A75" s="54" t="s">
        <v>3633</v>
      </c>
      <c r="B75" s="54" t="s">
        <v>1856</v>
      </c>
      <c r="C75" s="54" t="s">
        <v>3472</v>
      </c>
      <c r="D75" s="54" t="s">
        <v>3453</v>
      </c>
      <c r="E75" s="54" t="s">
        <v>161</v>
      </c>
      <c r="F75" s="54" t="s">
        <v>3493</v>
      </c>
      <c r="G75" s="54">
        <v>39.299999999999997</v>
      </c>
      <c r="H75" s="54">
        <v>286580</v>
      </c>
      <c r="I75" s="54">
        <v>5.8487</v>
      </c>
      <c r="J75" s="54" t="s">
        <v>3634</v>
      </c>
      <c r="K75" s="54">
        <v>10</v>
      </c>
      <c r="L75" s="54" t="s">
        <v>3491</v>
      </c>
      <c r="M75" s="54" t="s">
        <v>587</v>
      </c>
      <c r="N75" s="54">
        <v>0.7</v>
      </c>
      <c r="O75" s="54">
        <v>91.6</v>
      </c>
      <c r="P75" s="54">
        <v>7.4</v>
      </c>
      <c r="Q75" s="54">
        <v>42.7</v>
      </c>
      <c r="R75" s="54" t="s">
        <v>587</v>
      </c>
      <c r="S75" s="54" t="s">
        <v>3495</v>
      </c>
      <c r="T75" s="54" t="s">
        <v>1640</v>
      </c>
      <c r="U75" s="54" t="s">
        <v>3450</v>
      </c>
      <c r="V75" s="54">
        <v>45</v>
      </c>
      <c r="W75" s="54" t="s">
        <v>3451</v>
      </c>
      <c r="X75" s="57" t="s">
        <v>495</v>
      </c>
    </row>
    <row r="76" spans="1:24" ht="25.5" customHeight="1" x14ac:dyDescent="0.25">
      <c r="A76" s="54" t="s">
        <v>3635</v>
      </c>
      <c r="B76" s="54" t="s">
        <v>1772</v>
      </c>
      <c r="C76" s="54" t="s">
        <v>1676</v>
      </c>
      <c r="D76" s="54" t="s">
        <v>3445</v>
      </c>
      <c r="E76" s="54" t="s">
        <v>161</v>
      </c>
      <c r="F76" s="54" t="s">
        <v>3454</v>
      </c>
      <c r="G76" s="54">
        <v>12.9</v>
      </c>
      <c r="H76" s="54">
        <v>281710</v>
      </c>
      <c r="I76" s="54">
        <v>0.2445</v>
      </c>
      <c r="J76" s="54" t="s">
        <v>3636</v>
      </c>
      <c r="K76" s="54">
        <v>4.7</v>
      </c>
      <c r="L76" s="54" t="s">
        <v>3480</v>
      </c>
      <c r="M76" s="54" t="s">
        <v>576</v>
      </c>
      <c r="N76" s="54">
        <v>48.8</v>
      </c>
      <c r="O76" s="54">
        <v>96.4</v>
      </c>
      <c r="P76" s="54">
        <v>1.4</v>
      </c>
      <c r="Q76" s="54">
        <v>54.2</v>
      </c>
      <c r="R76" s="54" t="s">
        <v>1684</v>
      </c>
      <c r="S76" s="54" t="s">
        <v>3476</v>
      </c>
      <c r="T76" s="54" t="s">
        <v>1676</v>
      </c>
      <c r="U76" s="54" t="s">
        <v>3466</v>
      </c>
      <c r="V76" s="54">
        <v>13</v>
      </c>
      <c r="W76" s="54" t="s">
        <v>1652</v>
      </c>
      <c r="X76" s="57" t="s">
        <v>495</v>
      </c>
    </row>
    <row r="77" spans="1:24" ht="25.5" customHeight="1" x14ac:dyDescent="0.25">
      <c r="A77" s="54" t="s">
        <v>3637</v>
      </c>
      <c r="B77" s="54" t="s">
        <v>1928</v>
      </c>
      <c r="C77" s="54" t="s">
        <v>1676</v>
      </c>
      <c r="D77" s="54" t="s">
        <v>3482</v>
      </c>
      <c r="E77" s="54" t="s">
        <v>3446</v>
      </c>
      <c r="F77" s="54" t="s">
        <v>3447</v>
      </c>
      <c r="G77" s="54">
        <v>3.1</v>
      </c>
      <c r="H77" s="54">
        <v>458369</v>
      </c>
      <c r="I77" s="54">
        <v>0.86439999999999995</v>
      </c>
      <c r="J77" s="54" t="s">
        <v>3638</v>
      </c>
      <c r="K77" s="54">
        <v>6.7</v>
      </c>
      <c r="L77" s="54" t="s">
        <v>3480</v>
      </c>
      <c r="M77" s="54" t="s">
        <v>587</v>
      </c>
      <c r="N77" s="54">
        <v>6.2</v>
      </c>
      <c r="O77" s="54">
        <v>76</v>
      </c>
      <c r="P77" s="54">
        <v>5.9</v>
      </c>
      <c r="Q77" s="54">
        <v>26.7</v>
      </c>
      <c r="R77" s="54" t="s">
        <v>576</v>
      </c>
      <c r="S77" s="54" t="s">
        <v>3476</v>
      </c>
      <c r="T77" s="54" t="s">
        <v>622</v>
      </c>
      <c r="U77" s="54" t="s">
        <v>3466</v>
      </c>
      <c r="V77" s="54">
        <v>36</v>
      </c>
      <c r="W77" s="54" t="s">
        <v>1652</v>
      </c>
      <c r="X77" s="57" t="s">
        <v>495</v>
      </c>
    </row>
    <row r="78" spans="1:24" ht="25.5" customHeight="1" x14ac:dyDescent="0.25">
      <c r="A78" s="54" t="s">
        <v>3639</v>
      </c>
      <c r="B78" s="54" t="s">
        <v>1658</v>
      </c>
      <c r="C78" s="54" t="s">
        <v>1640</v>
      </c>
      <c r="D78" s="54" t="s">
        <v>3516</v>
      </c>
      <c r="E78" s="54" t="s">
        <v>3586</v>
      </c>
      <c r="F78" s="54" t="s">
        <v>3493</v>
      </c>
      <c r="G78" s="54">
        <v>6</v>
      </c>
      <c r="H78" s="54">
        <v>450941</v>
      </c>
      <c r="I78" s="54">
        <v>1.4340999999999999</v>
      </c>
      <c r="J78" s="54" t="s">
        <v>3640</v>
      </c>
      <c r="K78" s="54">
        <v>5.0999999999999996</v>
      </c>
      <c r="L78" s="54" t="s">
        <v>3480</v>
      </c>
      <c r="M78" s="54" t="s">
        <v>587</v>
      </c>
      <c r="N78" s="54">
        <v>37.799999999999997</v>
      </c>
      <c r="O78" s="54">
        <v>36.4</v>
      </c>
      <c r="P78" s="54">
        <v>20.6</v>
      </c>
      <c r="Q78" s="54">
        <v>20.5</v>
      </c>
      <c r="R78" s="54" t="s">
        <v>587</v>
      </c>
      <c r="S78" s="54" t="s">
        <v>3470</v>
      </c>
      <c r="T78" s="54" t="s">
        <v>622</v>
      </c>
      <c r="U78" s="54" t="s">
        <v>3466</v>
      </c>
      <c r="V78" s="54">
        <v>8</v>
      </c>
      <c r="W78" s="54" t="s">
        <v>3451</v>
      </c>
      <c r="X78" s="57" t="s">
        <v>495</v>
      </c>
    </row>
    <row r="79" spans="1:24" ht="25.5" customHeight="1" x14ac:dyDescent="0.25">
      <c r="A79" s="54" t="s">
        <v>3641</v>
      </c>
      <c r="B79" s="54" t="s">
        <v>2572</v>
      </c>
      <c r="C79" s="54" t="s">
        <v>1640</v>
      </c>
      <c r="D79" s="54" t="s">
        <v>3461</v>
      </c>
      <c r="E79" s="54" t="s">
        <v>3586</v>
      </c>
      <c r="F79" s="54" t="s">
        <v>3447</v>
      </c>
      <c r="G79" s="54">
        <v>24.4</v>
      </c>
      <c r="H79" s="54">
        <v>63819</v>
      </c>
      <c r="I79" s="54">
        <v>2.4077000000000002</v>
      </c>
      <c r="J79" s="54" t="s">
        <v>3642</v>
      </c>
      <c r="K79" s="54">
        <v>7.8</v>
      </c>
      <c r="L79" s="54" t="s">
        <v>3480</v>
      </c>
      <c r="M79" s="54" t="s">
        <v>576</v>
      </c>
      <c r="N79" s="54">
        <v>10.6</v>
      </c>
      <c r="O79" s="54">
        <v>94.8</v>
      </c>
      <c r="P79" s="54">
        <v>14.4</v>
      </c>
      <c r="Q79" s="54">
        <v>61.3</v>
      </c>
      <c r="R79" s="54" t="s">
        <v>576</v>
      </c>
      <c r="S79" s="54" t="s">
        <v>3470</v>
      </c>
      <c r="T79" s="54" t="s">
        <v>1640</v>
      </c>
      <c r="U79" s="54" t="s">
        <v>3450</v>
      </c>
      <c r="V79" s="54">
        <v>35</v>
      </c>
      <c r="W79" s="54" t="s">
        <v>3451</v>
      </c>
      <c r="X79" s="57" t="s">
        <v>495</v>
      </c>
    </row>
    <row r="80" spans="1:24" ht="25.5" customHeight="1" x14ac:dyDescent="0.25">
      <c r="A80" s="54" t="s">
        <v>3643</v>
      </c>
      <c r="B80" s="54" t="s">
        <v>2300</v>
      </c>
      <c r="C80" s="54" t="s">
        <v>622</v>
      </c>
      <c r="D80" s="54" t="s">
        <v>3468</v>
      </c>
      <c r="E80" s="54" t="s">
        <v>3556</v>
      </c>
      <c r="F80" s="54" t="s">
        <v>3493</v>
      </c>
      <c r="G80" s="54">
        <v>37.200000000000003</v>
      </c>
      <c r="H80" s="54">
        <v>149879</v>
      </c>
      <c r="I80" s="54">
        <v>1.7007000000000001</v>
      </c>
      <c r="J80" s="54" t="s">
        <v>3644</v>
      </c>
      <c r="K80" s="54">
        <v>5</v>
      </c>
      <c r="L80" s="54" t="s">
        <v>3480</v>
      </c>
      <c r="M80" s="54" t="s">
        <v>576</v>
      </c>
      <c r="N80" s="54">
        <v>12</v>
      </c>
      <c r="O80" s="54">
        <v>2.8</v>
      </c>
      <c r="P80" s="54">
        <v>0.8</v>
      </c>
      <c r="Q80" s="54">
        <v>73.2</v>
      </c>
      <c r="R80" s="54" t="s">
        <v>587</v>
      </c>
      <c r="S80" s="54" t="s">
        <v>3449</v>
      </c>
      <c r="T80" s="54" t="s">
        <v>622</v>
      </c>
      <c r="U80" s="54" t="s">
        <v>3015</v>
      </c>
      <c r="V80" s="54">
        <v>26</v>
      </c>
      <c r="W80" s="54" t="s">
        <v>1652</v>
      </c>
      <c r="X80" s="57" t="s">
        <v>495</v>
      </c>
    </row>
    <row r="81" spans="1:24" ht="25.5" customHeight="1" x14ac:dyDescent="0.25">
      <c r="A81" s="54" t="s">
        <v>3645</v>
      </c>
      <c r="B81" s="54" t="s">
        <v>3537</v>
      </c>
      <c r="C81" s="54" t="s">
        <v>622</v>
      </c>
      <c r="D81" s="54" t="s">
        <v>3482</v>
      </c>
      <c r="E81" s="54" t="s">
        <v>3474</v>
      </c>
      <c r="F81" s="54" t="s">
        <v>3454</v>
      </c>
      <c r="G81" s="54">
        <v>14.7</v>
      </c>
      <c r="H81" s="54">
        <v>21719</v>
      </c>
      <c r="I81" s="54">
        <v>1.5007999999999999</v>
      </c>
      <c r="J81" s="54" t="s">
        <v>3646</v>
      </c>
      <c r="K81" s="54">
        <v>6.9</v>
      </c>
      <c r="L81" s="54" t="s">
        <v>1684</v>
      </c>
      <c r="M81" s="54" t="s">
        <v>576</v>
      </c>
      <c r="N81" s="54">
        <v>44.8</v>
      </c>
      <c r="O81" s="54">
        <v>61.9</v>
      </c>
      <c r="P81" s="54">
        <v>17.5</v>
      </c>
      <c r="Q81" s="54">
        <v>29.8</v>
      </c>
      <c r="R81" s="54" t="s">
        <v>587</v>
      </c>
      <c r="S81" s="54" t="s">
        <v>3449</v>
      </c>
      <c r="T81" s="54" t="s">
        <v>1676</v>
      </c>
      <c r="U81" s="54" t="s">
        <v>3466</v>
      </c>
      <c r="V81" s="54">
        <v>48</v>
      </c>
      <c r="W81" s="54" t="s">
        <v>3451</v>
      </c>
      <c r="X81" s="57" t="s">
        <v>495</v>
      </c>
    </row>
    <row r="82" spans="1:24" ht="25.5" customHeight="1" x14ac:dyDescent="0.25">
      <c r="A82" s="54" t="s">
        <v>3647</v>
      </c>
      <c r="B82" s="54" t="s">
        <v>1785</v>
      </c>
      <c r="C82" s="54" t="s">
        <v>1676</v>
      </c>
      <c r="D82" s="54" t="s">
        <v>3453</v>
      </c>
      <c r="E82" s="54" t="s">
        <v>3478</v>
      </c>
      <c r="F82" s="54" t="s">
        <v>3463</v>
      </c>
      <c r="G82" s="54">
        <v>11.5</v>
      </c>
      <c r="H82" s="54">
        <v>195632</v>
      </c>
      <c r="I82" s="54">
        <v>0.2016</v>
      </c>
      <c r="J82" s="54" t="s">
        <v>3648</v>
      </c>
      <c r="K82" s="54">
        <v>8.6</v>
      </c>
      <c r="L82" s="54" t="s">
        <v>3459</v>
      </c>
      <c r="M82" s="54" t="s">
        <v>576</v>
      </c>
      <c r="N82" s="54">
        <v>31.3</v>
      </c>
      <c r="O82" s="54">
        <v>72</v>
      </c>
      <c r="P82" s="54">
        <v>7.8</v>
      </c>
      <c r="Q82" s="54">
        <v>76.5</v>
      </c>
      <c r="R82" s="54" t="s">
        <v>576</v>
      </c>
      <c r="S82" s="54" t="s">
        <v>3449</v>
      </c>
      <c r="T82" s="54" t="s">
        <v>1640</v>
      </c>
      <c r="U82" s="54" t="s">
        <v>3015</v>
      </c>
      <c r="V82" s="54">
        <v>29</v>
      </c>
      <c r="W82" s="54" t="s">
        <v>1652</v>
      </c>
      <c r="X82" s="57" t="s">
        <v>495</v>
      </c>
    </row>
    <row r="83" spans="1:24" ht="25.5" customHeight="1" x14ac:dyDescent="0.25">
      <c r="A83" s="46" t="s">
        <v>3649</v>
      </c>
      <c r="B83" s="46" t="s">
        <v>1743</v>
      </c>
      <c r="C83" s="46" t="s">
        <v>622</v>
      </c>
      <c r="D83" s="46" t="s">
        <v>3504</v>
      </c>
      <c r="E83" s="46" t="s">
        <v>161</v>
      </c>
      <c r="F83" s="46" t="s">
        <v>3493</v>
      </c>
      <c r="G83" s="46">
        <v>37.700000000000003</v>
      </c>
      <c r="H83" s="46">
        <v>454797</v>
      </c>
      <c r="I83" s="46">
        <v>4.9283999999999999</v>
      </c>
      <c r="J83" s="46" t="s">
        <v>3650</v>
      </c>
      <c r="K83" s="46">
        <v>2.8</v>
      </c>
      <c r="L83" s="46" t="s">
        <v>1684</v>
      </c>
      <c r="M83" s="46" t="s">
        <v>587</v>
      </c>
      <c r="N83" s="46">
        <v>4.4000000000000004</v>
      </c>
      <c r="O83" s="46">
        <v>50.6</v>
      </c>
      <c r="P83" s="46">
        <v>7.5</v>
      </c>
      <c r="Q83" s="46">
        <v>13.2</v>
      </c>
      <c r="R83" s="46" t="s">
        <v>587</v>
      </c>
      <c r="S83" s="46" t="s">
        <v>3476</v>
      </c>
      <c r="T83" s="46" t="s">
        <v>1640</v>
      </c>
      <c r="U83" s="46" t="s">
        <v>3015</v>
      </c>
      <c r="V83" s="46">
        <v>41</v>
      </c>
      <c r="W83" s="46" t="s">
        <v>3451</v>
      </c>
      <c r="X83" s="49" t="s">
        <v>321</v>
      </c>
    </row>
    <row r="84" spans="1:24" ht="25.5" customHeight="1" x14ac:dyDescent="0.25">
      <c r="A84" s="54" t="s">
        <v>3651</v>
      </c>
      <c r="B84" s="54" t="s">
        <v>3551</v>
      </c>
      <c r="C84" s="54" t="s">
        <v>1640</v>
      </c>
      <c r="D84" s="54" t="s">
        <v>3445</v>
      </c>
      <c r="E84" s="54" t="s">
        <v>3556</v>
      </c>
      <c r="F84" s="54" t="s">
        <v>3463</v>
      </c>
      <c r="G84" s="54">
        <v>2</v>
      </c>
      <c r="H84" s="54">
        <v>276691</v>
      </c>
      <c r="I84" s="54">
        <v>0.90259999999999996</v>
      </c>
      <c r="J84" s="54" t="s">
        <v>3652</v>
      </c>
      <c r="K84" s="54">
        <v>7.2</v>
      </c>
      <c r="L84" s="54" t="s">
        <v>1684</v>
      </c>
      <c r="M84" s="54" t="s">
        <v>576</v>
      </c>
      <c r="N84" s="54">
        <v>24</v>
      </c>
      <c r="O84" s="54">
        <v>16.600000000000001</v>
      </c>
      <c r="P84" s="54">
        <v>9.9</v>
      </c>
      <c r="Q84" s="54">
        <v>56.2</v>
      </c>
      <c r="R84" s="54" t="s">
        <v>576</v>
      </c>
      <c r="S84" s="54" t="s">
        <v>3476</v>
      </c>
      <c r="T84" s="54" t="s">
        <v>1676</v>
      </c>
      <c r="U84" s="54" t="s">
        <v>3450</v>
      </c>
      <c r="V84" s="54">
        <v>2</v>
      </c>
      <c r="W84" s="54" t="s">
        <v>3451</v>
      </c>
      <c r="X84" s="57" t="s">
        <v>495</v>
      </c>
    </row>
    <row r="85" spans="1:24" ht="25.5" customHeight="1" x14ac:dyDescent="0.25">
      <c r="A85" s="46" t="s">
        <v>3653</v>
      </c>
      <c r="B85" s="46" t="s">
        <v>2236</v>
      </c>
      <c r="C85" s="46" t="s">
        <v>1640</v>
      </c>
      <c r="D85" s="46" t="s">
        <v>3482</v>
      </c>
      <c r="E85" s="46" t="s">
        <v>3474</v>
      </c>
      <c r="F85" s="46" t="s">
        <v>3463</v>
      </c>
      <c r="G85" s="46">
        <v>17.600000000000001</v>
      </c>
      <c r="H85" s="46">
        <v>286056</v>
      </c>
      <c r="I85" s="46">
        <v>0.6522</v>
      </c>
      <c r="J85" s="46" t="s">
        <v>3654</v>
      </c>
      <c r="K85" s="46">
        <v>1.1000000000000001</v>
      </c>
      <c r="L85" s="46" t="s">
        <v>3491</v>
      </c>
      <c r="M85" s="46" t="s">
        <v>587</v>
      </c>
      <c r="N85" s="46">
        <v>30.4</v>
      </c>
      <c r="O85" s="46">
        <v>4.9000000000000004</v>
      </c>
      <c r="P85" s="46">
        <v>2.8</v>
      </c>
      <c r="Q85" s="46">
        <v>21</v>
      </c>
      <c r="R85" s="46" t="s">
        <v>587</v>
      </c>
      <c r="S85" s="46" t="s">
        <v>3470</v>
      </c>
      <c r="T85" s="46" t="s">
        <v>1676</v>
      </c>
      <c r="U85" s="46" t="s">
        <v>3450</v>
      </c>
      <c r="V85" s="46">
        <v>29</v>
      </c>
      <c r="W85" s="46" t="s">
        <v>3451</v>
      </c>
      <c r="X85" s="49" t="s">
        <v>321</v>
      </c>
    </row>
    <row r="86" spans="1:24" ht="25.5" customHeight="1" x14ac:dyDescent="0.25">
      <c r="A86" s="46" t="s">
        <v>3655</v>
      </c>
      <c r="B86" s="46" t="s">
        <v>1492</v>
      </c>
      <c r="C86" s="46" t="s">
        <v>1640</v>
      </c>
      <c r="D86" s="46" t="s">
        <v>3461</v>
      </c>
      <c r="E86" s="46" t="s">
        <v>3586</v>
      </c>
      <c r="F86" s="46" t="s">
        <v>3447</v>
      </c>
      <c r="G86" s="46">
        <v>6</v>
      </c>
      <c r="H86" s="46">
        <v>108056</v>
      </c>
      <c r="I86" s="46">
        <v>0.41510000000000002</v>
      </c>
      <c r="J86" s="46" t="s">
        <v>3656</v>
      </c>
      <c r="K86" s="46">
        <v>6.1</v>
      </c>
      <c r="L86" s="46" t="s">
        <v>3491</v>
      </c>
      <c r="M86" s="46" t="s">
        <v>576</v>
      </c>
      <c r="N86" s="46">
        <v>32.9</v>
      </c>
      <c r="O86" s="46">
        <v>50.6</v>
      </c>
      <c r="P86" s="46">
        <v>4.9000000000000004</v>
      </c>
      <c r="Q86" s="46">
        <v>3.9</v>
      </c>
      <c r="R86" s="46" t="s">
        <v>587</v>
      </c>
      <c r="S86" s="46" t="s">
        <v>3495</v>
      </c>
      <c r="T86" s="46" t="s">
        <v>622</v>
      </c>
      <c r="U86" s="46" t="s">
        <v>3466</v>
      </c>
      <c r="V86" s="46">
        <v>47</v>
      </c>
      <c r="W86" s="46" t="s">
        <v>3451</v>
      </c>
      <c r="X86" s="49" t="s">
        <v>321</v>
      </c>
    </row>
    <row r="87" spans="1:24" ht="25.5" customHeight="1" x14ac:dyDescent="0.25">
      <c r="A87" s="54" t="s">
        <v>3657</v>
      </c>
      <c r="B87" s="54" t="s">
        <v>2511</v>
      </c>
      <c r="C87" s="54" t="s">
        <v>3472</v>
      </c>
      <c r="D87" s="54" t="s">
        <v>3445</v>
      </c>
      <c r="E87" s="54" t="s">
        <v>3474</v>
      </c>
      <c r="F87" s="54" t="s">
        <v>3463</v>
      </c>
      <c r="G87" s="54">
        <v>40.5</v>
      </c>
      <c r="H87" s="54">
        <v>135655</v>
      </c>
      <c r="I87" s="54">
        <v>2.0283000000000002</v>
      </c>
      <c r="J87" s="54" t="s">
        <v>3658</v>
      </c>
      <c r="K87" s="54">
        <v>4.7</v>
      </c>
      <c r="L87" s="54" t="s">
        <v>1684</v>
      </c>
      <c r="M87" s="54" t="s">
        <v>576</v>
      </c>
      <c r="N87" s="54">
        <v>38.1</v>
      </c>
      <c r="O87" s="54">
        <v>30.7</v>
      </c>
      <c r="P87" s="54">
        <v>19</v>
      </c>
      <c r="Q87" s="54">
        <v>72.400000000000006</v>
      </c>
      <c r="R87" s="54" t="s">
        <v>576</v>
      </c>
      <c r="S87" s="54" t="s">
        <v>3495</v>
      </c>
      <c r="T87" s="54" t="s">
        <v>1676</v>
      </c>
      <c r="U87" s="54" t="s">
        <v>3450</v>
      </c>
      <c r="V87" s="54">
        <v>41</v>
      </c>
      <c r="W87" s="54" t="s">
        <v>3451</v>
      </c>
      <c r="X87" s="57" t="s">
        <v>495</v>
      </c>
    </row>
    <row r="88" spans="1:24" ht="25.5" customHeight="1" x14ac:dyDescent="0.25">
      <c r="A88" s="54" t="s">
        <v>3659</v>
      </c>
      <c r="B88" s="54" t="s">
        <v>3660</v>
      </c>
      <c r="C88" s="54" t="s">
        <v>1676</v>
      </c>
      <c r="D88" s="54" t="s">
        <v>3473</v>
      </c>
      <c r="E88" s="54" t="s">
        <v>3446</v>
      </c>
      <c r="F88" s="54" t="s">
        <v>3454</v>
      </c>
      <c r="G88" s="54">
        <v>15.2</v>
      </c>
      <c r="H88" s="54">
        <v>385076</v>
      </c>
      <c r="I88" s="54">
        <v>0.18479999999999999</v>
      </c>
      <c r="J88" s="54" t="s">
        <v>3661</v>
      </c>
      <c r="K88" s="54">
        <v>6.3</v>
      </c>
      <c r="L88" s="54" t="s">
        <v>3480</v>
      </c>
      <c r="M88" s="54" t="s">
        <v>587</v>
      </c>
      <c r="N88" s="54">
        <v>40</v>
      </c>
      <c r="O88" s="54">
        <v>48.5</v>
      </c>
      <c r="P88" s="54">
        <v>4.7</v>
      </c>
      <c r="Q88" s="54">
        <v>50.1</v>
      </c>
      <c r="R88" s="54" t="s">
        <v>576</v>
      </c>
      <c r="S88" s="54" t="s">
        <v>3512</v>
      </c>
      <c r="T88" s="54" t="s">
        <v>1676</v>
      </c>
      <c r="U88" s="54" t="s">
        <v>3466</v>
      </c>
      <c r="V88" s="54">
        <v>41</v>
      </c>
      <c r="W88" s="54" t="s">
        <v>3451</v>
      </c>
      <c r="X88" s="57" t="s">
        <v>495</v>
      </c>
    </row>
    <row r="89" spans="1:24" ht="25.5" customHeight="1" x14ac:dyDescent="0.25">
      <c r="A89" s="54" t="s">
        <v>3662</v>
      </c>
      <c r="B89" s="54" t="s">
        <v>3663</v>
      </c>
      <c r="C89" s="54" t="s">
        <v>1676</v>
      </c>
      <c r="D89" s="54" t="s">
        <v>3473</v>
      </c>
      <c r="E89" s="54" t="s">
        <v>161</v>
      </c>
      <c r="F89" s="54" t="s">
        <v>3447</v>
      </c>
      <c r="G89" s="54">
        <v>2</v>
      </c>
      <c r="H89" s="54">
        <v>430046</v>
      </c>
      <c r="I89" s="54">
        <v>0.49230000000000002</v>
      </c>
      <c r="J89" s="54" t="s">
        <v>3664</v>
      </c>
      <c r="K89" s="54">
        <v>9.6999999999999993</v>
      </c>
      <c r="L89" s="54" t="s">
        <v>1684</v>
      </c>
      <c r="M89" s="54" t="s">
        <v>587</v>
      </c>
      <c r="N89" s="54">
        <v>47.4</v>
      </c>
      <c r="O89" s="54">
        <v>83.1</v>
      </c>
      <c r="P89" s="54">
        <v>8.9</v>
      </c>
      <c r="Q89" s="54">
        <v>44.1</v>
      </c>
      <c r="R89" s="54" t="s">
        <v>576</v>
      </c>
      <c r="S89" s="54" t="s">
        <v>3465</v>
      </c>
      <c r="T89" s="54" t="s">
        <v>1676</v>
      </c>
      <c r="U89" s="54" t="s">
        <v>3450</v>
      </c>
      <c r="V89" s="54">
        <v>6</v>
      </c>
      <c r="W89" s="54" t="s">
        <v>1652</v>
      </c>
      <c r="X89" s="57" t="s">
        <v>495</v>
      </c>
    </row>
    <row r="90" spans="1:24" ht="25.5" customHeight="1" x14ac:dyDescent="0.25">
      <c r="A90" s="54" t="s">
        <v>3665</v>
      </c>
      <c r="B90" s="54" t="s">
        <v>2080</v>
      </c>
      <c r="C90" s="54" t="s">
        <v>622</v>
      </c>
      <c r="D90" s="54" t="s">
        <v>3468</v>
      </c>
      <c r="E90" s="54" t="s">
        <v>3556</v>
      </c>
      <c r="F90" s="54" t="s">
        <v>3463</v>
      </c>
      <c r="G90" s="54">
        <v>10.199999999999999</v>
      </c>
      <c r="H90" s="54">
        <v>462815</v>
      </c>
      <c r="I90" s="54">
        <v>2.6053999999999999</v>
      </c>
      <c r="J90" s="54" t="s">
        <v>3666</v>
      </c>
      <c r="K90" s="54">
        <v>7.6</v>
      </c>
      <c r="L90" s="54" t="s">
        <v>3491</v>
      </c>
      <c r="M90" s="54" t="s">
        <v>587</v>
      </c>
      <c r="N90" s="54">
        <v>24.2</v>
      </c>
      <c r="O90" s="54">
        <v>43.9</v>
      </c>
      <c r="P90" s="54">
        <v>21.2</v>
      </c>
      <c r="Q90" s="54">
        <v>78.5</v>
      </c>
      <c r="R90" s="54" t="s">
        <v>1684</v>
      </c>
      <c r="S90" s="54" t="s">
        <v>3465</v>
      </c>
      <c r="T90" s="54" t="s">
        <v>1676</v>
      </c>
      <c r="U90" s="54" t="s">
        <v>3450</v>
      </c>
      <c r="V90" s="54">
        <v>29</v>
      </c>
      <c r="W90" s="54" t="s">
        <v>3451</v>
      </c>
      <c r="X90" s="57" t="s">
        <v>495</v>
      </c>
    </row>
    <row r="91" spans="1:24" ht="25.5" customHeight="1" x14ac:dyDescent="0.25">
      <c r="A91" s="54" t="s">
        <v>3667</v>
      </c>
      <c r="B91" s="54" t="s">
        <v>2102</v>
      </c>
      <c r="C91" s="54" t="s">
        <v>3472</v>
      </c>
      <c r="D91" s="54" t="s">
        <v>3504</v>
      </c>
      <c r="E91" s="54" t="s">
        <v>3556</v>
      </c>
      <c r="F91" s="54" t="s">
        <v>3454</v>
      </c>
      <c r="G91" s="54">
        <v>28.4</v>
      </c>
      <c r="H91" s="54">
        <v>269001</v>
      </c>
      <c r="I91" s="54">
        <v>3.1646999999999998</v>
      </c>
      <c r="J91" s="54" t="s">
        <v>3668</v>
      </c>
      <c r="K91" s="54">
        <v>4.9000000000000004</v>
      </c>
      <c r="L91" s="54" t="s">
        <v>3459</v>
      </c>
      <c r="M91" s="54" t="s">
        <v>576</v>
      </c>
      <c r="N91" s="54">
        <v>28.8</v>
      </c>
      <c r="O91" s="54">
        <v>50.1</v>
      </c>
      <c r="P91" s="54">
        <v>15.1</v>
      </c>
      <c r="Q91" s="54">
        <v>46.2</v>
      </c>
      <c r="R91" s="54" t="s">
        <v>576</v>
      </c>
      <c r="S91" s="54" t="s">
        <v>3465</v>
      </c>
      <c r="T91" s="54" t="s">
        <v>1640</v>
      </c>
      <c r="U91" s="54" t="s">
        <v>3450</v>
      </c>
      <c r="V91" s="54">
        <v>3</v>
      </c>
      <c r="W91" s="54" t="s">
        <v>3451</v>
      </c>
      <c r="X91" s="57" t="s">
        <v>495</v>
      </c>
    </row>
    <row r="92" spans="1:24" ht="25.5" customHeight="1" x14ac:dyDescent="0.25">
      <c r="A92" s="54" t="s">
        <v>3669</v>
      </c>
      <c r="B92" s="54" t="s">
        <v>1642</v>
      </c>
      <c r="C92" s="54" t="s">
        <v>622</v>
      </c>
      <c r="D92" s="54" t="s">
        <v>3504</v>
      </c>
      <c r="E92" s="54" t="s">
        <v>3446</v>
      </c>
      <c r="F92" s="54" t="s">
        <v>3447</v>
      </c>
      <c r="G92" s="54">
        <v>31.2</v>
      </c>
      <c r="H92" s="54">
        <v>68034</v>
      </c>
      <c r="I92" s="54">
        <v>3.8675000000000002</v>
      </c>
      <c r="J92" s="54" t="s">
        <v>3670</v>
      </c>
      <c r="K92" s="54">
        <v>8.1</v>
      </c>
      <c r="L92" s="54" t="s">
        <v>1684</v>
      </c>
      <c r="M92" s="54" t="s">
        <v>587</v>
      </c>
      <c r="N92" s="54">
        <v>27.2</v>
      </c>
      <c r="O92" s="54">
        <v>52</v>
      </c>
      <c r="P92" s="54">
        <v>6.9</v>
      </c>
      <c r="Q92" s="54">
        <v>75.7</v>
      </c>
      <c r="R92" s="54" t="s">
        <v>576</v>
      </c>
      <c r="S92" s="54" t="s">
        <v>3470</v>
      </c>
      <c r="T92" s="54" t="s">
        <v>1676</v>
      </c>
      <c r="U92" s="54" t="s">
        <v>3450</v>
      </c>
      <c r="V92" s="54">
        <v>14</v>
      </c>
      <c r="W92" s="54" t="s">
        <v>3451</v>
      </c>
      <c r="X92" s="57" t="s">
        <v>495</v>
      </c>
    </row>
    <row r="93" spans="1:24" ht="25.5" customHeight="1" x14ac:dyDescent="0.25">
      <c r="A93" s="54" t="s">
        <v>3671</v>
      </c>
      <c r="B93" s="54" t="s">
        <v>1608</v>
      </c>
      <c r="C93" s="54" t="s">
        <v>1640</v>
      </c>
      <c r="D93" s="54" t="s">
        <v>3473</v>
      </c>
      <c r="E93" s="54" t="s">
        <v>3474</v>
      </c>
      <c r="F93" s="54" t="s">
        <v>3463</v>
      </c>
      <c r="G93" s="54">
        <v>5.9</v>
      </c>
      <c r="H93" s="54">
        <v>105491</v>
      </c>
      <c r="I93" s="54">
        <v>2.4950999999999999</v>
      </c>
      <c r="J93" s="54" t="s">
        <v>3672</v>
      </c>
      <c r="K93" s="54">
        <v>7.2</v>
      </c>
      <c r="L93" s="54" t="s">
        <v>1684</v>
      </c>
      <c r="M93" s="54" t="s">
        <v>576</v>
      </c>
      <c r="N93" s="54">
        <v>18.3</v>
      </c>
      <c r="O93" s="54">
        <v>34.200000000000003</v>
      </c>
      <c r="P93" s="54">
        <v>21.1</v>
      </c>
      <c r="Q93" s="54">
        <v>61.4</v>
      </c>
      <c r="R93" s="54" t="s">
        <v>576</v>
      </c>
      <c r="S93" s="54" t="s">
        <v>3476</v>
      </c>
      <c r="T93" s="54" t="s">
        <v>1676</v>
      </c>
      <c r="U93" s="54" t="s">
        <v>3450</v>
      </c>
      <c r="V93" s="54">
        <v>35</v>
      </c>
      <c r="W93" s="54" t="s">
        <v>3451</v>
      </c>
      <c r="X93" s="57" t="s">
        <v>495</v>
      </c>
    </row>
    <row r="94" spans="1:24" ht="25.5" customHeight="1" x14ac:dyDescent="0.25">
      <c r="A94" s="54" t="s">
        <v>3673</v>
      </c>
      <c r="B94" s="54" t="s">
        <v>1398</v>
      </c>
      <c r="C94" s="54" t="s">
        <v>622</v>
      </c>
      <c r="D94" s="54" t="s">
        <v>3482</v>
      </c>
      <c r="E94" s="54" t="s">
        <v>161</v>
      </c>
      <c r="F94" s="54" t="s">
        <v>3493</v>
      </c>
      <c r="G94" s="54">
        <v>30.5</v>
      </c>
      <c r="H94" s="54">
        <v>2760</v>
      </c>
      <c r="I94" s="54">
        <v>3.3712</v>
      </c>
      <c r="J94" s="54" t="s">
        <v>3674</v>
      </c>
      <c r="K94" s="54">
        <v>6.1</v>
      </c>
      <c r="L94" s="54" t="s">
        <v>3459</v>
      </c>
      <c r="M94" s="54" t="s">
        <v>576</v>
      </c>
      <c r="N94" s="54">
        <v>13</v>
      </c>
      <c r="O94" s="54">
        <v>41.8</v>
      </c>
      <c r="P94" s="54">
        <v>0.6</v>
      </c>
      <c r="Q94" s="54">
        <v>47.2</v>
      </c>
      <c r="R94" s="54" t="s">
        <v>576</v>
      </c>
      <c r="S94" s="54" t="s">
        <v>3465</v>
      </c>
      <c r="T94" s="54" t="s">
        <v>622</v>
      </c>
      <c r="U94" s="54" t="s">
        <v>3015</v>
      </c>
      <c r="V94" s="54">
        <v>40</v>
      </c>
      <c r="W94" s="54" t="s">
        <v>3451</v>
      </c>
      <c r="X94" s="57" t="s">
        <v>495</v>
      </c>
    </row>
    <row r="95" spans="1:24" ht="25.5" customHeight="1" x14ac:dyDescent="0.25">
      <c r="A95" s="54" t="s">
        <v>3675</v>
      </c>
      <c r="B95" s="54" t="s">
        <v>3676</v>
      </c>
      <c r="C95" s="54" t="s">
        <v>1676</v>
      </c>
      <c r="D95" s="54" t="s">
        <v>3453</v>
      </c>
      <c r="E95" s="54" t="s">
        <v>3446</v>
      </c>
      <c r="F95" s="54" t="s">
        <v>3447</v>
      </c>
      <c r="G95" s="54">
        <v>15</v>
      </c>
      <c r="H95" s="54">
        <v>279885</v>
      </c>
      <c r="I95" s="54">
        <v>0.60289999999999999</v>
      </c>
      <c r="J95" s="54" t="s">
        <v>3677</v>
      </c>
      <c r="K95" s="54">
        <v>7.7</v>
      </c>
      <c r="L95" s="54" t="s">
        <v>3459</v>
      </c>
      <c r="M95" s="54" t="s">
        <v>587</v>
      </c>
      <c r="N95" s="54">
        <v>0.9</v>
      </c>
      <c r="O95" s="54">
        <v>79.900000000000006</v>
      </c>
      <c r="P95" s="54">
        <v>8.4</v>
      </c>
      <c r="Q95" s="54">
        <v>44.4</v>
      </c>
      <c r="R95" s="54" t="s">
        <v>576</v>
      </c>
      <c r="S95" s="54" t="s">
        <v>3470</v>
      </c>
      <c r="T95" s="54" t="s">
        <v>1640</v>
      </c>
      <c r="U95" s="54" t="s">
        <v>3466</v>
      </c>
      <c r="V95" s="54">
        <v>16</v>
      </c>
      <c r="W95" s="54" t="s">
        <v>3451</v>
      </c>
      <c r="X95" s="57" t="s">
        <v>495</v>
      </c>
    </row>
    <row r="96" spans="1:24" ht="25.5" customHeight="1" x14ac:dyDescent="0.25">
      <c r="A96" s="54" t="s">
        <v>3678</v>
      </c>
      <c r="B96" s="54" t="s">
        <v>994</v>
      </c>
      <c r="C96" s="54" t="s">
        <v>1676</v>
      </c>
      <c r="D96" s="54" t="s">
        <v>3499</v>
      </c>
      <c r="E96" s="54" t="s">
        <v>3556</v>
      </c>
      <c r="F96" s="54" t="s">
        <v>3454</v>
      </c>
      <c r="G96" s="54">
        <v>13.8</v>
      </c>
      <c r="H96" s="54">
        <v>63254</v>
      </c>
      <c r="I96" s="54">
        <v>0.28660000000000002</v>
      </c>
      <c r="J96" s="54" t="s">
        <v>3679</v>
      </c>
      <c r="K96" s="54">
        <v>9.6</v>
      </c>
      <c r="L96" s="54" t="s">
        <v>3459</v>
      </c>
      <c r="M96" s="54" t="s">
        <v>576</v>
      </c>
      <c r="N96" s="54">
        <v>26.4</v>
      </c>
      <c r="O96" s="54">
        <v>10.3</v>
      </c>
      <c r="P96" s="54">
        <v>2.7</v>
      </c>
      <c r="Q96" s="54">
        <v>49.1</v>
      </c>
      <c r="R96" s="54" t="s">
        <v>1684</v>
      </c>
      <c r="S96" s="54" t="s">
        <v>3495</v>
      </c>
      <c r="T96" s="54" t="s">
        <v>622</v>
      </c>
      <c r="U96" s="54" t="s">
        <v>3466</v>
      </c>
      <c r="V96" s="54">
        <v>21</v>
      </c>
      <c r="W96" s="54" t="s">
        <v>3451</v>
      </c>
      <c r="X96" s="57" t="s">
        <v>495</v>
      </c>
    </row>
    <row r="97" spans="1:24" ht="25.5" customHeight="1" x14ac:dyDescent="0.25">
      <c r="A97" s="54" t="s">
        <v>3680</v>
      </c>
      <c r="B97" s="54" t="s">
        <v>969</v>
      </c>
      <c r="C97" s="54" t="s">
        <v>3472</v>
      </c>
      <c r="D97" s="54" t="s">
        <v>3516</v>
      </c>
      <c r="E97" s="54" t="s">
        <v>3474</v>
      </c>
      <c r="F97" s="54" t="s">
        <v>3463</v>
      </c>
      <c r="G97" s="54">
        <v>19.2</v>
      </c>
      <c r="H97" s="54">
        <v>445525</v>
      </c>
      <c r="I97" s="54">
        <v>3.169</v>
      </c>
      <c r="J97" s="54" t="s">
        <v>3681</v>
      </c>
      <c r="K97" s="54">
        <v>1.6</v>
      </c>
      <c r="L97" s="54" t="s">
        <v>1684</v>
      </c>
      <c r="M97" s="54" t="s">
        <v>587</v>
      </c>
      <c r="N97" s="54">
        <v>38.299999999999997</v>
      </c>
      <c r="O97" s="54">
        <v>29.2</v>
      </c>
      <c r="P97" s="54">
        <v>10.199999999999999</v>
      </c>
      <c r="Q97" s="54">
        <v>36.799999999999997</v>
      </c>
      <c r="R97" s="54" t="s">
        <v>587</v>
      </c>
      <c r="S97" s="54" t="s">
        <v>3470</v>
      </c>
      <c r="T97" s="54" t="s">
        <v>622</v>
      </c>
      <c r="U97" s="54" t="s">
        <v>3015</v>
      </c>
      <c r="V97" s="54">
        <v>16</v>
      </c>
      <c r="W97" s="54" t="s">
        <v>3451</v>
      </c>
      <c r="X97" s="57" t="s">
        <v>495</v>
      </c>
    </row>
    <row r="98" spans="1:24" ht="25.5" customHeight="1" x14ac:dyDescent="0.25">
      <c r="A98" s="54" t="s">
        <v>3682</v>
      </c>
      <c r="B98" s="54" t="s">
        <v>1895</v>
      </c>
      <c r="C98" s="54" t="s">
        <v>3472</v>
      </c>
      <c r="D98" s="54" t="s">
        <v>3516</v>
      </c>
      <c r="E98" s="54" t="s">
        <v>3462</v>
      </c>
      <c r="F98" s="54" t="s">
        <v>3447</v>
      </c>
      <c r="G98" s="54">
        <v>38.1</v>
      </c>
      <c r="H98" s="54">
        <v>51064</v>
      </c>
      <c r="I98" s="54">
        <v>5.2225000000000001</v>
      </c>
      <c r="J98" s="54" t="s">
        <v>3683</v>
      </c>
      <c r="K98" s="54">
        <v>3.4</v>
      </c>
      <c r="L98" s="54" t="s">
        <v>3459</v>
      </c>
      <c r="M98" s="54" t="s">
        <v>576</v>
      </c>
      <c r="N98" s="54">
        <v>35.5</v>
      </c>
      <c r="O98" s="54">
        <v>54.8</v>
      </c>
      <c r="P98" s="54">
        <v>2.7</v>
      </c>
      <c r="Q98" s="54">
        <v>41.5</v>
      </c>
      <c r="R98" s="54" t="s">
        <v>576</v>
      </c>
      <c r="S98" s="54" t="s">
        <v>3512</v>
      </c>
      <c r="T98" s="54" t="s">
        <v>1676</v>
      </c>
      <c r="U98" s="54" t="s">
        <v>3015</v>
      </c>
      <c r="V98" s="54">
        <v>28</v>
      </c>
      <c r="W98" s="54" t="s">
        <v>3451</v>
      </c>
      <c r="X98" s="57" t="s">
        <v>495</v>
      </c>
    </row>
    <row r="99" spans="1:24" ht="25.5" customHeight="1" x14ac:dyDescent="0.25">
      <c r="A99" s="54" t="s">
        <v>3684</v>
      </c>
      <c r="B99" s="54" t="s">
        <v>3457</v>
      </c>
      <c r="C99" s="54" t="s">
        <v>1676</v>
      </c>
      <c r="D99" s="54" t="s">
        <v>3482</v>
      </c>
      <c r="E99" s="54" t="s">
        <v>3474</v>
      </c>
      <c r="F99" s="54" t="s">
        <v>3463</v>
      </c>
      <c r="G99" s="54">
        <v>10.9</v>
      </c>
      <c r="H99" s="54">
        <v>37714</v>
      </c>
      <c r="I99" s="54">
        <v>0.52580000000000005</v>
      </c>
      <c r="J99" s="54" t="s">
        <v>3685</v>
      </c>
      <c r="K99" s="54">
        <v>7.2</v>
      </c>
      <c r="L99" s="54" t="s">
        <v>1684</v>
      </c>
      <c r="M99" s="54" t="s">
        <v>587</v>
      </c>
      <c r="N99" s="54">
        <v>11.8</v>
      </c>
      <c r="O99" s="54">
        <v>91.4</v>
      </c>
      <c r="P99" s="54">
        <v>15.5</v>
      </c>
      <c r="Q99" s="54">
        <v>17</v>
      </c>
      <c r="R99" s="54" t="s">
        <v>587</v>
      </c>
      <c r="S99" s="54" t="s">
        <v>3449</v>
      </c>
      <c r="T99" s="54" t="s">
        <v>1676</v>
      </c>
      <c r="U99" s="54" t="s">
        <v>3466</v>
      </c>
      <c r="V99" s="54">
        <v>29</v>
      </c>
      <c r="W99" s="54" t="s">
        <v>1652</v>
      </c>
      <c r="X99" s="57" t="s">
        <v>495</v>
      </c>
    </row>
    <row r="100" spans="1:24" ht="25.5" customHeight="1" x14ac:dyDescent="0.25">
      <c r="A100" s="54" t="s">
        <v>3686</v>
      </c>
      <c r="B100" s="54" t="s">
        <v>3687</v>
      </c>
      <c r="C100" s="54" t="s">
        <v>1640</v>
      </c>
      <c r="D100" s="54" t="s">
        <v>3473</v>
      </c>
      <c r="E100" s="54" t="s">
        <v>3528</v>
      </c>
      <c r="F100" s="54" t="s">
        <v>3493</v>
      </c>
      <c r="G100" s="54">
        <v>17</v>
      </c>
      <c r="H100" s="54">
        <v>288808</v>
      </c>
      <c r="I100" s="54">
        <v>0.96360000000000001</v>
      </c>
      <c r="J100" s="54" t="s">
        <v>3688</v>
      </c>
      <c r="K100" s="54">
        <v>9.4</v>
      </c>
      <c r="L100" s="54" t="s">
        <v>1684</v>
      </c>
      <c r="M100" s="54" t="s">
        <v>587</v>
      </c>
      <c r="N100" s="54">
        <v>17.600000000000001</v>
      </c>
      <c r="O100" s="54">
        <v>3.8</v>
      </c>
      <c r="P100" s="54">
        <v>16.100000000000001</v>
      </c>
      <c r="Q100" s="54">
        <v>71.599999999999994</v>
      </c>
      <c r="R100" s="54" t="s">
        <v>576</v>
      </c>
      <c r="S100" s="54" t="s">
        <v>3476</v>
      </c>
      <c r="T100" s="54" t="s">
        <v>1676</v>
      </c>
      <c r="U100" s="54" t="s">
        <v>3466</v>
      </c>
      <c r="V100" s="54">
        <v>38</v>
      </c>
      <c r="W100" s="54" t="s">
        <v>3451</v>
      </c>
      <c r="X100" s="57" t="s">
        <v>495</v>
      </c>
    </row>
    <row r="101" spans="1:24" ht="25.5" customHeight="1" x14ac:dyDescent="0.25">
      <c r="A101" s="54" t="s">
        <v>3689</v>
      </c>
      <c r="B101" s="54" t="s">
        <v>3525</v>
      </c>
      <c r="C101" s="54" t="s">
        <v>1676</v>
      </c>
      <c r="D101" s="54" t="s">
        <v>3482</v>
      </c>
      <c r="E101" s="54" t="s">
        <v>3462</v>
      </c>
      <c r="F101" s="54" t="s">
        <v>3463</v>
      </c>
      <c r="G101" s="54">
        <v>1.5</v>
      </c>
      <c r="H101" s="54">
        <v>128036</v>
      </c>
      <c r="I101" s="54">
        <v>0.1714</v>
      </c>
      <c r="J101" s="54" t="s">
        <v>3690</v>
      </c>
      <c r="K101" s="54">
        <v>5.0999999999999996</v>
      </c>
      <c r="L101" s="54" t="s">
        <v>3459</v>
      </c>
      <c r="M101" s="54" t="s">
        <v>576</v>
      </c>
      <c r="N101" s="54">
        <v>36.299999999999997</v>
      </c>
      <c r="O101" s="54">
        <v>75.099999999999994</v>
      </c>
      <c r="P101" s="54">
        <v>4.5999999999999996</v>
      </c>
      <c r="Q101" s="54">
        <v>78.7</v>
      </c>
      <c r="R101" s="54" t="s">
        <v>576</v>
      </c>
      <c r="S101" s="54" t="s">
        <v>3470</v>
      </c>
      <c r="T101" s="54" t="s">
        <v>622</v>
      </c>
      <c r="U101" s="54" t="s">
        <v>3015</v>
      </c>
      <c r="V101" s="54">
        <v>27</v>
      </c>
      <c r="W101" s="54" t="s">
        <v>1652</v>
      </c>
      <c r="X101" s="57" t="s">
        <v>495</v>
      </c>
    </row>
    <row r="102" spans="1:24" ht="25.5" customHeight="1" x14ac:dyDescent="0.25">
      <c r="A102" s="54" t="s">
        <v>3691</v>
      </c>
      <c r="B102" s="54" t="s">
        <v>3692</v>
      </c>
      <c r="C102" s="54" t="s">
        <v>1676</v>
      </c>
      <c r="D102" s="54" t="s">
        <v>3499</v>
      </c>
      <c r="E102" s="54" t="s">
        <v>3478</v>
      </c>
      <c r="F102" s="54" t="s">
        <v>3454</v>
      </c>
      <c r="G102" s="54">
        <v>0.7</v>
      </c>
      <c r="H102" s="54">
        <v>229183</v>
      </c>
      <c r="I102" s="54">
        <v>0.74870000000000003</v>
      </c>
      <c r="J102" s="54" t="s">
        <v>3693</v>
      </c>
      <c r="K102" s="54">
        <v>3</v>
      </c>
      <c r="L102" s="54" t="s">
        <v>3480</v>
      </c>
      <c r="M102" s="54" t="s">
        <v>587</v>
      </c>
      <c r="N102" s="54">
        <v>19.399999999999999</v>
      </c>
      <c r="O102" s="54">
        <v>6.5</v>
      </c>
      <c r="P102" s="54">
        <v>21.1</v>
      </c>
      <c r="Q102" s="54">
        <v>53.1</v>
      </c>
      <c r="R102" s="54" t="s">
        <v>576</v>
      </c>
      <c r="S102" s="54" t="s">
        <v>3465</v>
      </c>
      <c r="T102" s="54" t="s">
        <v>1640</v>
      </c>
      <c r="U102" s="54" t="s">
        <v>3450</v>
      </c>
      <c r="V102" s="54">
        <v>40</v>
      </c>
      <c r="W102" s="54" t="s">
        <v>3451</v>
      </c>
      <c r="X102" s="57" t="s">
        <v>495</v>
      </c>
    </row>
    <row r="103" spans="1:24" ht="15" customHeight="1" x14ac:dyDescent="0.25">
      <c r="A103" s="54" t="s">
        <v>3694</v>
      </c>
      <c r="B103" s="54" t="s">
        <v>1266</v>
      </c>
      <c r="C103" s="54" t="s">
        <v>622</v>
      </c>
      <c r="D103" s="54" t="s">
        <v>3499</v>
      </c>
      <c r="E103" s="54" t="s">
        <v>3528</v>
      </c>
      <c r="F103" s="54" t="s">
        <v>3463</v>
      </c>
      <c r="G103" s="54">
        <v>18</v>
      </c>
      <c r="H103" s="54">
        <v>262735</v>
      </c>
      <c r="I103" s="54">
        <v>0.82869999999999999</v>
      </c>
      <c r="J103" s="54" t="s">
        <v>3695</v>
      </c>
      <c r="K103" s="54">
        <v>9.6999999999999993</v>
      </c>
      <c r="L103" s="54" t="s">
        <v>3480</v>
      </c>
      <c r="M103" s="54" t="s">
        <v>587</v>
      </c>
      <c r="N103" s="54">
        <v>42.3</v>
      </c>
      <c r="O103" s="54">
        <v>27.4</v>
      </c>
      <c r="P103" s="54">
        <v>8.6999999999999993</v>
      </c>
      <c r="Q103" s="54">
        <v>77</v>
      </c>
      <c r="R103" s="54" t="s">
        <v>576</v>
      </c>
      <c r="S103" s="54" t="s">
        <v>3465</v>
      </c>
      <c r="T103" s="54" t="s">
        <v>1640</v>
      </c>
      <c r="U103" s="54" t="s">
        <v>3015</v>
      </c>
      <c r="V103" s="54">
        <v>10</v>
      </c>
      <c r="W103" s="54" t="s">
        <v>3451</v>
      </c>
      <c r="X103" s="57" t="s">
        <v>495</v>
      </c>
    </row>
    <row r="104" spans="1:24" ht="15" customHeight="1" x14ac:dyDescent="0.25">
      <c r="A104" s="54" t="s">
        <v>3696</v>
      </c>
      <c r="B104" s="54" t="s">
        <v>1413</v>
      </c>
      <c r="C104" s="54" t="s">
        <v>622</v>
      </c>
      <c r="D104" s="54" t="s">
        <v>3473</v>
      </c>
      <c r="E104" s="54" t="s">
        <v>161</v>
      </c>
      <c r="F104" s="54" t="s">
        <v>3493</v>
      </c>
      <c r="G104" s="54">
        <v>20.9</v>
      </c>
      <c r="H104" s="54">
        <v>268065</v>
      </c>
      <c r="I104" s="54">
        <v>4.9447999999999999</v>
      </c>
      <c r="J104" s="54" t="s">
        <v>3697</v>
      </c>
      <c r="K104" s="54">
        <v>7.3</v>
      </c>
      <c r="L104" s="54" t="s">
        <v>3491</v>
      </c>
      <c r="M104" s="54" t="s">
        <v>587</v>
      </c>
      <c r="N104" s="54">
        <v>46.6</v>
      </c>
      <c r="O104" s="54">
        <v>78.8</v>
      </c>
      <c r="P104" s="54">
        <v>22.9</v>
      </c>
      <c r="Q104" s="54">
        <v>68.8</v>
      </c>
      <c r="R104" s="54" t="s">
        <v>587</v>
      </c>
      <c r="S104" s="54" t="s">
        <v>3476</v>
      </c>
      <c r="T104" s="54" t="s">
        <v>622</v>
      </c>
      <c r="U104" s="54" t="s">
        <v>3466</v>
      </c>
      <c r="V104" s="54">
        <v>26</v>
      </c>
      <c r="W104" s="54" t="s">
        <v>3451</v>
      </c>
      <c r="X104" s="57" t="s">
        <v>495</v>
      </c>
    </row>
    <row r="105" spans="1:24" ht="15" customHeight="1" x14ac:dyDescent="0.25">
      <c r="A105" s="54" t="s">
        <v>3698</v>
      </c>
      <c r="B105" s="54" t="s">
        <v>3699</v>
      </c>
      <c r="C105" s="54" t="s">
        <v>3472</v>
      </c>
      <c r="D105" s="54" t="s">
        <v>3516</v>
      </c>
      <c r="E105" s="54" t="s">
        <v>3478</v>
      </c>
      <c r="F105" s="54" t="s">
        <v>3447</v>
      </c>
      <c r="G105" s="54">
        <v>40</v>
      </c>
      <c r="H105" s="54">
        <v>84699</v>
      </c>
      <c r="I105" s="54">
        <v>2.3622999999999998</v>
      </c>
      <c r="J105" s="54" t="s">
        <v>3700</v>
      </c>
      <c r="K105" s="54">
        <v>6.8</v>
      </c>
      <c r="L105" s="54" t="s">
        <v>3480</v>
      </c>
      <c r="M105" s="54" t="s">
        <v>576</v>
      </c>
      <c r="N105" s="54">
        <v>2.2999999999999998</v>
      </c>
      <c r="O105" s="54">
        <v>97.5</v>
      </c>
      <c r="P105" s="54">
        <v>3.1</v>
      </c>
      <c r="Q105" s="54">
        <v>41.8</v>
      </c>
      <c r="R105" s="54" t="s">
        <v>1684</v>
      </c>
      <c r="S105" s="54" t="s">
        <v>3470</v>
      </c>
      <c r="T105" s="54" t="s">
        <v>1640</v>
      </c>
      <c r="U105" s="54" t="s">
        <v>3466</v>
      </c>
      <c r="V105" s="54">
        <v>9</v>
      </c>
      <c r="W105" s="54" t="s">
        <v>3451</v>
      </c>
      <c r="X105" s="57" t="s">
        <v>495</v>
      </c>
    </row>
    <row r="106" spans="1:24" ht="15" customHeight="1" x14ac:dyDescent="0.25">
      <c r="A106" s="54" t="s">
        <v>3701</v>
      </c>
      <c r="B106" s="54" t="s">
        <v>3676</v>
      </c>
      <c r="C106" s="54" t="s">
        <v>1640</v>
      </c>
      <c r="D106" s="54" t="s">
        <v>3516</v>
      </c>
      <c r="E106" s="54" t="s">
        <v>3446</v>
      </c>
      <c r="F106" s="54" t="s">
        <v>3454</v>
      </c>
      <c r="G106" s="54">
        <v>2.6</v>
      </c>
      <c r="H106" s="54">
        <v>461694</v>
      </c>
      <c r="I106" s="54">
        <v>1.8698999999999999</v>
      </c>
      <c r="J106" s="54" t="s">
        <v>3702</v>
      </c>
      <c r="K106" s="54">
        <v>5.9</v>
      </c>
      <c r="L106" s="54" t="s">
        <v>3459</v>
      </c>
      <c r="M106" s="54" t="s">
        <v>576</v>
      </c>
      <c r="N106" s="54">
        <v>4.8</v>
      </c>
      <c r="O106" s="54">
        <v>79.5</v>
      </c>
      <c r="P106" s="54">
        <v>10.7</v>
      </c>
      <c r="Q106" s="54">
        <v>21.7</v>
      </c>
      <c r="R106" s="54" t="s">
        <v>1684</v>
      </c>
      <c r="S106" s="54" t="s">
        <v>3495</v>
      </c>
      <c r="T106" s="54" t="s">
        <v>1676</v>
      </c>
      <c r="U106" s="54" t="s">
        <v>3466</v>
      </c>
      <c r="V106" s="54">
        <v>16</v>
      </c>
      <c r="W106" s="54" t="s">
        <v>3451</v>
      </c>
      <c r="X106" s="57" t="s">
        <v>495</v>
      </c>
    </row>
    <row r="107" spans="1:24" ht="15" customHeight="1" x14ac:dyDescent="0.25">
      <c r="A107" s="54" t="s">
        <v>3703</v>
      </c>
      <c r="B107" s="54" t="s">
        <v>1734</v>
      </c>
      <c r="C107" s="54" t="s">
        <v>3472</v>
      </c>
      <c r="D107" s="54" t="s">
        <v>3516</v>
      </c>
      <c r="E107" s="54" t="s">
        <v>3478</v>
      </c>
      <c r="F107" s="54" t="s">
        <v>3463</v>
      </c>
      <c r="G107" s="54">
        <v>62.5</v>
      </c>
      <c r="H107" s="54">
        <v>373379</v>
      </c>
      <c r="I107" s="54">
        <v>2.4548000000000001</v>
      </c>
      <c r="J107" s="54" t="s">
        <v>3704</v>
      </c>
      <c r="K107" s="54">
        <v>8</v>
      </c>
      <c r="L107" s="54" t="s">
        <v>3459</v>
      </c>
      <c r="M107" s="54" t="s">
        <v>576</v>
      </c>
      <c r="N107" s="54">
        <v>23.4</v>
      </c>
      <c r="O107" s="54">
        <v>2.2000000000000002</v>
      </c>
      <c r="P107" s="54">
        <v>16.2</v>
      </c>
      <c r="Q107" s="54">
        <v>20.2</v>
      </c>
      <c r="R107" s="54" t="s">
        <v>576</v>
      </c>
      <c r="S107" s="54" t="s">
        <v>3495</v>
      </c>
      <c r="T107" s="54" t="s">
        <v>622</v>
      </c>
      <c r="U107" s="54" t="s">
        <v>3015</v>
      </c>
      <c r="V107" s="54">
        <v>50</v>
      </c>
      <c r="W107" s="54" t="s">
        <v>3451</v>
      </c>
      <c r="X107" s="57" t="s">
        <v>495</v>
      </c>
    </row>
    <row r="108" spans="1:24" ht="15" customHeight="1" x14ac:dyDescent="0.25">
      <c r="A108" s="54" t="s">
        <v>3705</v>
      </c>
      <c r="B108" s="54" t="s">
        <v>986</v>
      </c>
      <c r="C108" s="54" t="s">
        <v>3472</v>
      </c>
      <c r="D108" s="54" t="s">
        <v>3504</v>
      </c>
      <c r="E108" s="54" t="s">
        <v>3474</v>
      </c>
      <c r="F108" s="54" t="s">
        <v>3463</v>
      </c>
      <c r="G108" s="54">
        <v>44.6</v>
      </c>
      <c r="H108" s="54">
        <v>421149</v>
      </c>
      <c r="I108" s="54">
        <v>3.2475000000000001</v>
      </c>
      <c r="J108" s="54" t="s">
        <v>3706</v>
      </c>
      <c r="K108" s="54">
        <v>1.2</v>
      </c>
      <c r="L108" s="54" t="s">
        <v>3491</v>
      </c>
      <c r="M108" s="54" t="s">
        <v>587</v>
      </c>
      <c r="N108" s="54">
        <v>13.4</v>
      </c>
      <c r="O108" s="54">
        <v>77.900000000000006</v>
      </c>
      <c r="P108" s="54">
        <v>8.6999999999999993</v>
      </c>
      <c r="Q108" s="54">
        <v>9.6999999999999993</v>
      </c>
      <c r="R108" s="54" t="s">
        <v>576</v>
      </c>
      <c r="S108" s="54" t="s">
        <v>3476</v>
      </c>
      <c r="T108" s="54" t="s">
        <v>1676</v>
      </c>
      <c r="U108" s="54" t="s">
        <v>3450</v>
      </c>
      <c r="V108" s="54">
        <v>10</v>
      </c>
      <c r="W108" s="54" t="s">
        <v>3451</v>
      </c>
      <c r="X108" s="57" t="s">
        <v>495</v>
      </c>
    </row>
    <row r="109" spans="1:24" ht="15" customHeight="1" x14ac:dyDescent="0.25">
      <c r="A109" s="54" t="s">
        <v>3707</v>
      </c>
      <c r="B109" s="54" t="s">
        <v>3708</v>
      </c>
      <c r="C109" s="54" t="s">
        <v>1640</v>
      </c>
      <c r="D109" s="54" t="s">
        <v>3516</v>
      </c>
      <c r="E109" s="54" t="s">
        <v>3528</v>
      </c>
      <c r="F109" s="54" t="s">
        <v>3493</v>
      </c>
      <c r="G109" s="54">
        <v>8.1999999999999993</v>
      </c>
      <c r="H109" s="54">
        <v>372318</v>
      </c>
      <c r="I109" s="54">
        <v>0.26740000000000003</v>
      </c>
      <c r="J109" s="54" t="s">
        <v>3709</v>
      </c>
      <c r="K109" s="54">
        <v>3.8</v>
      </c>
      <c r="L109" s="54" t="s">
        <v>3491</v>
      </c>
      <c r="M109" s="54" t="s">
        <v>576</v>
      </c>
      <c r="N109" s="54">
        <v>41.3</v>
      </c>
      <c r="O109" s="54">
        <v>25.5</v>
      </c>
      <c r="P109" s="54">
        <v>3.8</v>
      </c>
      <c r="Q109" s="54">
        <v>57.7</v>
      </c>
      <c r="R109" s="54" t="s">
        <v>1684</v>
      </c>
      <c r="S109" s="54" t="s">
        <v>3470</v>
      </c>
      <c r="T109" s="54" t="s">
        <v>1640</v>
      </c>
      <c r="U109" s="54" t="s">
        <v>3450</v>
      </c>
      <c r="V109" s="54">
        <v>3</v>
      </c>
      <c r="W109" s="54" t="s">
        <v>3451</v>
      </c>
      <c r="X109" s="57" t="s">
        <v>495</v>
      </c>
    </row>
    <row r="110" spans="1:24" ht="15" customHeight="1" x14ac:dyDescent="0.25">
      <c r="A110" s="54" t="s">
        <v>3710</v>
      </c>
      <c r="B110" s="54" t="s">
        <v>2397</v>
      </c>
      <c r="C110" s="54" t="s">
        <v>1676</v>
      </c>
      <c r="D110" s="54" t="s">
        <v>3461</v>
      </c>
      <c r="E110" s="54" t="s">
        <v>3528</v>
      </c>
      <c r="F110" s="54" t="s">
        <v>3447</v>
      </c>
      <c r="G110" s="54">
        <v>11.2</v>
      </c>
      <c r="H110" s="54">
        <v>317874</v>
      </c>
      <c r="I110" s="54">
        <v>0.61260000000000003</v>
      </c>
      <c r="J110" s="54" t="s">
        <v>3711</v>
      </c>
      <c r="K110" s="54">
        <v>1.8</v>
      </c>
      <c r="L110" s="54" t="s">
        <v>3480</v>
      </c>
      <c r="M110" s="54" t="s">
        <v>576</v>
      </c>
      <c r="N110" s="54">
        <v>46.9</v>
      </c>
      <c r="O110" s="54">
        <v>22.6</v>
      </c>
      <c r="P110" s="54">
        <v>22.1</v>
      </c>
      <c r="Q110" s="54">
        <v>39</v>
      </c>
      <c r="R110" s="54" t="s">
        <v>576</v>
      </c>
      <c r="S110" s="54" t="s">
        <v>3449</v>
      </c>
      <c r="T110" s="54" t="s">
        <v>1676</v>
      </c>
      <c r="U110" s="54" t="s">
        <v>3015</v>
      </c>
      <c r="V110" s="54">
        <v>31</v>
      </c>
      <c r="W110" s="54" t="s">
        <v>1652</v>
      </c>
      <c r="X110" s="57" t="s">
        <v>495</v>
      </c>
    </row>
    <row r="111" spans="1:24" ht="15" customHeight="1" x14ac:dyDescent="0.25">
      <c r="A111" s="54" t="s">
        <v>3712</v>
      </c>
      <c r="B111" s="54" t="s">
        <v>2781</v>
      </c>
      <c r="C111" s="54" t="s">
        <v>622</v>
      </c>
      <c r="D111" s="54" t="s">
        <v>3504</v>
      </c>
      <c r="E111" s="54" t="s">
        <v>3462</v>
      </c>
      <c r="F111" s="54" t="s">
        <v>3463</v>
      </c>
      <c r="G111" s="54">
        <v>39.5</v>
      </c>
      <c r="H111" s="54">
        <v>331480</v>
      </c>
      <c r="I111" s="54">
        <v>1.2407999999999999</v>
      </c>
      <c r="J111" s="54" t="s">
        <v>3713</v>
      </c>
      <c r="K111" s="54">
        <v>9</v>
      </c>
      <c r="L111" s="54" t="s">
        <v>1684</v>
      </c>
      <c r="M111" s="54" t="s">
        <v>587</v>
      </c>
      <c r="N111" s="54">
        <v>34.299999999999997</v>
      </c>
      <c r="O111" s="54">
        <v>62.5</v>
      </c>
      <c r="P111" s="54">
        <v>18.2</v>
      </c>
      <c r="Q111" s="54">
        <v>6</v>
      </c>
      <c r="R111" s="54" t="s">
        <v>1684</v>
      </c>
      <c r="S111" s="54" t="s">
        <v>3495</v>
      </c>
      <c r="T111" s="54" t="s">
        <v>1676</v>
      </c>
      <c r="U111" s="54" t="s">
        <v>3015</v>
      </c>
      <c r="V111" s="54">
        <v>41</v>
      </c>
      <c r="W111" s="54" t="s">
        <v>3451</v>
      </c>
      <c r="X111" s="57" t="s">
        <v>495</v>
      </c>
    </row>
    <row r="112" spans="1:24" ht="15" customHeight="1" x14ac:dyDescent="0.25">
      <c r="A112" s="54" t="s">
        <v>3714</v>
      </c>
      <c r="B112" s="54" t="s">
        <v>1848</v>
      </c>
      <c r="C112" s="54" t="s">
        <v>1640</v>
      </c>
      <c r="D112" s="54" t="s">
        <v>3504</v>
      </c>
      <c r="E112" s="54" t="s">
        <v>3485</v>
      </c>
      <c r="F112" s="54" t="s">
        <v>3454</v>
      </c>
      <c r="G112" s="54">
        <v>27.7</v>
      </c>
      <c r="H112" s="54">
        <v>41391</v>
      </c>
      <c r="I112" s="54">
        <v>1.6459999999999999</v>
      </c>
      <c r="J112" s="54" t="s">
        <v>3715</v>
      </c>
      <c r="K112" s="54">
        <v>4.0999999999999996</v>
      </c>
      <c r="L112" s="54" t="s">
        <v>3480</v>
      </c>
      <c r="M112" s="54" t="s">
        <v>576</v>
      </c>
      <c r="N112" s="54">
        <v>35.5</v>
      </c>
      <c r="O112" s="54">
        <v>4.2</v>
      </c>
      <c r="P112" s="54">
        <v>22.2</v>
      </c>
      <c r="Q112" s="54">
        <v>45.5</v>
      </c>
      <c r="R112" s="54" t="s">
        <v>1684</v>
      </c>
      <c r="S112" s="54" t="s">
        <v>3465</v>
      </c>
      <c r="T112" s="54" t="s">
        <v>622</v>
      </c>
      <c r="U112" s="54" t="s">
        <v>3015</v>
      </c>
      <c r="V112" s="54">
        <v>0</v>
      </c>
      <c r="W112" s="54" t="s">
        <v>3451</v>
      </c>
      <c r="X112" s="57" t="s">
        <v>495</v>
      </c>
    </row>
    <row r="113" spans="1:24" ht="15" customHeight="1" x14ac:dyDescent="0.25">
      <c r="A113" s="54" t="s">
        <v>3716</v>
      </c>
      <c r="B113" s="54" t="s">
        <v>2920</v>
      </c>
      <c r="C113" s="54" t="s">
        <v>622</v>
      </c>
      <c r="D113" s="54" t="s">
        <v>3499</v>
      </c>
      <c r="E113" s="54" t="s">
        <v>3446</v>
      </c>
      <c r="F113" s="54" t="s">
        <v>3447</v>
      </c>
      <c r="G113" s="54">
        <v>7.4</v>
      </c>
      <c r="H113" s="54">
        <v>224740</v>
      </c>
      <c r="I113" s="54">
        <v>2.5451000000000001</v>
      </c>
      <c r="J113" s="54" t="s">
        <v>3717</v>
      </c>
      <c r="K113" s="54">
        <v>2</v>
      </c>
      <c r="L113" s="54" t="s">
        <v>3491</v>
      </c>
      <c r="M113" s="54" t="s">
        <v>576</v>
      </c>
      <c r="N113" s="54">
        <v>6.9</v>
      </c>
      <c r="O113" s="54">
        <v>21.9</v>
      </c>
      <c r="P113" s="54">
        <v>14.5</v>
      </c>
      <c r="Q113" s="54">
        <v>61.1</v>
      </c>
      <c r="R113" s="54" t="s">
        <v>1684</v>
      </c>
      <c r="S113" s="54" t="s">
        <v>3465</v>
      </c>
      <c r="T113" s="54" t="s">
        <v>1640</v>
      </c>
      <c r="U113" s="54" t="s">
        <v>3466</v>
      </c>
      <c r="V113" s="54">
        <v>31</v>
      </c>
      <c r="W113" s="54" t="s">
        <v>1652</v>
      </c>
      <c r="X113" s="57" t="s">
        <v>495</v>
      </c>
    </row>
    <row r="114" spans="1:24" ht="15" customHeight="1" x14ac:dyDescent="0.25">
      <c r="A114" s="54" t="s">
        <v>3718</v>
      </c>
      <c r="B114" s="54" t="s">
        <v>2897</v>
      </c>
      <c r="C114" s="54" t="s">
        <v>1640</v>
      </c>
      <c r="D114" s="54" t="s">
        <v>3468</v>
      </c>
      <c r="E114" s="54" t="s">
        <v>3446</v>
      </c>
      <c r="F114" s="54" t="s">
        <v>3463</v>
      </c>
      <c r="G114" s="54">
        <v>14</v>
      </c>
      <c r="H114" s="54">
        <v>453613</v>
      </c>
      <c r="I114" s="54">
        <v>1.1641999999999999</v>
      </c>
      <c r="J114" s="54" t="s">
        <v>3719</v>
      </c>
      <c r="K114" s="54">
        <v>2.6</v>
      </c>
      <c r="L114" s="54" t="s">
        <v>3480</v>
      </c>
      <c r="M114" s="54" t="s">
        <v>576</v>
      </c>
      <c r="N114" s="54">
        <v>33.799999999999997</v>
      </c>
      <c r="O114" s="54">
        <v>72.2</v>
      </c>
      <c r="P114" s="54">
        <v>9.1</v>
      </c>
      <c r="Q114" s="54">
        <v>29.4</v>
      </c>
      <c r="R114" s="54" t="s">
        <v>1684</v>
      </c>
      <c r="S114" s="54" t="s">
        <v>3476</v>
      </c>
      <c r="T114" s="54" t="s">
        <v>1676</v>
      </c>
      <c r="U114" s="54" t="s">
        <v>3450</v>
      </c>
      <c r="V114" s="54">
        <v>41</v>
      </c>
      <c r="W114" s="54" t="s">
        <v>3451</v>
      </c>
      <c r="X114" s="57" t="s">
        <v>495</v>
      </c>
    </row>
    <row r="115" spans="1:24" ht="15" customHeight="1" x14ac:dyDescent="0.25">
      <c r="A115" s="54" t="s">
        <v>3720</v>
      </c>
      <c r="B115" s="54" t="s">
        <v>1963</v>
      </c>
      <c r="C115" s="54" t="s">
        <v>3472</v>
      </c>
      <c r="D115" s="54" t="s">
        <v>3461</v>
      </c>
      <c r="E115" s="54" t="s">
        <v>3474</v>
      </c>
      <c r="F115" s="54" t="s">
        <v>3493</v>
      </c>
      <c r="G115" s="54">
        <v>70.7</v>
      </c>
      <c r="H115" s="54">
        <v>86075</v>
      </c>
      <c r="I115" s="54">
        <v>6.3380000000000001</v>
      </c>
      <c r="J115" s="54" t="s">
        <v>3721</v>
      </c>
      <c r="K115" s="54">
        <v>4.5</v>
      </c>
      <c r="L115" s="54" t="s">
        <v>3459</v>
      </c>
      <c r="M115" s="54" t="s">
        <v>587</v>
      </c>
      <c r="N115" s="54">
        <v>30.3</v>
      </c>
      <c r="O115" s="54">
        <v>76.8</v>
      </c>
      <c r="P115" s="54">
        <v>13.5</v>
      </c>
      <c r="Q115" s="54">
        <v>68.099999999999994</v>
      </c>
      <c r="R115" s="54" t="s">
        <v>587</v>
      </c>
      <c r="S115" s="54" t="s">
        <v>3465</v>
      </c>
      <c r="T115" s="54" t="s">
        <v>622</v>
      </c>
      <c r="U115" s="54" t="s">
        <v>3466</v>
      </c>
      <c r="V115" s="54">
        <v>1</v>
      </c>
      <c r="W115" s="54" t="s">
        <v>3451</v>
      </c>
      <c r="X115" s="57" t="s">
        <v>495</v>
      </c>
    </row>
    <row r="116" spans="1:24" ht="15" customHeight="1" x14ac:dyDescent="0.25">
      <c r="A116" s="54" t="s">
        <v>3722</v>
      </c>
      <c r="B116" s="54" t="s">
        <v>2300</v>
      </c>
      <c r="C116" s="54" t="s">
        <v>622</v>
      </c>
      <c r="D116" s="54" t="s">
        <v>3468</v>
      </c>
      <c r="E116" s="54" t="s">
        <v>3528</v>
      </c>
      <c r="F116" s="54" t="s">
        <v>3447</v>
      </c>
      <c r="G116" s="54">
        <v>31.7</v>
      </c>
      <c r="H116" s="54">
        <v>304072</v>
      </c>
      <c r="I116" s="54">
        <v>1.2972999999999999</v>
      </c>
      <c r="J116" s="54" t="s">
        <v>3723</v>
      </c>
      <c r="K116" s="54">
        <v>7.3</v>
      </c>
      <c r="L116" s="54" t="s">
        <v>1684</v>
      </c>
      <c r="M116" s="54" t="s">
        <v>576</v>
      </c>
      <c r="N116" s="54">
        <v>16.399999999999999</v>
      </c>
      <c r="O116" s="54">
        <v>74.099999999999994</v>
      </c>
      <c r="P116" s="54">
        <v>20.2</v>
      </c>
      <c r="Q116" s="54">
        <v>71.8</v>
      </c>
      <c r="R116" s="54" t="s">
        <v>576</v>
      </c>
      <c r="S116" s="54" t="s">
        <v>3465</v>
      </c>
      <c r="T116" s="54" t="s">
        <v>1676</v>
      </c>
      <c r="U116" s="54" t="s">
        <v>3450</v>
      </c>
      <c r="V116" s="54">
        <v>30</v>
      </c>
      <c r="W116" s="54" t="s">
        <v>1652</v>
      </c>
      <c r="X116" s="57" t="s">
        <v>495</v>
      </c>
    </row>
    <row r="117" spans="1:24" ht="15" customHeight="1" x14ac:dyDescent="0.25">
      <c r="A117" s="54" t="s">
        <v>3724</v>
      </c>
      <c r="B117" s="54" t="s">
        <v>1362</v>
      </c>
      <c r="C117" s="54" t="s">
        <v>1640</v>
      </c>
      <c r="D117" s="54" t="s">
        <v>3499</v>
      </c>
      <c r="E117" s="54" t="s">
        <v>3556</v>
      </c>
      <c r="F117" s="54" t="s">
        <v>3454</v>
      </c>
      <c r="G117" s="54">
        <v>26.9</v>
      </c>
      <c r="H117" s="54">
        <v>445876</v>
      </c>
      <c r="I117" s="54">
        <v>0.56000000000000005</v>
      </c>
      <c r="J117" s="54" t="s">
        <v>3725</v>
      </c>
      <c r="K117" s="54">
        <v>6.6</v>
      </c>
      <c r="L117" s="54" t="s">
        <v>1684</v>
      </c>
      <c r="M117" s="54" t="s">
        <v>576</v>
      </c>
      <c r="N117" s="54">
        <v>14.8</v>
      </c>
      <c r="O117" s="54">
        <v>85.8</v>
      </c>
      <c r="P117" s="54">
        <v>12.3</v>
      </c>
      <c r="Q117" s="54">
        <v>19.2</v>
      </c>
      <c r="R117" s="54" t="s">
        <v>576</v>
      </c>
      <c r="S117" s="54" t="s">
        <v>3495</v>
      </c>
      <c r="T117" s="54" t="s">
        <v>1676</v>
      </c>
      <c r="U117" s="54" t="s">
        <v>3015</v>
      </c>
      <c r="V117" s="54">
        <v>27</v>
      </c>
      <c r="W117" s="54" t="s">
        <v>1652</v>
      </c>
      <c r="X117" s="57" t="s">
        <v>495</v>
      </c>
    </row>
    <row r="118" spans="1:24" ht="15" customHeight="1" x14ac:dyDescent="0.25">
      <c r="A118" s="54" t="s">
        <v>3726</v>
      </c>
      <c r="B118" s="54" t="s">
        <v>3660</v>
      </c>
      <c r="C118" s="54" t="s">
        <v>1640</v>
      </c>
      <c r="D118" s="54" t="s">
        <v>3461</v>
      </c>
      <c r="E118" s="54" t="s">
        <v>3586</v>
      </c>
      <c r="F118" s="54" t="s">
        <v>3493</v>
      </c>
      <c r="G118" s="54">
        <v>3.9</v>
      </c>
      <c r="H118" s="54">
        <v>198686</v>
      </c>
      <c r="I118" s="54">
        <v>2.2967</v>
      </c>
      <c r="J118" s="54" t="s">
        <v>3727</v>
      </c>
      <c r="K118" s="54">
        <v>7.9</v>
      </c>
      <c r="L118" s="54" t="s">
        <v>3491</v>
      </c>
      <c r="M118" s="54" t="s">
        <v>587</v>
      </c>
      <c r="N118" s="54">
        <v>20.5</v>
      </c>
      <c r="O118" s="54">
        <v>79.8</v>
      </c>
      <c r="P118" s="54">
        <v>5.9</v>
      </c>
      <c r="Q118" s="54">
        <v>69.7</v>
      </c>
      <c r="R118" s="54" t="s">
        <v>1684</v>
      </c>
      <c r="S118" s="54" t="s">
        <v>3495</v>
      </c>
      <c r="T118" s="54" t="s">
        <v>1676</v>
      </c>
      <c r="U118" s="54" t="s">
        <v>3466</v>
      </c>
      <c r="V118" s="54">
        <v>35</v>
      </c>
      <c r="W118" s="54" t="s">
        <v>1652</v>
      </c>
      <c r="X118" s="57" t="s">
        <v>495</v>
      </c>
    </row>
    <row r="119" spans="1:24" ht="15" customHeight="1" x14ac:dyDescent="0.25">
      <c r="A119" s="54" t="s">
        <v>3728</v>
      </c>
      <c r="B119" s="54" t="s">
        <v>1328</v>
      </c>
      <c r="C119" s="54" t="s">
        <v>1676</v>
      </c>
      <c r="D119" s="54" t="s">
        <v>3499</v>
      </c>
      <c r="E119" s="54" t="s">
        <v>3528</v>
      </c>
      <c r="F119" s="54" t="s">
        <v>3454</v>
      </c>
      <c r="G119" s="54">
        <v>18.3</v>
      </c>
      <c r="H119" s="54">
        <v>404024</v>
      </c>
      <c r="I119" s="54">
        <v>0.4496</v>
      </c>
      <c r="J119" s="54" t="s">
        <v>3729</v>
      </c>
      <c r="K119" s="54">
        <v>5.6</v>
      </c>
      <c r="L119" s="54" t="s">
        <v>3491</v>
      </c>
      <c r="M119" s="54" t="s">
        <v>576</v>
      </c>
      <c r="N119" s="54">
        <v>16.3</v>
      </c>
      <c r="O119" s="54">
        <v>26.2</v>
      </c>
      <c r="P119" s="54">
        <v>8.4</v>
      </c>
      <c r="Q119" s="54">
        <v>60.1</v>
      </c>
      <c r="R119" s="54" t="s">
        <v>576</v>
      </c>
      <c r="S119" s="54" t="s">
        <v>3449</v>
      </c>
      <c r="T119" s="54" t="s">
        <v>622</v>
      </c>
      <c r="U119" s="54" t="s">
        <v>3450</v>
      </c>
      <c r="V119" s="54">
        <v>28</v>
      </c>
      <c r="W119" s="54" t="s">
        <v>3451</v>
      </c>
      <c r="X119" s="57" t="s">
        <v>495</v>
      </c>
    </row>
    <row r="120" spans="1:24" ht="15" customHeight="1" x14ac:dyDescent="0.25">
      <c r="A120" s="54" t="s">
        <v>3730</v>
      </c>
      <c r="B120" s="54" t="s">
        <v>3731</v>
      </c>
      <c r="C120" s="54" t="s">
        <v>622</v>
      </c>
      <c r="D120" s="54" t="s">
        <v>3473</v>
      </c>
      <c r="E120" s="54" t="s">
        <v>3446</v>
      </c>
      <c r="F120" s="54" t="s">
        <v>3454</v>
      </c>
      <c r="G120" s="54">
        <v>38.700000000000003</v>
      </c>
      <c r="H120" s="54">
        <v>52622</v>
      </c>
      <c r="I120" s="54">
        <v>2.8906000000000001</v>
      </c>
      <c r="J120" s="54" t="s">
        <v>3732</v>
      </c>
      <c r="K120" s="54">
        <v>3.3</v>
      </c>
      <c r="L120" s="54" t="s">
        <v>3491</v>
      </c>
      <c r="M120" s="54" t="s">
        <v>576</v>
      </c>
      <c r="N120" s="54">
        <v>38.200000000000003</v>
      </c>
      <c r="O120" s="54">
        <v>81.599999999999994</v>
      </c>
      <c r="P120" s="54">
        <v>11.4</v>
      </c>
      <c r="Q120" s="54">
        <v>19.7</v>
      </c>
      <c r="R120" s="54" t="s">
        <v>587</v>
      </c>
      <c r="S120" s="54" t="s">
        <v>3476</v>
      </c>
      <c r="T120" s="54" t="s">
        <v>1676</v>
      </c>
      <c r="U120" s="54" t="s">
        <v>3466</v>
      </c>
      <c r="V120" s="54">
        <v>50</v>
      </c>
      <c r="W120" s="54" t="s">
        <v>3451</v>
      </c>
      <c r="X120" s="57" t="s">
        <v>495</v>
      </c>
    </row>
    <row r="121" spans="1:24" ht="15" customHeight="1" x14ac:dyDescent="0.25">
      <c r="A121" s="54" t="s">
        <v>3733</v>
      </c>
      <c r="B121" s="54" t="s">
        <v>1866</v>
      </c>
      <c r="C121" s="54" t="s">
        <v>622</v>
      </c>
      <c r="D121" s="54" t="s">
        <v>3468</v>
      </c>
      <c r="E121" s="54" t="s">
        <v>3478</v>
      </c>
      <c r="F121" s="54" t="s">
        <v>3447</v>
      </c>
      <c r="G121" s="54">
        <v>39.1</v>
      </c>
      <c r="H121" s="54">
        <v>20230</v>
      </c>
      <c r="I121" s="54">
        <v>2.7679999999999998</v>
      </c>
      <c r="J121" s="54" t="s">
        <v>3734</v>
      </c>
      <c r="K121" s="54">
        <v>5</v>
      </c>
      <c r="L121" s="54" t="s">
        <v>3459</v>
      </c>
      <c r="M121" s="54" t="s">
        <v>587</v>
      </c>
      <c r="N121" s="54">
        <v>10.6</v>
      </c>
      <c r="O121" s="54">
        <v>83</v>
      </c>
      <c r="P121" s="54">
        <v>11.4</v>
      </c>
      <c r="Q121" s="54">
        <v>30.2</v>
      </c>
      <c r="R121" s="54" t="s">
        <v>587</v>
      </c>
      <c r="S121" s="54" t="s">
        <v>3512</v>
      </c>
      <c r="T121" s="54" t="s">
        <v>1640</v>
      </c>
      <c r="U121" s="54" t="s">
        <v>3015</v>
      </c>
      <c r="V121" s="54">
        <v>41</v>
      </c>
      <c r="W121" s="54" t="s">
        <v>3451</v>
      </c>
      <c r="X121" s="57" t="s">
        <v>495</v>
      </c>
    </row>
    <row r="122" spans="1:24" ht="15" customHeight="1" x14ac:dyDescent="0.25">
      <c r="A122" s="54" t="s">
        <v>3735</v>
      </c>
      <c r="B122" s="54" t="s">
        <v>1396</v>
      </c>
      <c r="C122" s="54" t="s">
        <v>622</v>
      </c>
      <c r="D122" s="54" t="s">
        <v>3499</v>
      </c>
      <c r="E122" s="54" t="s">
        <v>3446</v>
      </c>
      <c r="F122" s="54" t="s">
        <v>3463</v>
      </c>
      <c r="G122" s="54">
        <v>25.4</v>
      </c>
      <c r="H122" s="54">
        <v>120679</v>
      </c>
      <c r="I122" s="54">
        <v>2.089</v>
      </c>
      <c r="J122" s="54" t="s">
        <v>3736</v>
      </c>
      <c r="K122" s="54">
        <v>8</v>
      </c>
      <c r="L122" s="54" t="s">
        <v>3491</v>
      </c>
      <c r="M122" s="54" t="s">
        <v>587</v>
      </c>
      <c r="N122" s="54">
        <v>41.2</v>
      </c>
      <c r="O122" s="54">
        <v>84.4</v>
      </c>
      <c r="P122" s="54">
        <v>12.3</v>
      </c>
      <c r="Q122" s="54">
        <v>27.3</v>
      </c>
      <c r="R122" s="54" t="s">
        <v>587</v>
      </c>
      <c r="S122" s="54" t="s">
        <v>3512</v>
      </c>
      <c r="T122" s="54" t="s">
        <v>1676</v>
      </c>
      <c r="U122" s="54" t="s">
        <v>3466</v>
      </c>
      <c r="V122" s="54">
        <v>3</v>
      </c>
      <c r="W122" s="54" t="s">
        <v>3451</v>
      </c>
      <c r="X122" s="57" t="s">
        <v>495</v>
      </c>
    </row>
    <row r="123" spans="1:24" ht="15" customHeight="1" x14ac:dyDescent="0.25">
      <c r="A123" s="54" t="s">
        <v>3737</v>
      </c>
      <c r="B123" s="54" t="s">
        <v>2187</v>
      </c>
      <c r="C123" s="54" t="s">
        <v>1640</v>
      </c>
      <c r="D123" s="54" t="s">
        <v>3516</v>
      </c>
      <c r="E123" s="54" t="s">
        <v>3462</v>
      </c>
      <c r="F123" s="54" t="s">
        <v>3447</v>
      </c>
      <c r="G123" s="54">
        <v>29.5</v>
      </c>
      <c r="H123" s="54">
        <v>98484</v>
      </c>
      <c r="I123" s="54">
        <v>2.2551000000000001</v>
      </c>
      <c r="J123" s="54" t="s">
        <v>3738</v>
      </c>
      <c r="K123" s="54">
        <v>8.5</v>
      </c>
      <c r="L123" s="54" t="s">
        <v>3459</v>
      </c>
      <c r="M123" s="54" t="s">
        <v>587</v>
      </c>
      <c r="N123" s="54">
        <v>21.1</v>
      </c>
      <c r="O123" s="54">
        <v>26.6</v>
      </c>
      <c r="P123" s="54">
        <v>0.7</v>
      </c>
      <c r="Q123" s="54">
        <v>52.9</v>
      </c>
      <c r="R123" s="54" t="s">
        <v>587</v>
      </c>
      <c r="S123" s="54" t="s">
        <v>3512</v>
      </c>
      <c r="T123" s="54" t="s">
        <v>1676</v>
      </c>
      <c r="U123" s="54" t="s">
        <v>3450</v>
      </c>
      <c r="V123" s="54">
        <v>30</v>
      </c>
      <c r="W123" s="54" t="s">
        <v>1652</v>
      </c>
      <c r="X123" s="57" t="s">
        <v>495</v>
      </c>
    </row>
    <row r="124" spans="1:24" ht="15" customHeight="1" x14ac:dyDescent="0.25">
      <c r="A124" s="54" t="s">
        <v>3739</v>
      </c>
      <c r="B124" s="54" t="s">
        <v>1194</v>
      </c>
      <c r="C124" s="54" t="s">
        <v>3472</v>
      </c>
      <c r="D124" s="54" t="s">
        <v>3461</v>
      </c>
      <c r="E124" s="54" t="s">
        <v>3556</v>
      </c>
      <c r="F124" s="54" t="s">
        <v>3447</v>
      </c>
      <c r="G124" s="54">
        <v>40.700000000000003</v>
      </c>
      <c r="H124" s="54">
        <v>188765</v>
      </c>
      <c r="I124" s="54">
        <v>5.1123000000000003</v>
      </c>
      <c r="J124" s="54" t="s">
        <v>3740</v>
      </c>
      <c r="K124" s="54">
        <v>3</v>
      </c>
      <c r="L124" s="54" t="s">
        <v>3491</v>
      </c>
      <c r="M124" s="54" t="s">
        <v>587</v>
      </c>
      <c r="N124" s="54">
        <v>30.6</v>
      </c>
      <c r="O124" s="54">
        <v>41.8</v>
      </c>
      <c r="P124" s="54">
        <v>16.3</v>
      </c>
      <c r="Q124" s="54">
        <v>4.4000000000000004</v>
      </c>
      <c r="R124" s="54" t="s">
        <v>587</v>
      </c>
      <c r="S124" s="54" t="s">
        <v>3470</v>
      </c>
      <c r="T124" s="54" t="s">
        <v>622</v>
      </c>
      <c r="U124" s="54" t="s">
        <v>3466</v>
      </c>
      <c r="V124" s="54">
        <v>37</v>
      </c>
      <c r="W124" s="54" t="s">
        <v>3451</v>
      </c>
      <c r="X124" s="57" t="s">
        <v>495</v>
      </c>
    </row>
    <row r="125" spans="1:24" ht="15" customHeight="1" x14ac:dyDescent="0.25">
      <c r="A125" s="54" t="s">
        <v>3741</v>
      </c>
      <c r="B125" s="54" t="s">
        <v>1006</v>
      </c>
      <c r="C125" s="54" t="s">
        <v>1676</v>
      </c>
      <c r="D125" s="54" t="s">
        <v>3468</v>
      </c>
      <c r="E125" s="54" t="s">
        <v>3485</v>
      </c>
      <c r="F125" s="54" t="s">
        <v>3493</v>
      </c>
      <c r="G125" s="54">
        <v>5.6</v>
      </c>
      <c r="H125" s="54">
        <v>14316</v>
      </c>
      <c r="I125" s="54">
        <v>0.3795</v>
      </c>
      <c r="J125" s="54" t="s">
        <v>3742</v>
      </c>
      <c r="K125" s="54">
        <v>9.5</v>
      </c>
      <c r="L125" s="54" t="s">
        <v>1684</v>
      </c>
      <c r="M125" s="54" t="s">
        <v>587</v>
      </c>
      <c r="N125" s="54">
        <v>10.4</v>
      </c>
      <c r="O125" s="54">
        <v>43</v>
      </c>
      <c r="P125" s="54">
        <v>2.5</v>
      </c>
      <c r="Q125" s="54">
        <v>72.599999999999994</v>
      </c>
      <c r="R125" s="54" t="s">
        <v>1684</v>
      </c>
      <c r="S125" s="54" t="s">
        <v>3465</v>
      </c>
      <c r="T125" s="54" t="s">
        <v>1640</v>
      </c>
      <c r="U125" s="54" t="s">
        <v>3466</v>
      </c>
      <c r="V125" s="54">
        <v>49</v>
      </c>
      <c r="W125" s="54" t="s">
        <v>1652</v>
      </c>
      <c r="X125" s="57" t="s">
        <v>495</v>
      </c>
    </row>
    <row r="126" spans="1:24" ht="15" customHeight="1" x14ac:dyDescent="0.25">
      <c r="A126" s="54" t="s">
        <v>3743</v>
      </c>
      <c r="B126" s="54" t="s">
        <v>1914</v>
      </c>
      <c r="C126" s="54" t="s">
        <v>1640</v>
      </c>
      <c r="D126" s="54" t="s">
        <v>3468</v>
      </c>
      <c r="E126" s="54" t="s">
        <v>3462</v>
      </c>
      <c r="F126" s="54" t="s">
        <v>3447</v>
      </c>
      <c r="G126" s="54">
        <v>2.7</v>
      </c>
      <c r="H126" s="54">
        <v>313149</v>
      </c>
      <c r="I126" s="54">
        <v>1.2895000000000001</v>
      </c>
      <c r="J126" s="54" t="s">
        <v>3744</v>
      </c>
      <c r="K126" s="54">
        <v>7.4</v>
      </c>
      <c r="L126" s="54" t="s">
        <v>3480</v>
      </c>
      <c r="M126" s="54" t="s">
        <v>587</v>
      </c>
      <c r="N126" s="54">
        <v>8.4</v>
      </c>
      <c r="O126" s="54">
        <v>85.4</v>
      </c>
      <c r="P126" s="54">
        <v>14.3</v>
      </c>
      <c r="Q126" s="54">
        <v>69.3</v>
      </c>
      <c r="R126" s="54" t="s">
        <v>576</v>
      </c>
      <c r="S126" s="54" t="s">
        <v>3470</v>
      </c>
      <c r="T126" s="54" t="s">
        <v>1640</v>
      </c>
      <c r="U126" s="54" t="s">
        <v>3450</v>
      </c>
      <c r="V126" s="54">
        <v>11</v>
      </c>
      <c r="W126" s="54" t="s">
        <v>3451</v>
      </c>
      <c r="X126" s="57" t="s">
        <v>495</v>
      </c>
    </row>
    <row r="127" spans="1:24" ht="15" customHeight="1" x14ac:dyDescent="0.25">
      <c r="A127" s="54" t="s">
        <v>3745</v>
      </c>
      <c r="B127" s="54" t="s">
        <v>2666</v>
      </c>
      <c r="C127" s="54" t="s">
        <v>3472</v>
      </c>
      <c r="D127" s="54" t="s">
        <v>3473</v>
      </c>
      <c r="E127" s="54" t="s">
        <v>161</v>
      </c>
      <c r="F127" s="54" t="s">
        <v>3493</v>
      </c>
      <c r="G127" s="54">
        <v>18.5</v>
      </c>
      <c r="H127" s="54">
        <v>92981</v>
      </c>
      <c r="I127" s="54">
        <v>5.1776999999999997</v>
      </c>
      <c r="J127" s="54" t="s">
        <v>3746</v>
      </c>
      <c r="K127" s="54">
        <v>5.3</v>
      </c>
      <c r="L127" s="54" t="s">
        <v>3459</v>
      </c>
      <c r="M127" s="54" t="s">
        <v>576</v>
      </c>
      <c r="N127" s="54">
        <v>41.9</v>
      </c>
      <c r="O127" s="54">
        <v>83.4</v>
      </c>
      <c r="P127" s="54">
        <v>15.8</v>
      </c>
      <c r="Q127" s="54">
        <v>40.200000000000003</v>
      </c>
      <c r="R127" s="54" t="s">
        <v>1684</v>
      </c>
      <c r="S127" s="54" t="s">
        <v>3476</v>
      </c>
      <c r="T127" s="54" t="s">
        <v>1640</v>
      </c>
      <c r="U127" s="54" t="s">
        <v>3450</v>
      </c>
      <c r="V127" s="54">
        <v>27</v>
      </c>
      <c r="W127" s="54" t="s">
        <v>3451</v>
      </c>
      <c r="X127" s="57" t="s">
        <v>495</v>
      </c>
    </row>
    <row r="128" spans="1:24" ht="15" customHeight="1" x14ac:dyDescent="0.25">
      <c r="A128" s="54" t="s">
        <v>3747</v>
      </c>
      <c r="B128" s="54" t="s">
        <v>3748</v>
      </c>
      <c r="C128" s="54" t="s">
        <v>622</v>
      </c>
      <c r="D128" s="54" t="s">
        <v>3473</v>
      </c>
      <c r="E128" s="54" t="s">
        <v>3556</v>
      </c>
      <c r="F128" s="54" t="s">
        <v>3454</v>
      </c>
      <c r="G128" s="54">
        <v>7.5</v>
      </c>
      <c r="H128" s="54">
        <v>290662</v>
      </c>
      <c r="I128" s="54">
        <v>1.9265000000000001</v>
      </c>
      <c r="J128" s="54" t="s">
        <v>3749</v>
      </c>
      <c r="K128" s="54">
        <v>1.3</v>
      </c>
      <c r="L128" s="54" t="s">
        <v>1684</v>
      </c>
      <c r="M128" s="54" t="s">
        <v>576</v>
      </c>
      <c r="N128" s="54">
        <v>41.9</v>
      </c>
      <c r="O128" s="54">
        <v>95.6</v>
      </c>
      <c r="P128" s="54">
        <v>0.7</v>
      </c>
      <c r="Q128" s="54">
        <v>47.6</v>
      </c>
      <c r="R128" s="54" t="s">
        <v>576</v>
      </c>
      <c r="S128" s="54" t="s">
        <v>3449</v>
      </c>
      <c r="T128" s="54" t="s">
        <v>1676</v>
      </c>
      <c r="U128" s="54" t="s">
        <v>3450</v>
      </c>
      <c r="V128" s="54">
        <v>47</v>
      </c>
      <c r="W128" s="54" t="s">
        <v>3451</v>
      </c>
      <c r="X128" s="57" t="s">
        <v>495</v>
      </c>
    </row>
    <row r="129" spans="1:24" ht="15" customHeight="1" x14ac:dyDescent="0.25">
      <c r="A129" s="54" t="s">
        <v>3750</v>
      </c>
      <c r="B129" s="54" t="s">
        <v>1905</v>
      </c>
      <c r="C129" s="54" t="s">
        <v>622</v>
      </c>
      <c r="D129" s="54" t="s">
        <v>3499</v>
      </c>
      <c r="E129" s="54" t="s">
        <v>3528</v>
      </c>
      <c r="F129" s="54" t="s">
        <v>3454</v>
      </c>
      <c r="G129" s="54">
        <v>10.9</v>
      </c>
      <c r="H129" s="54">
        <v>260761</v>
      </c>
      <c r="I129" s="54">
        <v>2.4695999999999998</v>
      </c>
      <c r="J129" s="54" t="s">
        <v>3751</v>
      </c>
      <c r="K129" s="54">
        <v>1.5</v>
      </c>
      <c r="L129" s="54" t="s">
        <v>3459</v>
      </c>
      <c r="M129" s="54" t="s">
        <v>576</v>
      </c>
      <c r="N129" s="54">
        <v>22.8</v>
      </c>
      <c r="O129" s="54">
        <v>88.6</v>
      </c>
      <c r="P129" s="54">
        <v>18.3</v>
      </c>
      <c r="Q129" s="54">
        <v>73.900000000000006</v>
      </c>
      <c r="R129" s="54" t="s">
        <v>576</v>
      </c>
      <c r="S129" s="54" t="s">
        <v>3465</v>
      </c>
      <c r="T129" s="54" t="s">
        <v>1676</v>
      </c>
      <c r="U129" s="54" t="s">
        <v>3466</v>
      </c>
      <c r="V129" s="54">
        <v>49</v>
      </c>
      <c r="W129" s="54" t="s">
        <v>1652</v>
      </c>
      <c r="X129" s="57" t="s">
        <v>495</v>
      </c>
    </row>
    <row r="130" spans="1:24" ht="15" customHeight="1" x14ac:dyDescent="0.25">
      <c r="A130" s="54" t="s">
        <v>3752</v>
      </c>
      <c r="B130" s="54" t="s">
        <v>1417</v>
      </c>
      <c r="C130" s="54" t="s">
        <v>622</v>
      </c>
      <c r="D130" s="54" t="s">
        <v>3499</v>
      </c>
      <c r="E130" s="54" t="s">
        <v>3478</v>
      </c>
      <c r="F130" s="54" t="s">
        <v>3493</v>
      </c>
      <c r="G130" s="54">
        <v>12</v>
      </c>
      <c r="H130" s="54">
        <v>241563</v>
      </c>
      <c r="I130" s="54">
        <v>2.5356999999999998</v>
      </c>
      <c r="J130" s="54" t="s">
        <v>3753</v>
      </c>
      <c r="K130" s="54">
        <v>9.3000000000000007</v>
      </c>
      <c r="L130" s="54" t="s">
        <v>3491</v>
      </c>
      <c r="M130" s="54" t="s">
        <v>576</v>
      </c>
      <c r="N130" s="54">
        <v>42.7</v>
      </c>
      <c r="O130" s="54">
        <v>86.6</v>
      </c>
      <c r="P130" s="54">
        <v>10.9</v>
      </c>
      <c r="Q130" s="54">
        <v>45.9</v>
      </c>
      <c r="R130" s="54" t="s">
        <v>587</v>
      </c>
      <c r="S130" s="54" t="s">
        <v>3465</v>
      </c>
      <c r="T130" s="54" t="s">
        <v>1676</v>
      </c>
      <c r="U130" s="54" t="s">
        <v>3015</v>
      </c>
      <c r="V130" s="54">
        <v>0</v>
      </c>
      <c r="W130" s="54" t="s">
        <v>3451</v>
      </c>
      <c r="X130" s="57" t="s">
        <v>495</v>
      </c>
    </row>
    <row r="131" spans="1:24" ht="15" customHeight="1" x14ac:dyDescent="0.25">
      <c r="A131" s="54" t="s">
        <v>3754</v>
      </c>
      <c r="B131" s="54" t="s">
        <v>2187</v>
      </c>
      <c r="C131" s="54" t="s">
        <v>1676</v>
      </c>
      <c r="D131" s="54" t="s">
        <v>3482</v>
      </c>
      <c r="E131" s="54" t="s">
        <v>3485</v>
      </c>
      <c r="F131" s="54" t="s">
        <v>3454</v>
      </c>
      <c r="G131" s="54">
        <v>1.7</v>
      </c>
      <c r="H131" s="54">
        <v>323847</v>
      </c>
      <c r="I131" s="54">
        <v>0.88690000000000002</v>
      </c>
      <c r="J131" s="54" t="s">
        <v>3755</v>
      </c>
      <c r="K131" s="54">
        <v>2</v>
      </c>
      <c r="L131" s="54" t="s">
        <v>1684</v>
      </c>
      <c r="M131" s="54" t="s">
        <v>576</v>
      </c>
      <c r="N131" s="54">
        <v>6.8</v>
      </c>
      <c r="O131" s="54">
        <v>70.7</v>
      </c>
      <c r="P131" s="54">
        <v>23.8</v>
      </c>
      <c r="Q131" s="54">
        <v>40.5</v>
      </c>
      <c r="R131" s="54" t="s">
        <v>1684</v>
      </c>
      <c r="S131" s="54" t="s">
        <v>3476</v>
      </c>
      <c r="T131" s="54" t="s">
        <v>1676</v>
      </c>
      <c r="U131" s="54" t="s">
        <v>3015</v>
      </c>
      <c r="V131" s="54">
        <v>7</v>
      </c>
      <c r="W131" s="54" t="s">
        <v>3451</v>
      </c>
      <c r="X131" s="57" t="s">
        <v>495</v>
      </c>
    </row>
    <row r="132" spans="1:24" ht="15" customHeight="1" x14ac:dyDescent="0.25">
      <c r="A132" s="54" t="s">
        <v>3756</v>
      </c>
      <c r="B132" s="54" t="s">
        <v>1364</v>
      </c>
      <c r="C132" s="54" t="s">
        <v>1640</v>
      </c>
      <c r="D132" s="54" t="s">
        <v>3499</v>
      </c>
      <c r="E132" s="54" t="s">
        <v>3478</v>
      </c>
      <c r="F132" s="54" t="s">
        <v>3447</v>
      </c>
      <c r="G132" s="54">
        <v>2.7</v>
      </c>
      <c r="H132" s="54">
        <v>377714</v>
      </c>
      <c r="I132" s="54">
        <v>2.11</v>
      </c>
      <c r="J132" s="54" t="s">
        <v>3757</v>
      </c>
      <c r="K132" s="54">
        <v>4.5999999999999996</v>
      </c>
      <c r="L132" s="54" t="s">
        <v>3480</v>
      </c>
      <c r="M132" s="54" t="s">
        <v>576</v>
      </c>
      <c r="N132" s="54">
        <v>23</v>
      </c>
      <c r="O132" s="54">
        <v>18.3</v>
      </c>
      <c r="P132" s="54">
        <v>15.6</v>
      </c>
      <c r="Q132" s="54">
        <v>29.8</v>
      </c>
      <c r="R132" s="54" t="s">
        <v>576</v>
      </c>
      <c r="S132" s="54" t="s">
        <v>3470</v>
      </c>
      <c r="T132" s="54" t="s">
        <v>1640</v>
      </c>
      <c r="U132" s="54" t="s">
        <v>3466</v>
      </c>
      <c r="V132" s="54">
        <v>39</v>
      </c>
      <c r="W132" s="54" t="s">
        <v>3451</v>
      </c>
      <c r="X132" s="57" t="s">
        <v>495</v>
      </c>
    </row>
    <row r="133" spans="1:24" ht="15" customHeight="1" x14ac:dyDescent="0.25">
      <c r="A133" s="54" t="s">
        <v>3758</v>
      </c>
      <c r="B133" s="54" t="s">
        <v>3759</v>
      </c>
      <c r="C133" s="54" t="s">
        <v>1640</v>
      </c>
      <c r="D133" s="54" t="s">
        <v>3499</v>
      </c>
      <c r="E133" s="54" t="s">
        <v>3556</v>
      </c>
      <c r="F133" s="54" t="s">
        <v>3447</v>
      </c>
      <c r="G133" s="54">
        <v>9.6999999999999993</v>
      </c>
      <c r="H133" s="54">
        <v>393263</v>
      </c>
      <c r="I133" s="54">
        <v>0.2064</v>
      </c>
      <c r="J133" s="54" t="s">
        <v>3760</v>
      </c>
      <c r="K133" s="54">
        <v>7.8</v>
      </c>
      <c r="L133" s="54" t="s">
        <v>3459</v>
      </c>
      <c r="M133" s="54" t="s">
        <v>576</v>
      </c>
      <c r="N133" s="54">
        <v>2.7</v>
      </c>
      <c r="O133" s="54">
        <v>3</v>
      </c>
      <c r="P133" s="54">
        <v>17.3</v>
      </c>
      <c r="Q133" s="54">
        <v>10.1</v>
      </c>
      <c r="R133" s="54" t="s">
        <v>576</v>
      </c>
      <c r="S133" s="54" t="s">
        <v>3470</v>
      </c>
      <c r="T133" s="54" t="s">
        <v>1676</v>
      </c>
      <c r="U133" s="54" t="s">
        <v>3450</v>
      </c>
      <c r="V133" s="54">
        <v>11</v>
      </c>
      <c r="W133" s="54" t="s">
        <v>1652</v>
      </c>
      <c r="X133" s="57" t="s">
        <v>495</v>
      </c>
    </row>
    <row r="134" spans="1:24" ht="15" customHeight="1" x14ac:dyDescent="0.25">
      <c r="A134" s="54" t="s">
        <v>3761</v>
      </c>
      <c r="B134" s="54" t="s">
        <v>1379</v>
      </c>
      <c r="C134" s="54" t="s">
        <v>622</v>
      </c>
      <c r="D134" s="54" t="s">
        <v>3516</v>
      </c>
      <c r="E134" s="54" t="s">
        <v>3446</v>
      </c>
      <c r="F134" s="54" t="s">
        <v>3463</v>
      </c>
      <c r="G134" s="54">
        <v>15.4</v>
      </c>
      <c r="H134" s="54">
        <v>480130</v>
      </c>
      <c r="I134" s="54">
        <v>3.0773000000000001</v>
      </c>
      <c r="J134" s="54" t="s">
        <v>3762</v>
      </c>
      <c r="K134" s="54">
        <v>2.6</v>
      </c>
      <c r="L134" s="54" t="s">
        <v>1684</v>
      </c>
      <c r="M134" s="54" t="s">
        <v>587</v>
      </c>
      <c r="N134" s="54">
        <v>47.9</v>
      </c>
      <c r="O134" s="54">
        <v>26.2</v>
      </c>
      <c r="P134" s="54">
        <v>4.5999999999999996</v>
      </c>
      <c r="Q134" s="54">
        <v>76.7</v>
      </c>
      <c r="R134" s="54" t="s">
        <v>576</v>
      </c>
      <c r="S134" s="54" t="s">
        <v>3495</v>
      </c>
      <c r="T134" s="54" t="s">
        <v>1676</v>
      </c>
      <c r="U134" s="54" t="s">
        <v>3450</v>
      </c>
      <c r="V134" s="54">
        <v>9</v>
      </c>
      <c r="W134" s="54" t="s">
        <v>3451</v>
      </c>
      <c r="X134" s="57" t="s">
        <v>495</v>
      </c>
    </row>
    <row r="135" spans="1:24" ht="15" customHeight="1" x14ac:dyDescent="0.25">
      <c r="A135" s="54" t="s">
        <v>3763</v>
      </c>
      <c r="B135" s="54" t="s">
        <v>3564</v>
      </c>
      <c r="C135" s="54" t="s">
        <v>622</v>
      </c>
      <c r="D135" s="54" t="s">
        <v>3468</v>
      </c>
      <c r="E135" s="54" t="s">
        <v>3586</v>
      </c>
      <c r="F135" s="54" t="s">
        <v>3463</v>
      </c>
      <c r="G135" s="54">
        <v>31.7</v>
      </c>
      <c r="H135" s="54">
        <v>178023</v>
      </c>
      <c r="I135" s="54">
        <v>3.8633999999999999</v>
      </c>
      <c r="J135" s="54" t="s">
        <v>3764</v>
      </c>
      <c r="K135" s="54">
        <v>8.1999999999999993</v>
      </c>
      <c r="L135" s="54" t="s">
        <v>3459</v>
      </c>
      <c r="M135" s="54" t="s">
        <v>576</v>
      </c>
      <c r="N135" s="54">
        <v>42.8</v>
      </c>
      <c r="O135" s="54">
        <v>58.9</v>
      </c>
      <c r="P135" s="54">
        <v>19.600000000000001</v>
      </c>
      <c r="Q135" s="54">
        <v>65.099999999999994</v>
      </c>
      <c r="R135" s="54" t="s">
        <v>587</v>
      </c>
      <c r="S135" s="54" t="s">
        <v>3512</v>
      </c>
      <c r="T135" s="54" t="s">
        <v>1676</v>
      </c>
      <c r="U135" s="54" t="s">
        <v>3015</v>
      </c>
      <c r="V135" s="54">
        <v>12</v>
      </c>
      <c r="W135" s="54" t="s">
        <v>3451</v>
      </c>
      <c r="X135" s="57" t="s">
        <v>495</v>
      </c>
    </row>
    <row r="136" spans="1:24" ht="15" customHeight="1" x14ac:dyDescent="0.25">
      <c r="A136" s="54" t="s">
        <v>3765</v>
      </c>
      <c r="B136" s="54" t="s">
        <v>1576</v>
      </c>
      <c r="C136" s="54" t="s">
        <v>3472</v>
      </c>
      <c r="D136" s="54" t="s">
        <v>3516</v>
      </c>
      <c r="E136" s="54" t="s">
        <v>3446</v>
      </c>
      <c r="F136" s="54" t="s">
        <v>3447</v>
      </c>
      <c r="G136" s="54">
        <v>73.900000000000006</v>
      </c>
      <c r="H136" s="54">
        <v>70343</v>
      </c>
      <c r="I136" s="54">
        <v>4.6643999999999997</v>
      </c>
      <c r="J136" s="54" t="s">
        <v>3766</v>
      </c>
      <c r="K136" s="54">
        <v>1.2</v>
      </c>
      <c r="L136" s="54" t="s">
        <v>1684</v>
      </c>
      <c r="M136" s="54" t="s">
        <v>576</v>
      </c>
      <c r="N136" s="54">
        <v>6.8</v>
      </c>
      <c r="O136" s="54">
        <v>96.7</v>
      </c>
      <c r="P136" s="54">
        <v>6.8</v>
      </c>
      <c r="Q136" s="54">
        <v>23.1</v>
      </c>
      <c r="R136" s="54" t="s">
        <v>576</v>
      </c>
      <c r="S136" s="54" t="s">
        <v>3470</v>
      </c>
      <c r="T136" s="54" t="s">
        <v>1676</v>
      </c>
      <c r="U136" s="54" t="s">
        <v>3466</v>
      </c>
      <c r="V136" s="54">
        <v>49</v>
      </c>
      <c r="W136" s="54" t="s">
        <v>3451</v>
      </c>
      <c r="X136" s="57" t="s">
        <v>495</v>
      </c>
    </row>
    <row r="137" spans="1:24" ht="15" customHeight="1" x14ac:dyDescent="0.25">
      <c r="A137" s="46" t="s">
        <v>3767</v>
      </c>
      <c r="B137" s="46" t="s">
        <v>1889</v>
      </c>
      <c r="C137" s="46" t="s">
        <v>1640</v>
      </c>
      <c r="D137" s="46" t="s">
        <v>3473</v>
      </c>
      <c r="E137" s="46" t="s">
        <v>3586</v>
      </c>
      <c r="F137" s="46" t="s">
        <v>3463</v>
      </c>
      <c r="G137" s="46">
        <v>5.0999999999999996</v>
      </c>
      <c r="H137" s="46">
        <v>211495</v>
      </c>
      <c r="I137" s="46">
        <v>2.4241000000000001</v>
      </c>
      <c r="J137" s="46" t="s">
        <v>3768</v>
      </c>
      <c r="K137" s="46">
        <v>5.3</v>
      </c>
      <c r="L137" s="46" t="s">
        <v>3480</v>
      </c>
      <c r="M137" s="46" t="s">
        <v>587</v>
      </c>
      <c r="N137" s="46">
        <v>14.3</v>
      </c>
      <c r="O137" s="46">
        <v>8.4</v>
      </c>
      <c r="P137" s="46">
        <v>0.8</v>
      </c>
      <c r="Q137" s="46">
        <v>16.2</v>
      </c>
      <c r="R137" s="46" t="s">
        <v>587</v>
      </c>
      <c r="S137" s="46" t="s">
        <v>3512</v>
      </c>
      <c r="T137" s="46" t="s">
        <v>1676</v>
      </c>
      <c r="U137" s="46" t="s">
        <v>3015</v>
      </c>
      <c r="V137" s="46">
        <v>13</v>
      </c>
      <c r="W137" s="46" t="s">
        <v>3451</v>
      </c>
      <c r="X137" s="49" t="s">
        <v>321</v>
      </c>
    </row>
    <row r="138" spans="1:24" ht="15" customHeight="1" x14ac:dyDescent="0.25">
      <c r="A138" s="54" t="s">
        <v>3769</v>
      </c>
      <c r="B138" s="54" t="s">
        <v>1417</v>
      </c>
      <c r="C138" s="54" t="s">
        <v>622</v>
      </c>
      <c r="D138" s="54" t="s">
        <v>3445</v>
      </c>
      <c r="E138" s="54" t="s">
        <v>3474</v>
      </c>
      <c r="F138" s="54" t="s">
        <v>3493</v>
      </c>
      <c r="G138" s="54">
        <v>21</v>
      </c>
      <c r="H138" s="54">
        <v>121103</v>
      </c>
      <c r="I138" s="54">
        <v>1.1193</v>
      </c>
      <c r="J138" s="54" t="s">
        <v>3770</v>
      </c>
      <c r="K138" s="54">
        <v>4.4000000000000004</v>
      </c>
      <c r="L138" s="54" t="s">
        <v>3491</v>
      </c>
      <c r="M138" s="54" t="s">
        <v>576</v>
      </c>
      <c r="N138" s="54">
        <v>47.2</v>
      </c>
      <c r="O138" s="54">
        <v>85.8</v>
      </c>
      <c r="P138" s="54">
        <v>6.9</v>
      </c>
      <c r="Q138" s="54">
        <v>26.8</v>
      </c>
      <c r="R138" s="54" t="s">
        <v>1684</v>
      </c>
      <c r="S138" s="54" t="s">
        <v>3470</v>
      </c>
      <c r="T138" s="54" t="s">
        <v>622</v>
      </c>
      <c r="U138" s="54" t="s">
        <v>3466</v>
      </c>
      <c r="V138" s="54">
        <v>16</v>
      </c>
      <c r="W138" s="54" t="s">
        <v>3451</v>
      </c>
      <c r="X138" s="57" t="s">
        <v>495</v>
      </c>
    </row>
    <row r="139" spans="1:24" ht="15" customHeight="1" x14ac:dyDescent="0.25">
      <c r="A139" s="54" t="s">
        <v>3771</v>
      </c>
      <c r="B139" s="54" t="s">
        <v>1025</v>
      </c>
      <c r="C139" s="54" t="s">
        <v>3472</v>
      </c>
      <c r="D139" s="54" t="s">
        <v>3473</v>
      </c>
      <c r="E139" s="54" t="s">
        <v>3586</v>
      </c>
      <c r="F139" s="54" t="s">
        <v>3447</v>
      </c>
      <c r="G139" s="54">
        <v>14</v>
      </c>
      <c r="H139" s="54">
        <v>120835</v>
      </c>
      <c r="I139" s="54">
        <v>5.6388999999999996</v>
      </c>
      <c r="J139" s="54" t="s">
        <v>3772</v>
      </c>
      <c r="K139" s="54">
        <v>6.1</v>
      </c>
      <c r="L139" s="54" t="s">
        <v>1684</v>
      </c>
      <c r="M139" s="54" t="s">
        <v>587</v>
      </c>
      <c r="N139" s="54">
        <v>16.100000000000001</v>
      </c>
      <c r="O139" s="54">
        <v>15.5</v>
      </c>
      <c r="P139" s="54">
        <v>1.9</v>
      </c>
      <c r="Q139" s="54">
        <v>15</v>
      </c>
      <c r="R139" s="54" t="s">
        <v>576</v>
      </c>
      <c r="S139" s="54" t="s">
        <v>3476</v>
      </c>
      <c r="T139" s="54" t="s">
        <v>1640</v>
      </c>
      <c r="U139" s="54" t="s">
        <v>3015</v>
      </c>
      <c r="V139" s="54">
        <v>14</v>
      </c>
      <c r="W139" s="54" t="s">
        <v>3451</v>
      </c>
      <c r="X139" s="57" t="s">
        <v>495</v>
      </c>
    </row>
    <row r="140" spans="1:24" ht="15" customHeight="1" x14ac:dyDescent="0.25">
      <c r="A140" s="54" t="s">
        <v>3773</v>
      </c>
      <c r="B140" s="54" t="s">
        <v>3774</v>
      </c>
      <c r="C140" s="54" t="s">
        <v>1676</v>
      </c>
      <c r="D140" s="54" t="s">
        <v>3445</v>
      </c>
      <c r="E140" s="54" t="s">
        <v>3478</v>
      </c>
      <c r="F140" s="54" t="s">
        <v>3493</v>
      </c>
      <c r="G140" s="54">
        <v>14.5</v>
      </c>
      <c r="H140" s="54">
        <v>306076</v>
      </c>
      <c r="I140" s="54">
        <v>0.18260000000000001</v>
      </c>
      <c r="J140" s="54" t="s">
        <v>3775</v>
      </c>
      <c r="K140" s="54">
        <v>3.7</v>
      </c>
      <c r="L140" s="54" t="s">
        <v>3459</v>
      </c>
      <c r="M140" s="54" t="s">
        <v>587</v>
      </c>
      <c r="N140" s="54">
        <v>24.5</v>
      </c>
      <c r="O140" s="54">
        <v>59.9</v>
      </c>
      <c r="P140" s="54">
        <v>15.5</v>
      </c>
      <c r="Q140" s="54">
        <v>22.4</v>
      </c>
      <c r="R140" s="54" t="s">
        <v>1684</v>
      </c>
      <c r="S140" s="54" t="s">
        <v>3449</v>
      </c>
      <c r="T140" s="54" t="s">
        <v>1640</v>
      </c>
      <c r="U140" s="54" t="s">
        <v>3015</v>
      </c>
      <c r="V140" s="54">
        <v>47</v>
      </c>
      <c r="W140" s="54" t="s">
        <v>3451</v>
      </c>
      <c r="X140" s="57" t="s">
        <v>495</v>
      </c>
    </row>
    <row r="141" spans="1:24" ht="15" customHeight="1" x14ac:dyDescent="0.25">
      <c r="A141" s="54" t="s">
        <v>3776</v>
      </c>
      <c r="B141" s="54" t="s">
        <v>1431</v>
      </c>
      <c r="C141" s="54" t="s">
        <v>1640</v>
      </c>
      <c r="D141" s="54" t="s">
        <v>3445</v>
      </c>
      <c r="E141" s="54" t="s">
        <v>3556</v>
      </c>
      <c r="F141" s="54" t="s">
        <v>3493</v>
      </c>
      <c r="G141" s="54">
        <v>21.5</v>
      </c>
      <c r="H141" s="54">
        <v>419326</v>
      </c>
      <c r="I141" s="54">
        <v>0.78510000000000002</v>
      </c>
      <c r="J141" s="54" t="s">
        <v>3777</v>
      </c>
      <c r="K141" s="54">
        <v>7.3</v>
      </c>
      <c r="L141" s="54" t="s">
        <v>3459</v>
      </c>
      <c r="M141" s="54" t="s">
        <v>576</v>
      </c>
      <c r="N141" s="54">
        <v>36.9</v>
      </c>
      <c r="O141" s="54">
        <v>97</v>
      </c>
      <c r="P141" s="54">
        <v>7.6</v>
      </c>
      <c r="Q141" s="54">
        <v>44.3</v>
      </c>
      <c r="R141" s="54" t="s">
        <v>587</v>
      </c>
      <c r="S141" s="54" t="s">
        <v>3476</v>
      </c>
      <c r="T141" s="54" t="s">
        <v>1640</v>
      </c>
      <c r="U141" s="54" t="s">
        <v>3466</v>
      </c>
      <c r="V141" s="54">
        <v>40</v>
      </c>
      <c r="W141" s="54" t="s">
        <v>3451</v>
      </c>
      <c r="X141" s="57" t="s">
        <v>495</v>
      </c>
    </row>
    <row r="142" spans="1:24" ht="15" customHeight="1" x14ac:dyDescent="0.25">
      <c r="A142" s="54" t="s">
        <v>3778</v>
      </c>
      <c r="B142" s="54" t="s">
        <v>2080</v>
      </c>
      <c r="C142" s="54" t="s">
        <v>1640</v>
      </c>
      <c r="D142" s="54" t="s">
        <v>3461</v>
      </c>
      <c r="E142" s="54" t="s">
        <v>3446</v>
      </c>
      <c r="F142" s="54" t="s">
        <v>3493</v>
      </c>
      <c r="G142" s="54">
        <v>18.100000000000001</v>
      </c>
      <c r="H142" s="54">
        <v>226442</v>
      </c>
      <c r="I142" s="54">
        <v>2.4681999999999999</v>
      </c>
      <c r="J142" s="54" t="s">
        <v>3779</v>
      </c>
      <c r="K142" s="54">
        <v>4.2</v>
      </c>
      <c r="L142" s="54" t="s">
        <v>3459</v>
      </c>
      <c r="M142" s="54" t="s">
        <v>576</v>
      </c>
      <c r="N142" s="54">
        <v>17.3</v>
      </c>
      <c r="O142" s="54">
        <v>72.2</v>
      </c>
      <c r="P142" s="54">
        <v>16.100000000000001</v>
      </c>
      <c r="Q142" s="54">
        <v>76.900000000000006</v>
      </c>
      <c r="R142" s="54" t="s">
        <v>587</v>
      </c>
      <c r="S142" s="54" t="s">
        <v>3476</v>
      </c>
      <c r="T142" s="54" t="s">
        <v>622</v>
      </c>
      <c r="U142" s="54" t="s">
        <v>3466</v>
      </c>
      <c r="V142" s="54">
        <v>40</v>
      </c>
      <c r="W142" s="54" t="s">
        <v>3451</v>
      </c>
      <c r="X142" s="57" t="s">
        <v>495</v>
      </c>
    </row>
    <row r="143" spans="1:24" ht="15" customHeight="1" x14ac:dyDescent="0.25">
      <c r="A143" s="54" t="s">
        <v>3780</v>
      </c>
      <c r="B143" s="54" t="s">
        <v>1262</v>
      </c>
      <c r="C143" s="54" t="s">
        <v>622</v>
      </c>
      <c r="D143" s="54" t="s">
        <v>3504</v>
      </c>
      <c r="E143" s="54" t="s">
        <v>3474</v>
      </c>
      <c r="F143" s="54" t="s">
        <v>3454</v>
      </c>
      <c r="G143" s="54">
        <v>35.6</v>
      </c>
      <c r="H143" s="54">
        <v>251518</v>
      </c>
      <c r="I143" s="54">
        <v>3.7845</v>
      </c>
      <c r="J143" s="54" t="s">
        <v>3781</v>
      </c>
      <c r="K143" s="54">
        <v>8.1</v>
      </c>
      <c r="L143" s="54" t="s">
        <v>3459</v>
      </c>
      <c r="M143" s="54" t="s">
        <v>587</v>
      </c>
      <c r="N143" s="54">
        <v>20.2</v>
      </c>
      <c r="O143" s="54">
        <v>14.3</v>
      </c>
      <c r="P143" s="54">
        <v>14.2</v>
      </c>
      <c r="Q143" s="54">
        <v>15.1</v>
      </c>
      <c r="R143" s="54" t="s">
        <v>587</v>
      </c>
      <c r="S143" s="54" t="s">
        <v>3449</v>
      </c>
      <c r="T143" s="54" t="s">
        <v>622</v>
      </c>
      <c r="U143" s="54" t="s">
        <v>3466</v>
      </c>
      <c r="V143" s="54">
        <v>47</v>
      </c>
      <c r="W143" s="54" t="s">
        <v>3451</v>
      </c>
      <c r="X143" s="57" t="s">
        <v>495</v>
      </c>
    </row>
    <row r="144" spans="1:24" ht="15" customHeight="1" x14ac:dyDescent="0.25">
      <c r="A144" s="46" t="s">
        <v>3782</v>
      </c>
      <c r="B144" s="46" t="s">
        <v>3783</v>
      </c>
      <c r="C144" s="46" t="s">
        <v>622</v>
      </c>
      <c r="D144" s="46" t="s">
        <v>3482</v>
      </c>
      <c r="E144" s="46" t="s">
        <v>3474</v>
      </c>
      <c r="F144" s="46" t="s">
        <v>3493</v>
      </c>
      <c r="G144" s="46">
        <v>10.3</v>
      </c>
      <c r="H144" s="46">
        <v>5520</v>
      </c>
      <c r="I144" s="46">
        <v>4.4522000000000004</v>
      </c>
      <c r="J144" s="46" t="s">
        <v>3784</v>
      </c>
      <c r="K144" s="46">
        <v>5.8</v>
      </c>
      <c r="L144" s="46" t="s">
        <v>3480</v>
      </c>
      <c r="M144" s="46" t="s">
        <v>587</v>
      </c>
      <c r="N144" s="46">
        <v>8.8000000000000007</v>
      </c>
      <c r="O144" s="46">
        <v>88.5</v>
      </c>
      <c r="P144" s="46">
        <v>7.5</v>
      </c>
      <c r="Q144" s="46">
        <v>15.4</v>
      </c>
      <c r="R144" s="46" t="s">
        <v>587</v>
      </c>
      <c r="S144" s="46" t="s">
        <v>3449</v>
      </c>
      <c r="T144" s="46" t="s">
        <v>622</v>
      </c>
      <c r="U144" s="46" t="s">
        <v>3466</v>
      </c>
      <c r="V144" s="46">
        <v>11</v>
      </c>
      <c r="W144" s="46" t="s">
        <v>1652</v>
      </c>
      <c r="X144" s="49" t="s">
        <v>321</v>
      </c>
    </row>
    <row r="145" spans="1:24" ht="15" customHeight="1" x14ac:dyDescent="0.25">
      <c r="A145" s="54" t="s">
        <v>3785</v>
      </c>
      <c r="B145" s="54" t="s">
        <v>1256</v>
      </c>
      <c r="C145" s="54" t="s">
        <v>3472</v>
      </c>
      <c r="D145" s="54" t="s">
        <v>3473</v>
      </c>
      <c r="E145" s="54" t="s">
        <v>3474</v>
      </c>
      <c r="F145" s="54" t="s">
        <v>3493</v>
      </c>
      <c r="G145" s="54">
        <v>74.2</v>
      </c>
      <c r="H145" s="54">
        <v>299703</v>
      </c>
      <c r="I145" s="54">
        <v>2.3923999999999999</v>
      </c>
      <c r="J145" s="54" t="s">
        <v>3786</v>
      </c>
      <c r="K145" s="54">
        <v>6.3</v>
      </c>
      <c r="L145" s="54" t="s">
        <v>3459</v>
      </c>
      <c r="M145" s="54" t="s">
        <v>587</v>
      </c>
      <c r="N145" s="54">
        <v>20</v>
      </c>
      <c r="O145" s="54">
        <v>83.5</v>
      </c>
      <c r="P145" s="54">
        <v>10.9</v>
      </c>
      <c r="Q145" s="54">
        <v>12.5</v>
      </c>
      <c r="R145" s="54" t="s">
        <v>587</v>
      </c>
      <c r="S145" s="54" t="s">
        <v>3476</v>
      </c>
      <c r="T145" s="54" t="s">
        <v>1640</v>
      </c>
      <c r="U145" s="54" t="s">
        <v>3466</v>
      </c>
      <c r="V145" s="54">
        <v>3</v>
      </c>
      <c r="W145" s="54" t="s">
        <v>3451</v>
      </c>
      <c r="X145" s="57" t="s">
        <v>495</v>
      </c>
    </row>
    <row r="146" spans="1:24" ht="15" customHeight="1" x14ac:dyDescent="0.25">
      <c r="A146" s="54" t="s">
        <v>3787</v>
      </c>
      <c r="B146" s="54" t="s">
        <v>2214</v>
      </c>
      <c r="C146" s="54" t="s">
        <v>1640</v>
      </c>
      <c r="D146" s="54" t="s">
        <v>3445</v>
      </c>
      <c r="E146" s="54" t="s">
        <v>161</v>
      </c>
      <c r="F146" s="54" t="s">
        <v>3454</v>
      </c>
      <c r="G146" s="54">
        <v>19.8</v>
      </c>
      <c r="H146" s="54">
        <v>122424</v>
      </c>
      <c r="I146" s="54">
        <v>0.2432</v>
      </c>
      <c r="J146" s="54" t="s">
        <v>3788</v>
      </c>
      <c r="K146" s="54">
        <v>1.4</v>
      </c>
      <c r="L146" s="54" t="s">
        <v>3459</v>
      </c>
      <c r="M146" s="54" t="s">
        <v>576</v>
      </c>
      <c r="N146" s="54">
        <v>12.7</v>
      </c>
      <c r="O146" s="54">
        <v>76.8</v>
      </c>
      <c r="P146" s="54">
        <v>13.2</v>
      </c>
      <c r="Q146" s="54">
        <v>15.9</v>
      </c>
      <c r="R146" s="54" t="s">
        <v>576</v>
      </c>
      <c r="S146" s="54" t="s">
        <v>3495</v>
      </c>
      <c r="T146" s="54" t="s">
        <v>1640</v>
      </c>
      <c r="U146" s="54" t="s">
        <v>3450</v>
      </c>
      <c r="V146" s="54">
        <v>5</v>
      </c>
      <c r="W146" s="54" t="s">
        <v>3451</v>
      </c>
      <c r="X146" s="57" t="s">
        <v>495</v>
      </c>
    </row>
    <row r="147" spans="1:24" ht="15" customHeight="1" x14ac:dyDescent="0.25">
      <c r="A147" s="54" t="s">
        <v>3789</v>
      </c>
      <c r="B147" s="54" t="s">
        <v>2051</v>
      </c>
      <c r="C147" s="54" t="s">
        <v>3472</v>
      </c>
      <c r="D147" s="54" t="s">
        <v>3499</v>
      </c>
      <c r="E147" s="54" t="s">
        <v>3462</v>
      </c>
      <c r="F147" s="54" t="s">
        <v>3463</v>
      </c>
      <c r="G147" s="54">
        <v>74.900000000000006</v>
      </c>
      <c r="H147" s="54">
        <v>255727</v>
      </c>
      <c r="I147" s="54">
        <v>2.6459999999999999</v>
      </c>
      <c r="J147" s="54" t="s">
        <v>3790</v>
      </c>
      <c r="K147" s="54">
        <v>3.9</v>
      </c>
      <c r="L147" s="54" t="s">
        <v>3480</v>
      </c>
      <c r="M147" s="54" t="s">
        <v>587</v>
      </c>
      <c r="N147" s="54">
        <v>6</v>
      </c>
      <c r="O147" s="54">
        <v>69.099999999999994</v>
      </c>
      <c r="P147" s="54">
        <v>10.3</v>
      </c>
      <c r="Q147" s="54">
        <v>67.599999999999994</v>
      </c>
      <c r="R147" s="54" t="s">
        <v>587</v>
      </c>
      <c r="S147" s="54" t="s">
        <v>3465</v>
      </c>
      <c r="T147" s="54" t="s">
        <v>1676</v>
      </c>
      <c r="U147" s="54" t="s">
        <v>3466</v>
      </c>
      <c r="V147" s="54">
        <v>18</v>
      </c>
      <c r="W147" s="54" t="s">
        <v>3451</v>
      </c>
      <c r="X147" s="57" t="s">
        <v>495</v>
      </c>
    </row>
    <row r="148" spans="1:24" ht="15" customHeight="1" x14ac:dyDescent="0.25">
      <c r="A148" s="54" t="s">
        <v>3791</v>
      </c>
      <c r="B148" s="54" t="s">
        <v>1453</v>
      </c>
      <c r="C148" s="54" t="s">
        <v>622</v>
      </c>
      <c r="D148" s="54" t="s">
        <v>3468</v>
      </c>
      <c r="E148" s="54" t="s">
        <v>3586</v>
      </c>
      <c r="F148" s="54" t="s">
        <v>3463</v>
      </c>
      <c r="G148" s="54">
        <v>29.5</v>
      </c>
      <c r="H148" s="54">
        <v>91945</v>
      </c>
      <c r="I148" s="54">
        <v>1.7586999999999999</v>
      </c>
      <c r="J148" s="54" t="s">
        <v>3792</v>
      </c>
      <c r="K148" s="54">
        <v>4.8</v>
      </c>
      <c r="L148" s="54" t="s">
        <v>3491</v>
      </c>
      <c r="M148" s="54" t="s">
        <v>587</v>
      </c>
      <c r="N148" s="54">
        <v>33.1</v>
      </c>
      <c r="O148" s="54">
        <v>86</v>
      </c>
      <c r="P148" s="54">
        <v>16.3</v>
      </c>
      <c r="Q148" s="54">
        <v>18</v>
      </c>
      <c r="R148" s="54" t="s">
        <v>576</v>
      </c>
      <c r="S148" s="54" t="s">
        <v>3465</v>
      </c>
      <c r="T148" s="54" t="s">
        <v>1676</v>
      </c>
      <c r="U148" s="54" t="s">
        <v>3450</v>
      </c>
      <c r="V148" s="54">
        <v>41</v>
      </c>
      <c r="W148" s="54" t="s">
        <v>3451</v>
      </c>
      <c r="X148" s="57" t="s">
        <v>495</v>
      </c>
    </row>
    <row r="149" spans="1:24" ht="15" customHeight="1" x14ac:dyDescent="0.25">
      <c r="A149" s="54" t="s">
        <v>3793</v>
      </c>
      <c r="B149" s="54" t="s">
        <v>1176</v>
      </c>
      <c r="C149" s="54" t="s">
        <v>622</v>
      </c>
      <c r="D149" s="54" t="s">
        <v>3482</v>
      </c>
      <c r="E149" s="54" t="s">
        <v>3478</v>
      </c>
      <c r="F149" s="54" t="s">
        <v>3493</v>
      </c>
      <c r="G149" s="54">
        <v>47.1</v>
      </c>
      <c r="H149" s="54">
        <v>204994</v>
      </c>
      <c r="I149" s="54">
        <v>3.8047</v>
      </c>
      <c r="J149" s="54" t="s">
        <v>3794</v>
      </c>
      <c r="K149" s="54">
        <v>9.1</v>
      </c>
      <c r="L149" s="54" t="s">
        <v>3480</v>
      </c>
      <c r="M149" s="54" t="s">
        <v>576</v>
      </c>
      <c r="N149" s="54">
        <v>45.8</v>
      </c>
      <c r="O149" s="54">
        <v>21.3</v>
      </c>
      <c r="P149" s="54">
        <v>4.7</v>
      </c>
      <c r="Q149" s="54">
        <v>38.6</v>
      </c>
      <c r="R149" s="54" t="s">
        <v>587</v>
      </c>
      <c r="S149" s="54" t="s">
        <v>3470</v>
      </c>
      <c r="T149" s="54" t="s">
        <v>1640</v>
      </c>
      <c r="U149" s="54" t="s">
        <v>3466</v>
      </c>
      <c r="V149" s="54">
        <v>26</v>
      </c>
      <c r="W149" s="54" t="s">
        <v>1652</v>
      </c>
      <c r="X149" s="57" t="s">
        <v>495</v>
      </c>
    </row>
    <row r="150" spans="1:24" ht="15" customHeight="1" x14ac:dyDescent="0.25">
      <c r="A150" s="54" t="s">
        <v>3795</v>
      </c>
      <c r="B150" s="54" t="s">
        <v>2356</v>
      </c>
      <c r="C150" s="54" t="s">
        <v>3472</v>
      </c>
      <c r="D150" s="54" t="s">
        <v>3461</v>
      </c>
      <c r="E150" s="54" t="s">
        <v>3478</v>
      </c>
      <c r="F150" s="54" t="s">
        <v>3454</v>
      </c>
      <c r="G150" s="54">
        <v>18.5</v>
      </c>
      <c r="H150" s="54">
        <v>430281</v>
      </c>
      <c r="I150" s="54">
        <v>6.3860999999999999</v>
      </c>
      <c r="J150" s="54" t="s">
        <v>3796</v>
      </c>
      <c r="K150" s="54">
        <v>8.3000000000000007</v>
      </c>
      <c r="L150" s="54" t="s">
        <v>3491</v>
      </c>
      <c r="M150" s="54" t="s">
        <v>587</v>
      </c>
      <c r="N150" s="54">
        <v>43</v>
      </c>
      <c r="O150" s="54">
        <v>11.8</v>
      </c>
      <c r="P150" s="54">
        <v>13.4</v>
      </c>
      <c r="Q150" s="54">
        <v>3.5</v>
      </c>
      <c r="R150" s="54" t="s">
        <v>576</v>
      </c>
      <c r="S150" s="54" t="s">
        <v>3465</v>
      </c>
      <c r="T150" s="54" t="s">
        <v>622</v>
      </c>
      <c r="U150" s="54" t="s">
        <v>3015</v>
      </c>
      <c r="V150" s="54">
        <v>36</v>
      </c>
      <c r="W150" s="54" t="s">
        <v>3451</v>
      </c>
      <c r="X150" s="57" t="s">
        <v>495</v>
      </c>
    </row>
    <row r="151" spans="1:24" ht="15" customHeight="1" x14ac:dyDescent="0.25">
      <c r="A151" s="54" t="s">
        <v>3797</v>
      </c>
      <c r="B151" s="54" t="s">
        <v>3551</v>
      </c>
      <c r="C151" s="54" t="s">
        <v>1640</v>
      </c>
      <c r="D151" s="54" t="s">
        <v>3473</v>
      </c>
      <c r="E151" s="54" t="s">
        <v>3586</v>
      </c>
      <c r="F151" s="54" t="s">
        <v>3493</v>
      </c>
      <c r="G151" s="54">
        <v>9.3000000000000007</v>
      </c>
      <c r="H151" s="54">
        <v>162298</v>
      </c>
      <c r="I151" s="54">
        <v>0.70409999999999995</v>
      </c>
      <c r="J151" s="54" t="s">
        <v>3798</v>
      </c>
      <c r="K151" s="54">
        <v>1.7</v>
      </c>
      <c r="L151" s="54" t="s">
        <v>3491</v>
      </c>
      <c r="M151" s="54" t="s">
        <v>576</v>
      </c>
      <c r="N151" s="54">
        <v>11.3</v>
      </c>
      <c r="O151" s="54">
        <v>35.799999999999997</v>
      </c>
      <c r="P151" s="54">
        <v>18.899999999999999</v>
      </c>
      <c r="Q151" s="54">
        <v>64.099999999999994</v>
      </c>
      <c r="R151" s="54" t="s">
        <v>1684</v>
      </c>
      <c r="S151" s="54" t="s">
        <v>3465</v>
      </c>
      <c r="T151" s="54" t="s">
        <v>622</v>
      </c>
      <c r="U151" s="54" t="s">
        <v>3466</v>
      </c>
      <c r="V151" s="54">
        <v>28</v>
      </c>
      <c r="W151" s="54" t="s">
        <v>1652</v>
      </c>
      <c r="X151" s="57" t="s">
        <v>495</v>
      </c>
    </row>
    <row r="152" spans="1:24" ht="15" customHeight="1" x14ac:dyDescent="0.25">
      <c r="A152" s="54" t="s">
        <v>3799</v>
      </c>
      <c r="B152" s="54" t="s">
        <v>1073</v>
      </c>
      <c r="C152" s="54" t="s">
        <v>1640</v>
      </c>
      <c r="D152" s="54" t="s">
        <v>3516</v>
      </c>
      <c r="E152" s="54" t="s">
        <v>3556</v>
      </c>
      <c r="F152" s="54" t="s">
        <v>3454</v>
      </c>
      <c r="G152" s="54">
        <v>22.6</v>
      </c>
      <c r="H152" s="54">
        <v>400017</v>
      </c>
      <c r="I152" s="54">
        <v>1.0706</v>
      </c>
      <c r="J152" s="54" t="s">
        <v>3800</v>
      </c>
      <c r="K152" s="54">
        <v>6</v>
      </c>
      <c r="L152" s="54" t="s">
        <v>3459</v>
      </c>
      <c r="M152" s="54" t="s">
        <v>587</v>
      </c>
      <c r="N152" s="54">
        <v>34.6</v>
      </c>
      <c r="O152" s="54">
        <v>18.899999999999999</v>
      </c>
      <c r="P152" s="54">
        <v>12.6</v>
      </c>
      <c r="Q152" s="54">
        <v>59.2</v>
      </c>
      <c r="R152" s="54" t="s">
        <v>587</v>
      </c>
      <c r="S152" s="54" t="s">
        <v>3476</v>
      </c>
      <c r="T152" s="54" t="s">
        <v>622</v>
      </c>
      <c r="U152" s="54" t="s">
        <v>3450</v>
      </c>
      <c r="V152" s="54">
        <v>0</v>
      </c>
      <c r="W152" s="54" t="s">
        <v>3451</v>
      </c>
      <c r="X152" s="57" t="s">
        <v>495</v>
      </c>
    </row>
    <row r="153" spans="1:24" ht="15" customHeight="1" x14ac:dyDescent="0.25">
      <c r="A153" s="54" t="s">
        <v>3801</v>
      </c>
      <c r="B153" s="54" t="s">
        <v>1342</v>
      </c>
      <c r="C153" s="54" t="s">
        <v>622</v>
      </c>
      <c r="D153" s="54" t="s">
        <v>3468</v>
      </c>
      <c r="E153" s="54" t="s">
        <v>3485</v>
      </c>
      <c r="F153" s="54" t="s">
        <v>3447</v>
      </c>
      <c r="G153" s="54">
        <v>37.6</v>
      </c>
      <c r="H153" s="54">
        <v>48904</v>
      </c>
      <c r="I153" s="54">
        <v>1.9253</v>
      </c>
      <c r="J153" s="54" t="s">
        <v>3802</v>
      </c>
      <c r="K153" s="54">
        <v>3.1</v>
      </c>
      <c r="L153" s="54" t="s">
        <v>3459</v>
      </c>
      <c r="M153" s="54" t="s">
        <v>576</v>
      </c>
      <c r="N153" s="54">
        <v>29.3</v>
      </c>
      <c r="O153" s="54">
        <v>23.6</v>
      </c>
      <c r="P153" s="54">
        <v>13</v>
      </c>
      <c r="Q153" s="54">
        <v>22.4</v>
      </c>
      <c r="R153" s="54" t="s">
        <v>587</v>
      </c>
      <c r="S153" s="54" t="s">
        <v>3476</v>
      </c>
      <c r="T153" s="54" t="s">
        <v>1640</v>
      </c>
      <c r="U153" s="54" t="s">
        <v>3466</v>
      </c>
      <c r="V153" s="54">
        <v>41</v>
      </c>
      <c r="W153" s="54" t="s">
        <v>3451</v>
      </c>
      <c r="X153" s="57" t="s">
        <v>495</v>
      </c>
    </row>
    <row r="154" spans="1:24" ht="15" customHeight="1" x14ac:dyDescent="0.25">
      <c r="A154" s="54" t="s">
        <v>3803</v>
      </c>
      <c r="B154" s="54" t="s">
        <v>2929</v>
      </c>
      <c r="C154" s="54" t="s">
        <v>1640</v>
      </c>
      <c r="D154" s="54" t="s">
        <v>3453</v>
      </c>
      <c r="E154" s="54" t="s">
        <v>3556</v>
      </c>
      <c r="F154" s="54" t="s">
        <v>3454</v>
      </c>
      <c r="G154" s="54">
        <v>9</v>
      </c>
      <c r="H154" s="54">
        <v>208712</v>
      </c>
      <c r="I154" s="54">
        <v>1.2512000000000001</v>
      </c>
      <c r="J154" s="54" t="s">
        <v>3804</v>
      </c>
      <c r="K154" s="54">
        <v>1.7</v>
      </c>
      <c r="L154" s="54" t="s">
        <v>3491</v>
      </c>
      <c r="M154" s="54" t="s">
        <v>587</v>
      </c>
      <c r="N154" s="54">
        <v>44</v>
      </c>
      <c r="O154" s="54">
        <v>27.1</v>
      </c>
      <c r="P154" s="54">
        <v>10.199999999999999</v>
      </c>
      <c r="Q154" s="54">
        <v>38.5</v>
      </c>
      <c r="R154" s="54" t="s">
        <v>1684</v>
      </c>
      <c r="S154" s="54" t="s">
        <v>3465</v>
      </c>
      <c r="T154" s="54" t="s">
        <v>1676</v>
      </c>
      <c r="U154" s="54" t="s">
        <v>3466</v>
      </c>
      <c r="V154" s="54">
        <v>35</v>
      </c>
      <c r="W154" s="54" t="s">
        <v>1652</v>
      </c>
      <c r="X154" s="57" t="s">
        <v>495</v>
      </c>
    </row>
    <row r="155" spans="1:24" ht="15" customHeight="1" x14ac:dyDescent="0.25">
      <c r="A155" s="54" t="s">
        <v>3805</v>
      </c>
      <c r="B155" s="54" t="s">
        <v>2117</v>
      </c>
      <c r="C155" s="54" t="s">
        <v>622</v>
      </c>
      <c r="D155" s="54" t="s">
        <v>3445</v>
      </c>
      <c r="E155" s="54" t="s">
        <v>3556</v>
      </c>
      <c r="F155" s="54" t="s">
        <v>3454</v>
      </c>
      <c r="G155" s="54">
        <v>41.2</v>
      </c>
      <c r="H155" s="54">
        <v>300501</v>
      </c>
      <c r="I155" s="54">
        <v>3.9355000000000002</v>
      </c>
      <c r="J155" s="54" t="s">
        <v>3806</v>
      </c>
      <c r="K155" s="54">
        <v>2.2999999999999998</v>
      </c>
      <c r="L155" s="54" t="s">
        <v>3491</v>
      </c>
      <c r="M155" s="54" t="s">
        <v>576</v>
      </c>
      <c r="N155" s="54">
        <v>29.1</v>
      </c>
      <c r="O155" s="54">
        <v>12.8</v>
      </c>
      <c r="P155" s="54">
        <v>18.8</v>
      </c>
      <c r="Q155" s="54">
        <v>26</v>
      </c>
      <c r="R155" s="54" t="s">
        <v>576</v>
      </c>
      <c r="S155" s="54" t="s">
        <v>3512</v>
      </c>
      <c r="T155" s="54" t="s">
        <v>1640</v>
      </c>
      <c r="U155" s="54" t="s">
        <v>3015</v>
      </c>
      <c r="V155" s="54">
        <v>35</v>
      </c>
      <c r="W155" s="54" t="s">
        <v>3451</v>
      </c>
      <c r="X155" s="57" t="s">
        <v>495</v>
      </c>
    </row>
    <row r="156" spans="1:24" ht="15" customHeight="1" x14ac:dyDescent="0.25">
      <c r="A156" s="46" t="s">
        <v>3807</v>
      </c>
      <c r="B156" s="46" t="s">
        <v>1810</v>
      </c>
      <c r="C156" s="46" t="s">
        <v>1640</v>
      </c>
      <c r="D156" s="46" t="s">
        <v>3461</v>
      </c>
      <c r="E156" s="46" t="s">
        <v>3485</v>
      </c>
      <c r="F156" s="46" t="s">
        <v>3447</v>
      </c>
      <c r="G156" s="46">
        <v>22.8</v>
      </c>
      <c r="H156" s="46">
        <v>177926</v>
      </c>
      <c r="I156" s="46">
        <v>1.1853</v>
      </c>
      <c r="J156" s="46" t="s">
        <v>3808</v>
      </c>
      <c r="K156" s="46">
        <v>7.4</v>
      </c>
      <c r="L156" s="46" t="s">
        <v>3491</v>
      </c>
      <c r="M156" s="46" t="s">
        <v>587</v>
      </c>
      <c r="N156" s="46">
        <v>45.8</v>
      </c>
      <c r="O156" s="46">
        <v>60</v>
      </c>
      <c r="P156" s="46">
        <v>6.3</v>
      </c>
      <c r="Q156" s="46">
        <v>4.0999999999999996</v>
      </c>
      <c r="R156" s="46" t="s">
        <v>587</v>
      </c>
      <c r="S156" s="46" t="s">
        <v>3512</v>
      </c>
      <c r="T156" s="46" t="s">
        <v>1640</v>
      </c>
      <c r="U156" s="46" t="s">
        <v>3015</v>
      </c>
      <c r="V156" s="46">
        <v>13</v>
      </c>
      <c r="W156" s="46" t="s">
        <v>1652</v>
      </c>
      <c r="X156" s="49" t="s">
        <v>321</v>
      </c>
    </row>
    <row r="157" spans="1:24" ht="15" customHeight="1" x14ac:dyDescent="0.25">
      <c r="A157" s="54" t="s">
        <v>3809</v>
      </c>
      <c r="B157" s="54" t="s">
        <v>1325</v>
      </c>
      <c r="C157" s="54" t="s">
        <v>1640</v>
      </c>
      <c r="D157" s="54" t="s">
        <v>3445</v>
      </c>
      <c r="E157" s="54" t="s">
        <v>3556</v>
      </c>
      <c r="F157" s="54" t="s">
        <v>3493</v>
      </c>
      <c r="G157" s="54">
        <v>6.3</v>
      </c>
      <c r="H157" s="54">
        <v>216121</v>
      </c>
      <c r="I157" s="54">
        <v>0.62180000000000002</v>
      </c>
      <c r="J157" s="54" t="s">
        <v>3810</v>
      </c>
      <c r="K157" s="54">
        <v>9.1999999999999993</v>
      </c>
      <c r="L157" s="54" t="s">
        <v>3480</v>
      </c>
      <c r="M157" s="54" t="s">
        <v>576</v>
      </c>
      <c r="N157" s="54">
        <v>30.9</v>
      </c>
      <c r="O157" s="54">
        <v>77.599999999999994</v>
      </c>
      <c r="P157" s="54">
        <v>11.1</v>
      </c>
      <c r="Q157" s="54">
        <v>52.5</v>
      </c>
      <c r="R157" s="54" t="s">
        <v>587</v>
      </c>
      <c r="S157" s="54" t="s">
        <v>3495</v>
      </c>
      <c r="T157" s="54" t="s">
        <v>1676</v>
      </c>
      <c r="U157" s="54" t="s">
        <v>3015</v>
      </c>
      <c r="V157" s="54">
        <v>48</v>
      </c>
      <c r="W157" s="54" t="s">
        <v>3451</v>
      </c>
      <c r="X157" s="57" t="s">
        <v>495</v>
      </c>
    </row>
    <row r="158" spans="1:24" ht="15" customHeight="1" x14ac:dyDescent="0.25">
      <c r="A158" s="54" t="s">
        <v>3811</v>
      </c>
      <c r="B158" s="54" t="s">
        <v>3812</v>
      </c>
      <c r="C158" s="54" t="s">
        <v>622</v>
      </c>
      <c r="D158" s="54" t="s">
        <v>3499</v>
      </c>
      <c r="E158" s="54" t="s">
        <v>3462</v>
      </c>
      <c r="F158" s="54" t="s">
        <v>3447</v>
      </c>
      <c r="G158" s="54">
        <v>38.1</v>
      </c>
      <c r="H158" s="54">
        <v>108138</v>
      </c>
      <c r="I158" s="54">
        <v>3.2050999999999998</v>
      </c>
      <c r="J158" s="54" t="s">
        <v>3813</v>
      </c>
      <c r="K158" s="54">
        <v>7.3</v>
      </c>
      <c r="L158" s="54" t="s">
        <v>3491</v>
      </c>
      <c r="M158" s="54" t="s">
        <v>587</v>
      </c>
      <c r="N158" s="54">
        <v>1.7</v>
      </c>
      <c r="O158" s="54">
        <v>84.7</v>
      </c>
      <c r="P158" s="54">
        <v>19.3</v>
      </c>
      <c r="Q158" s="54">
        <v>51.7</v>
      </c>
      <c r="R158" s="54" t="s">
        <v>576</v>
      </c>
      <c r="S158" s="54" t="s">
        <v>3512</v>
      </c>
      <c r="T158" s="54" t="s">
        <v>622</v>
      </c>
      <c r="U158" s="54" t="s">
        <v>3466</v>
      </c>
      <c r="V158" s="54">
        <v>36</v>
      </c>
      <c r="W158" s="54" t="s">
        <v>3451</v>
      </c>
      <c r="X158" s="57" t="s">
        <v>495</v>
      </c>
    </row>
    <row r="159" spans="1:24" ht="15" customHeight="1" x14ac:dyDescent="0.25">
      <c r="A159" s="46" t="s">
        <v>3814</v>
      </c>
      <c r="B159" s="46" t="s">
        <v>1059</v>
      </c>
      <c r="C159" s="46" t="s">
        <v>622</v>
      </c>
      <c r="D159" s="46" t="s">
        <v>3453</v>
      </c>
      <c r="E159" s="46" t="s">
        <v>3586</v>
      </c>
      <c r="F159" s="46" t="s">
        <v>3454</v>
      </c>
      <c r="G159" s="46">
        <v>33.1</v>
      </c>
      <c r="H159" s="46">
        <v>402077</v>
      </c>
      <c r="I159" s="46">
        <v>3.1562999999999999</v>
      </c>
      <c r="J159" s="46" t="s">
        <v>3815</v>
      </c>
      <c r="K159" s="46">
        <v>5.9</v>
      </c>
      <c r="L159" s="46" t="s">
        <v>3491</v>
      </c>
      <c r="M159" s="46" t="s">
        <v>587</v>
      </c>
      <c r="N159" s="46">
        <v>2</v>
      </c>
      <c r="O159" s="46">
        <v>40.299999999999997</v>
      </c>
      <c r="P159" s="46">
        <v>4.9000000000000004</v>
      </c>
      <c r="Q159" s="46">
        <v>6.8</v>
      </c>
      <c r="R159" s="46" t="s">
        <v>576</v>
      </c>
      <c r="S159" s="46" t="s">
        <v>3465</v>
      </c>
      <c r="T159" s="46" t="s">
        <v>1676</v>
      </c>
      <c r="U159" s="46" t="s">
        <v>3015</v>
      </c>
      <c r="V159" s="46">
        <v>43</v>
      </c>
      <c r="W159" s="46" t="s">
        <v>1652</v>
      </c>
      <c r="X159" s="49" t="s">
        <v>321</v>
      </c>
    </row>
    <row r="160" spans="1:24" ht="15" customHeight="1" x14ac:dyDescent="0.25">
      <c r="A160" s="54" t="s">
        <v>3816</v>
      </c>
      <c r="B160" s="54" t="s">
        <v>2479</v>
      </c>
      <c r="C160" s="54" t="s">
        <v>1640</v>
      </c>
      <c r="D160" s="54" t="s">
        <v>3473</v>
      </c>
      <c r="E160" s="54" t="s">
        <v>3556</v>
      </c>
      <c r="F160" s="54" t="s">
        <v>3463</v>
      </c>
      <c r="G160" s="54">
        <v>20.5</v>
      </c>
      <c r="H160" s="54">
        <v>282284</v>
      </c>
      <c r="I160" s="54">
        <v>1.5033000000000001</v>
      </c>
      <c r="J160" s="54" t="s">
        <v>3817</v>
      </c>
      <c r="K160" s="54">
        <v>2.1</v>
      </c>
      <c r="L160" s="54" t="s">
        <v>1684</v>
      </c>
      <c r="M160" s="54" t="s">
        <v>587</v>
      </c>
      <c r="N160" s="54">
        <v>35.299999999999997</v>
      </c>
      <c r="O160" s="54">
        <v>96.6</v>
      </c>
      <c r="P160" s="54">
        <v>18.600000000000001</v>
      </c>
      <c r="Q160" s="54">
        <v>62.3</v>
      </c>
      <c r="R160" s="54" t="s">
        <v>576</v>
      </c>
      <c r="S160" s="54" t="s">
        <v>3465</v>
      </c>
      <c r="T160" s="54" t="s">
        <v>1676</v>
      </c>
      <c r="U160" s="54" t="s">
        <v>3466</v>
      </c>
      <c r="V160" s="54">
        <v>47</v>
      </c>
      <c r="W160" s="54" t="s">
        <v>1652</v>
      </c>
      <c r="X160" s="57" t="s">
        <v>495</v>
      </c>
    </row>
    <row r="161" spans="1:24" ht="15" customHeight="1" x14ac:dyDescent="0.25">
      <c r="A161" s="54" t="s">
        <v>3818</v>
      </c>
      <c r="B161" s="54" t="s">
        <v>2086</v>
      </c>
      <c r="C161" s="54" t="s">
        <v>1640</v>
      </c>
      <c r="D161" s="54" t="s">
        <v>3516</v>
      </c>
      <c r="E161" s="54" t="s">
        <v>3478</v>
      </c>
      <c r="F161" s="54" t="s">
        <v>3493</v>
      </c>
      <c r="G161" s="54">
        <v>12.8</v>
      </c>
      <c r="H161" s="54">
        <v>16837</v>
      </c>
      <c r="I161" s="54">
        <v>0.87150000000000005</v>
      </c>
      <c r="J161" s="54" t="s">
        <v>3819</v>
      </c>
      <c r="K161" s="54">
        <v>7.2</v>
      </c>
      <c r="L161" s="54" t="s">
        <v>1684</v>
      </c>
      <c r="M161" s="54" t="s">
        <v>576</v>
      </c>
      <c r="N161" s="54">
        <v>33.9</v>
      </c>
      <c r="O161" s="54">
        <v>25.3</v>
      </c>
      <c r="P161" s="54">
        <v>8.1999999999999993</v>
      </c>
      <c r="Q161" s="54">
        <v>55.6</v>
      </c>
      <c r="R161" s="54" t="s">
        <v>1684</v>
      </c>
      <c r="S161" s="54" t="s">
        <v>3470</v>
      </c>
      <c r="T161" s="54" t="s">
        <v>622</v>
      </c>
      <c r="U161" s="54" t="s">
        <v>3450</v>
      </c>
      <c r="V161" s="54">
        <v>7</v>
      </c>
      <c r="W161" s="54" t="s">
        <v>3451</v>
      </c>
      <c r="X161" s="57" t="s">
        <v>495</v>
      </c>
    </row>
    <row r="162" spans="1:24" ht="15" customHeight="1" x14ac:dyDescent="0.25">
      <c r="A162" s="54" t="s">
        <v>3820</v>
      </c>
      <c r="B162" s="54" t="s">
        <v>3821</v>
      </c>
      <c r="C162" s="54" t="s">
        <v>622</v>
      </c>
      <c r="D162" s="54" t="s">
        <v>3482</v>
      </c>
      <c r="E162" s="54" t="s">
        <v>161</v>
      </c>
      <c r="F162" s="54" t="s">
        <v>3463</v>
      </c>
      <c r="G162" s="54">
        <v>49.7</v>
      </c>
      <c r="H162" s="54">
        <v>34297</v>
      </c>
      <c r="I162" s="54">
        <v>3.3149999999999999</v>
      </c>
      <c r="J162" s="54" t="s">
        <v>3822</v>
      </c>
      <c r="K162" s="54">
        <v>8.4</v>
      </c>
      <c r="L162" s="54" t="s">
        <v>3491</v>
      </c>
      <c r="M162" s="54" t="s">
        <v>576</v>
      </c>
      <c r="N162" s="54">
        <v>0.6</v>
      </c>
      <c r="O162" s="54">
        <v>27.3</v>
      </c>
      <c r="P162" s="54">
        <v>14.8</v>
      </c>
      <c r="Q162" s="54">
        <v>14.7</v>
      </c>
      <c r="R162" s="54" t="s">
        <v>587</v>
      </c>
      <c r="S162" s="54" t="s">
        <v>3449</v>
      </c>
      <c r="T162" s="54" t="s">
        <v>622</v>
      </c>
      <c r="U162" s="54" t="s">
        <v>3015</v>
      </c>
      <c r="V162" s="54">
        <v>47</v>
      </c>
      <c r="W162" s="54" t="s">
        <v>3451</v>
      </c>
      <c r="X162" s="57" t="s">
        <v>495</v>
      </c>
    </row>
    <row r="163" spans="1:24" ht="15" customHeight="1" x14ac:dyDescent="0.25">
      <c r="A163" s="46" t="s">
        <v>3823</v>
      </c>
      <c r="B163" s="46" t="s">
        <v>3824</v>
      </c>
      <c r="C163" s="46" t="s">
        <v>622</v>
      </c>
      <c r="D163" s="46" t="s">
        <v>3499</v>
      </c>
      <c r="E163" s="46" t="s">
        <v>3474</v>
      </c>
      <c r="F163" s="46" t="s">
        <v>3463</v>
      </c>
      <c r="G163" s="46">
        <v>24.4</v>
      </c>
      <c r="H163" s="46">
        <v>218204</v>
      </c>
      <c r="I163" s="46">
        <v>3.0629</v>
      </c>
      <c r="J163" s="46" t="s">
        <v>3825</v>
      </c>
      <c r="K163" s="46">
        <v>8.6999999999999993</v>
      </c>
      <c r="L163" s="46" t="s">
        <v>3459</v>
      </c>
      <c r="M163" s="46" t="s">
        <v>587</v>
      </c>
      <c r="N163" s="46">
        <v>31.9</v>
      </c>
      <c r="O163" s="46">
        <v>95.5</v>
      </c>
      <c r="P163" s="46">
        <v>6.9</v>
      </c>
      <c r="Q163" s="46">
        <v>19.3</v>
      </c>
      <c r="R163" s="46" t="s">
        <v>576</v>
      </c>
      <c r="S163" s="46" t="s">
        <v>3495</v>
      </c>
      <c r="T163" s="46" t="s">
        <v>622</v>
      </c>
      <c r="U163" s="46" t="s">
        <v>3015</v>
      </c>
      <c r="V163" s="46">
        <v>37</v>
      </c>
      <c r="W163" s="46" t="s">
        <v>1652</v>
      </c>
      <c r="X163" s="49" t="s">
        <v>321</v>
      </c>
    </row>
    <row r="164" spans="1:24" ht="15" customHeight="1" x14ac:dyDescent="0.25">
      <c r="A164" s="54" t="s">
        <v>3826</v>
      </c>
      <c r="B164" s="54" t="s">
        <v>1025</v>
      </c>
      <c r="C164" s="54" t="s">
        <v>1640</v>
      </c>
      <c r="D164" s="54" t="s">
        <v>3516</v>
      </c>
      <c r="E164" s="54" t="s">
        <v>3474</v>
      </c>
      <c r="F164" s="54" t="s">
        <v>3463</v>
      </c>
      <c r="G164" s="54">
        <v>10.5</v>
      </c>
      <c r="H164" s="54">
        <v>236283</v>
      </c>
      <c r="I164" s="54">
        <v>0.6593</v>
      </c>
      <c r="J164" s="54" t="s">
        <v>3827</v>
      </c>
      <c r="K164" s="54">
        <v>2</v>
      </c>
      <c r="L164" s="54" t="s">
        <v>3459</v>
      </c>
      <c r="M164" s="54" t="s">
        <v>576</v>
      </c>
      <c r="N164" s="54">
        <v>20.9</v>
      </c>
      <c r="O164" s="54">
        <v>31.2</v>
      </c>
      <c r="P164" s="54">
        <v>11</v>
      </c>
      <c r="Q164" s="54">
        <v>5.7</v>
      </c>
      <c r="R164" s="54" t="s">
        <v>576</v>
      </c>
      <c r="S164" s="54" t="s">
        <v>3470</v>
      </c>
      <c r="T164" s="54" t="s">
        <v>622</v>
      </c>
      <c r="U164" s="54" t="s">
        <v>3015</v>
      </c>
      <c r="V164" s="54">
        <v>2</v>
      </c>
      <c r="W164" s="54" t="s">
        <v>1652</v>
      </c>
      <c r="X164" s="57" t="s">
        <v>495</v>
      </c>
    </row>
    <row r="165" spans="1:24" ht="15" customHeight="1" x14ac:dyDescent="0.25">
      <c r="A165" s="54" t="s">
        <v>3828</v>
      </c>
      <c r="B165" s="54" t="s">
        <v>898</v>
      </c>
      <c r="C165" s="54" t="s">
        <v>1640</v>
      </c>
      <c r="D165" s="54" t="s">
        <v>3473</v>
      </c>
      <c r="E165" s="54" t="s">
        <v>3556</v>
      </c>
      <c r="F165" s="54" t="s">
        <v>3493</v>
      </c>
      <c r="G165" s="54">
        <v>18.399999999999999</v>
      </c>
      <c r="H165" s="54">
        <v>92149</v>
      </c>
      <c r="I165" s="54">
        <v>1.1536</v>
      </c>
      <c r="J165" s="54" t="s">
        <v>3829</v>
      </c>
      <c r="K165" s="54">
        <v>8.5</v>
      </c>
      <c r="L165" s="54" t="s">
        <v>3480</v>
      </c>
      <c r="M165" s="54" t="s">
        <v>576</v>
      </c>
      <c r="N165" s="54">
        <v>33.200000000000003</v>
      </c>
      <c r="O165" s="54">
        <v>3.9</v>
      </c>
      <c r="P165" s="54">
        <v>4</v>
      </c>
      <c r="Q165" s="54">
        <v>41.6</v>
      </c>
      <c r="R165" s="54" t="s">
        <v>1684</v>
      </c>
      <c r="S165" s="54" t="s">
        <v>3495</v>
      </c>
      <c r="T165" s="54" t="s">
        <v>622</v>
      </c>
      <c r="U165" s="54" t="s">
        <v>3450</v>
      </c>
      <c r="V165" s="54">
        <v>41</v>
      </c>
      <c r="W165" s="54" t="s">
        <v>3451</v>
      </c>
      <c r="X165" s="57" t="s">
        <v>495</v>
      </c>
    </row>
    <row r="166" spans="1:24" ht="15" customHeight="1" x14ac:dyDescent="0.25">
      <c r="A166" s="54" t="s">
        <v>3830</v>
      </c>
      <c r="B166" s="54" t="s">
        <v>1768</v>
      </c>
      <c r="C166" s="54" t="s">
        <v>1640</v>
      </c>
      <c r="D166" s="54" t="s">
        <v>3445</v>
      </c>
      <c r="E166" s="54" t="s">
        <v>3462</v>
      </c>
      <c r="F166" s="54" t="s">
        <v>3463</v>
      </c>
      <c r="G166" s="54">
        <v>13.3</v>
      </c>
      <c r="H166" s="54">
        <v>59894</v>
      </c>
      <c r="I166" s="54">
        <v>1.5624</v>
      </c>
      <c r="J166" s="54" t="s">
        <v>3831</v>
      </c>
      <c r="K166" s="54">
        <v>8.6999999999999993</v>
      </c>
      <c r="L166" s="54" t="s">
        <v>1684</v>
      </c>
      <c r="M166" s="54" t="s">
        <v>587</v>
      </c>
      <c r="N166" s="54">
        <v>20.6</v>
      </c>
      <c r="O166" s="54">
        <v>15</v>
      </c>
      <c r="P166" s="54">
        <v>13.6</v>
      </c>
      <c r="Q166" s="54">
        <v>43.4</v>
      </c>
      <c r="R166" s="54" t="s">
        <v>576</v>
      </c>
      <c r="S166" s="54" t="s">
        <v>3449</v>
      </c>
      <c r="T166" s="54" t="s">
        <v>622</v>
      </c>
      <c r="U166" s="54" t="s">
        <v>3450</v>
      </c>
      <c r="V166" s="54">
        <v>29</v>
      </c>
      <c r="W166" s="54" t="s">
        <v>1652</v>
      </c>
      <c r="X166" s="57" t="s">
        <v>495</v>
      </c>
    </row>
    <row r="167" spans="1:24" ht="15" customHeight="1" x14ac:dyDescent="0.25">
      <c r="A167" s="54" t="s">
        <v>3832</v>
      </c>
      <c r="B167" s="54" t="s">
        <v>2773</v>
      </c>
      <c r="C167" s="54" t="s">
        <v>622</v>
      </c>
      <c r="D167" s="54" t="s">
        <v>3473</v>
      </c>
      <c r="E167" s="54" t="s">
        <v>3462</v>
      </c>
      <c r="F167" s="54" t="s">
        <v>3493</v>
      </c>
      <c r="G167" s="54">
        <v>34.299999999999997</v>
      </c>
      <c r="H167" s="54">
        <v>148120</v>
      </c>
      <c r="I167" s="54">
        <v>4.5058999999999996</v>
      </c>
      <c r="J167" s="54" t="s">
        <v>3833</v>
      </c>
      <c r="K167" s="54">
        <v>3.9</v>
      </c>
      <c r="L167" s="54" t="s">
        <v>3491</v>
      </c>
      <c r="M167" s="54" t="s">
        <v>576</v>
      </c>
      <c r="N167" s="54">
        <v>32.299999999999997</v>
      </c>
      <c r="O167" s="54">
        <v>34.700000000000003</v>
      </c>
      <c r="P167" s="54">
        <v>12.8</v>
      </c>
      <c r="Q167" s="54">
        <v>66.099999999999994</v>
      </c>
      <c r="R167" s="54" t="s">
        <v>587</v>
      </c>
      <c r="S167" s="54" t="s">
        <v>3476</v>
      </c>
      <c r="T167" s="54" t="s">
        <v>1676</v>
      </c>
      <c r="U167" s="54" t="s">
        <v>3450</v>
      </c>
      <c r="V167" s="54">
        <v>0</v>
      </c>
      <c r="W167" s="54" t="s">
        <v>3451</v>
      </c>
      <c r="X167" s="57" t="s">
        <v>495</v>
      </c>
    </row>
    <row r="168" spans="1:24" ht="15" customHeight="1" x14ac:dyDescent="0.25">
      <c r="A168" s="54" t="s">
        <v>3834</v>
      </c>
      <c r="B168" s="54" t="s">
        <v>2003</v>
      </c>
      <c r="C168" s="54" t="s">
        <v>3472</v>
      </c>
      <c r="D168" s="54" t="s">
        <v>3473</v>
      </c>
      <c r="E168" s="54" t="s">
        <v>3478</v>
      </c>
      <c r="F168" s="54" t="s">
        <v>3493</v>
      </c>
      <c r="G168" s="54">
        <v>54.3</v>
      </c>
      <c r="H168" s="54">
        <v>214816</v>
      </c>
      <c r="I168" s="54">
        <v>3.6827000000000001</v>
      </c>
      <c r="J168" s="54" t="s">
        <v>3835</v>
      </c>
      <c r="K168" s="54">
        <v>6.3</v>
      </c>
      <c r="L168" s="54" t="s">
        <v>1684</v>
      </c>
      <c r="M168" s="54" t="s">
        <v>576</v>
      </c>
      <c r="N168" s="54">
        <v>23.2</v>
      </c>
      <c r="O168" s="54">
        <v>26.4</v>
      </c>
      <c r="P168" s="54">
        <v>4.8</v>
      </c>
      <c r="Q168" s="54">
        <v>72.900000000000006</v>
      </c>
      <c r="R168" s="54" t="s">
        <v>1684</v>
      </c>
      <c r="S168" s="54" t="s">
        <v>3465</v>
      </c>
      <c r="T168" s="54" t="s">
        <v>1640</v>
      </c>
      <c r="U168" s="54" t="s">
        <v>3015</v>
      </c>
      <c r="V168" s="54">
        <v>3</v>
      </c>
      <c r="W168" s="54" t="s">
        <v>3451</v>
      </c>
      <c r="X168" s="57" t="s">
        <v>495</v>
      </c>
    </row>
    <row r="169" spans="1:24" ht="15" customHeight="1" x14ac:dyDescent="0.25">
      <c r="A169" s="54" t="s">
        <v>3836</v>
      </c>
      <c r="B169" s="54" t="s">
        <v>648</v>
      </c>
      <c r="C169" s="54" t="s">
        <v>1640</v>
      </c>
      <c r="D169" s="54" t="s">
        <v>3453</v>
      </c>
      <c r="E169" s="54" t="s">
        <v>3586</v>
      </c>
      <c r="F169" s="54" t="s">
        <v>3493</v>
      </c>
      <c r="G169" s="54">
        <v>27.6</v>
      </c>
      <c r="H169" s="54">
        <v>197834</v>
      </c>
      <c r="I169" s="54">
        <v>0.87539999999999996</v>
      </c>
      <c r="J169" s="54" t="s">
        <v>3837</v>
      </c>
      <c r="K169" s="54">
        <v>8.6</v>
      </c>
      <c r="L169" s="54" t="s">
        <v>3480</v>
      </c>
      <c r="M169" s="54" t="s">
        <v>576</v>
      </c>
      <c r="N169" s="54">
        <v>17.899999999999999</v>
      </c>
      <c r="O169" s="54">
        <v>23.8</v>
      </c>
      <c r="P169" s="54">
        <v>18.5</v>
      </c>
      <c r="Q169" s="54">
        <v>22</v>
      </c>
      <c r="R169" s="54" t="s">
        <v>576</v>
      </c>
      <c r="S169" s="54" t="s">
        <v>3512</v>
      </c>
      <c r="T169" s="54" t="s">
        <v>622</v>
      </c>
      <c r="U169" s="54" t="s">
        <v>3466</v>
      </c>
      <c r="V169" s="54">
        <v>50</v>
      </c>
      <c r="W169" s="54" t="s">
        <v>3451</v>
      </c>
      <c r="X169" s="57" t="s">
        <v>495</v>
      </c>
    </row>
    <row r="170" spans="1:24" ht="15" customHeight="1" x14ac:dyDescent="0.25">
      <c r="A170" s="54" t="s">
        <v>3838</v>
      </c>
      <c r="B170" s="54" t="s">
        <v>1588</v>
      </c>
      <c r="C170" s="54" t="s">
        <v>622</v>
      </c>
      <c r="D170" s="54" t="s">
        <v>3461</v>
      </c>
      <c r="E170" s="54" t="s">
        <v>3462</v>
      </c>
      <c r="F170" s="54" t="s">
        <v>3454</v>
      </c>
      <c r="G170" s="54">
        <v>42.3</v>
      </c>
      <c r="H170" s="54">
        <v>287672</v>
      </c>
      <c r="I170" s="54">
        <v>4.5751999999999997</v>
      </c>
      <c r="J170" s="54" t="s">
        <v>3839</v>
      </c>
      <c r="K170" s="54">
        <v>4.2</v>
      </c>
      <c r="L170" s="54" t="s">
        <v>3491</v>
      </c>
      <c r="M170" s="54" t="s">
        <v>587</v>
      </c>
      <c r="N170" s="54">
        <v>12.8</v>
      </c>
      <c r="O170" s="54">
        <v>38.200000000000003</v>
      </c>
      <c r="P170" s="54">
        <v>22.6</v>
      </c>
      <c r="Q170" s="54">
        <v>33.200000000000003</v>
      </c>
      <c r="R170" s="54" t="s">
        <v>576</v>
      </c>
      <c r="S170" s="54" t="s">
        <v>3449</v>
      </c>
      <c r="T170" s="54" t="s">
        <v>1676</v>
      </c>
      <c r="U170" s="54" t="s">
        <v>3450</v>
      </c>
      <c r="V170" s="54">
        <v>27</v>
      </c>
      <c r="W170" s="54" t="s">
        <v>1652</v>
      </c>
      <c r="X170" s="57" t="s">
        <v>495</v>
      </c>
    </row>
    <row r="171" spans="1:24" ht="15" customHeight="1" x14ac:dyDescent="0.25">
      <c r="A171" s="54" t="s">
        <v>3840</v>
      </c>
      <c r="B171" s="54" t="s">
        <v>2403</v>
      </c>
      <c r="C171" s="54" t="s">
        <v>1640</v>
      </c>
      <c r="D171" s="54" t="s">
        <v>3453</v>
      </c>
      <c r="E171" s="54" t="s">
        <v>3556</v>
      </c>
      <c r="F171" s="54" t="s">
        <v>3447</v>
      </c>
      <c r="G171" s="54">
        <v>9.1999999999999993</v>
      </c>
      <c r="H171" s="54">
        <v>196471</v>
      </c>
      <c r="I171" s="54">
        <v>0.3695</v>
      </c>
      <c r="J171" s="54" t="s">
        <v>3841</v>
      </c>
      <c r="K171" s="54">
        <v>6.1</v>
      </c>
      <c r="L171" s="54" t="s">
        <v>3491</v>
      </c>
      <c r="M171" s="54" t="s">
        <v>576</v>
      </c>
      <c r="N171" s="54">
        <v>7.2</v>
      </c>
      <c r="O171" s="54">
        <v>6.9</v>
      </c>
      <c r="P171" s="54">
        <v>6.5</v>
      </c>
      <c r="Q171" s="54">
        <v>49.2</v>
      </c>
      <c r="R171" s="54" t="s">
        <v>587</v>
      </c>
      <c r="S171" s="54" t="s">
        <v>3449</v>
      </c>
      <c r="T171" s="54" t="s">
        <v>1676</v>
      </c>
      <c r="U171" s="54" t="s">
        <v>3466</v>
      </c>
      <c r="V171" s="54">
        <v>36</v>
      </c>
      <c r="W171" s="54" t="s">
        <v>3451</v>
      </c>
      <c r="X171" s="57" t="s">
        <v>495</v>
      </c>
    </row>
    <row r="172" spans="1:24" ht="15" customHeight="1" x14ac:dyDescent="0.25">
      <c r="A172" s="54" t="s">
        <v>3842</v>
      </c>
      <c r="B172" s="54" t="s">
        <v>3843</v>
      </c>
      <c r="C172" s="54" t="s">
        <v>1640</v>
      </c>
      <c r="D172" s="54" t="s">
        <v>3482</v>
      </c>
      <c r="E172" s="54" t="s">
        <v>3528</v>
      </c>
      <c r="F172" s="54" t="s">
        <v>3447</v>
      </c>
      <c r="G172" s="54">
        <v>28.5</v>
      </c>
      <c r="H172" s="54">
        <v>215004</v>
      </c>
      <c r="I172" s="54">
        <v>1.5092000000000001</v>
      </c>
      <c r="J172" s="54" t="s">
        <v>3844</v>
      </c>
      <c r="K172" s="54">
        <v>9</v>
      </c>
      <c r="L172" s="54" t="s">
        <v>3491</v>
      </c>
      <c r="M172" s="54" t="s">
        <v>576</v>
      </c>
      <c r="N172" s="54">
        <v>29.6</v>
      </c>
      <c r="O172" s="54">
        <v>74.2</v>
      </c>
      <c r="P172" s="54">
        <v>19.100000000000001</v>
      </c>
      <c r="Q172" s="54">
        <v>59.3</v>
      </c>
      <c r="R172" s="54" t="s">
        <v>576</v>
      </c>
      <c r="S172" s="54" t="s">
        <v>3449</v>
      </c>
      <c r="T172" s="54" t="s">
        <v>1640</v>
      </c>
      <c r="U172" s="54" t="s">
        <v>3015</v>
      </c>
      <c r="V172" s="54">
        <v>47</v>
      </c>
      <c r="W172" s="54" t="s">
        <v>3451</v>
      </c>
      <c r="X172" s="57" t="s">
        <v>495</v>
      </c>
    </row>
    <row r="173" spans="1:24" ht="15" customHeight="1" x14ac:dyDescent="0.25">
      <c r="A173" s="54" t="s">
        <v>3845</v>
      </c>
      <c r="B173" s="54" t="s">
        <v>1544</v>
      </c>
      <c r="C173" s="54" t="s">
        <v>622</v>
      </c>
      <c r="D173" s="54" t="s">
        <v>3453</v>
      </c>
      <c r="E173" s="54" t="s">
        <v>161</v>
      </c>
      <c r="F173" s="54" t="s">
        <v>3447</v>
      </c>
      <c r="G173" s="54">
        <v>31.3</v>
      </c>
      <c r="H173" s="54">
        <v>410463</v>
      </c>
      <c r="I173" s="54">
        <v>2.3631000000000002</v>
      </c>
      <c r="J173" s="54" t="s">
        <v>3846</v>
      </c>
      <c r="K173" s="54">
        <v>3.7</v>
      </c>
      <c r="L173" s="54" t="s">
        <v>1684</v>
      </c>
      <c r="M173" s="54" t="s">
        <v>587</v>
      </c>
      <c r="N173" s="54">
        <v>26.5</v>
      </c>
      <c r="O173" s="54">
        <v>6.8</v>
      </c>
      <c r="P173" s="54">
        <v>22.8</v>
      </c>
      <c r="Q173" s="54">
        <v>65</v>
      </c>
      <c r="R173" s="54" t="s">
        <v>1684</v>
      </c>
      <c r="S173" s="54" t="s">
        <v>3449</v>
      </c>
      <c r="T173" s="54" t="s">
        <v>1676</v>
      </c>
      <c r="U173" s="54" t="s">
        <v>3466</v>
      </c>
      <c r="V173" s="54">
        <v>12</v>
      </c>
      <c r="W173" s="54" t="s">
        <v>3451</v>
      </c>
      <c r="X173" s="57" t="s">
        <v>495</v>
      </c>
    </row>
    <row r="174" spans="1:24" ht="15" customHeight="1" x14ac:dyDescent="0.25">
      <c r="A174" s="54" t="s">
        <v>3847</v>
      </c>
      <c r="B174" s="54" t="s">
        <v>3848</v>
      </c>
      <c r="C174" s="54" t="s">
        <v>1676</v>
      </c>
      <c r="D174" s="54" t="s">
        <v>3473</v>
      </c>
      <c r="E174" s="54" t="s">
        <v>3462</v>
      </c>
      <c r="F174" s="54" t="s">
        <v>3463</v>
      </c>
      <c r="G174" s="54">
        <v>1.1000000000000001</v>
      </c>
      <c r="H174" s="54">
        <v>152830</v>
      </c>
      <c r="I174" s="54">
        <v>0.90200000000000002</v>
      </c>
      <c r="J174" s="54" t="s">
        <v>3849</v>
      </c>
      <c r="K174" s="54">
        <v>6.9</v>
      </c>
      <c r="L174" s="54" t="s">
        <v>3491</v>
      </c>
      <c r="M174" s="54" t="s">
        <v>587</v>
      </c>
      <c r="N174" s="54">
        <v>7.8</v>
      </c>
      <c r="O174" s="54">
        <v>62.5</v>
      </c>
      <c r="P174" s="54">
        <v>18.100000000000001</v>
      </c>
      <c r="Q174" s="54">
        <v>7.3</v>
      </c>
      <c r="R174" s="54" t="s">
        <v>587</v>
      </c>
      <c r="S174" s="54" t="s">
        <v>3512</v>
      </c>
      <c r="T174" s="54" t="s">
        <v>622</v>
      </c>
      <c r="U174" s="54" t="s">
        <v>3015</v>
      </c>
      <c r="V174" s="54">
        <v>14</v>
      </c>
      <c r="W174" s="54" t="s">
        <v>1652</v>
      </c>
      <c r="X174" s="57" t="s">
        <v>495</v>
      </c>
    </row>
    <row r="175" spans="1:24" ht="15" customHeight="1" x14ac:dyDescent="0.25">
      <c r="A175" s="54" t="s">
        <v>3850</v>
      </c>
      <c r="B175" s="54" t="s">
        <v>2257</v>
      </c>
      <c r="C175" s="54" t="s">
        <v>622</v>
      </c>
      <c r="D175" s="54" t="s">
        <v>3445</v>
      </c>
      <c r="E175" s="54" t="s">
        <v>3446</v>
      </c>
      <c r="F175" s="54" t="s">
        <v>3454</v>
      </c>
      <c r="G175" s="54">
        <v>7.7</v>
      </c>
      <c r="H175" s="54">
        <v>426474</v>
      </c>
      <c r="I175" s="54">
        <v>1.6573</v>
      </c>
      <c r="J175" s="54" t="s">
        <v>3851</v>
      </c>
      <c r="K175" s="54">
        <v>3.9</v>
      </c>
      <c r="L175" s="54" t="s">
        <v>3491</v>
      </c>
      <c r="M175" s="54" t="s">
        <v>576</v>
      </c>
      <c r="N175" s="54">
        <v>2.1</v>
      </c>
      <c r="O175" s="54">
        <v>62.1</v>
      </c>
      <c r="P175" s="54">
        <v>10.7</v>
      </c>
      <c r="Q175" s="54">
        <v>27.5</v>
      </c>
      <c r="R175" s="54" t="s">
        <v>1684</v>
      </c>
      <c r="S175" s="54" t="s">
        <v>3465</v>
      </c>
      <c r="T175" s="54" t="s">
        <v>1640</v>
      </c>
      <c r="U175" s="54" t="s">
        <v>3450</v>
      </c>
      <c r="V175" s="54">
        <v>47</v>
      </c>
      <c r="W175" s="54" t="s">
        <v>3451</v>
      </c>
      <c r="X175" s="57" t="s">
        <v>495</v>
      </c>
    </row>
    <row r="176" spans="1:24" ht="15" customHeight="1" x14ac:dyDescent="0.25">
      <c r="A176" s="54" t="s">
        <v>3852</v>
      </c>
      <c r="B176" s="54" t="s">
        <v>1338</v>
      </c>
      <c r="C176" s="54" t="s">
        <v>3472</v>
      </c>
      <c r="D176" s="54" t="s">
        <v>3468</v>
      </c>
      <c r="E176" s="54" t="s">
        <v>3474</v>
      </c>
      <c r="F176" s="54" t="s">
        <v>3463</v>
      </c>
      <c r="G176" s="54">
        <v>43.9</v>
      </c>
      <c r="H176" s="54">
        <v>437024</v>
      </c>
      <c r="I176" s="54">
        <v>3.0508999999999999</v>
      </c>
      <c r="J176" s="54" t="s">
        <v>3853</v>
      </c>
      <c r="K176" s="54">
        <v>6.1</v>
      </c>
      <c r="L176" s="54" t="s">
        <v>3491</v>
      </c>
      <c r="M176" s="54" t="s">
        <v>587</v>
      </c>
      <c r="N176" s="54">
        <v>21.7</v>
      </c>
      <c r="O176" s="54">
        <v>94.4</v>
      </c>
      <c r="P176" s="54">
        <v>2.9</v>
      </c>
      <c r="Q176" s="54">
        <v>75.599999999999994</v>
      </c>
      <c r="R176" s="54" t="s">
        <v>1684</v>
      </c>
      <c r="S176" s="54" t="s">
        <v>3470</v>
      </c>
      <c r="T176" s="54" t="s">
        <v>1640</v>
      </c>
      <c r="U176" s="54" t="s">
        <v>3450</v>
      </c>
      <c r="V176" s="54">
        <v>36</v>
      </c>
      <c r="W176" s="54" t="s">
        <v>1652</v>
      </c>
      <c r="X176" s="57" t="s">
        <v>495</v>
      </c>
    </row>
    <row r="177" spans="1:24" ht="15" customHeight="1" x14ac:dyDescent="0.25">
      <c r="A177" s="54" t="s">
        <v>3854</v>
      </c>
      <c r="B177" s="54" t="s">
        <v>3855</v>
      </c>
      <c r="C177" s="54" t="s">
        <v>3472</v>
      </c>
      <c r="D177" s="54" t="s">
        <v>3468</v>
      </c>
      <c r="E177" s="54" t="s">
        <v>3462</v>
      </c>
      <c r="F177" s="54" t="s">
        <v>3493</v>
      </c>
      <c r="G177" s="54">
        <v>71</v>
      </c>
      <c r="H177" s="54">
        <v>346443</v>
      </c>
      <c r="I177" s="54">
        <v>2.3833000000000002</v>
      </c>
      <c r="J177" s="54" t="s">
        <v>3856</v>
      </c>
      <c r="K177" s="54">
        <v>6.7</v>
      </c>
      <c r="L177" s="54" t="s">
        <v>3459</v>
      </c>
      <c r="M177" s="54" t="s">
        <v>587</v>
      </c>
      <c r="N177" s="54">
        <v>31</v>
      </c>
      <c r="O177" s="54">
        <v>42.1</v>
      </c>
      <c r="P177" s="54">
        <v>22.5</v>
      </c>
      <c r="Q177" s="54">
        <v>35.6</v>
      </c>
      <c r="R177" s="54" t="s">
        <v>587</v>
      </c>
      <c r="S177" s="54" t="s">
        <v>3465</v>
      </c>
      <c r="T177" s="54" t="s">
        <v>1676</v>
      </c>
      <c r="U177" s="54" t="s">
        <v>3015</v>
      </c>
      <c r="V177" s="54">
        <v>46</v>
      </c>
      <c r="W177" s="54" t="s">
        <v>3451</v>
      </c>
      <c r="X177" s="57" t="s">
        <v>495</v>
      </c>
    </row>
    <row r="178" spans="1:24" ht="15" customHeight="1" x14ac:dyDescent="0.25">
      <c r="A178" s="54" t="s">
        <v>3857</v>
      </c>
      <c r="B178" s="54" t="s">
        <v>2075</v>
      </c>
      <c r="C178" s="54" t="s">
        <v>1640</v>
      </c>
      <c r="D178" s="54" t="s">
        <v>3516</v>
      </c>
      <c r="E178" s="54" t="s">
        <v>161</v>
      </c>
      <c r="F178" s="54" t="s">
        <v>3454</v>
      </c>
      <c r="G178" s="54">
        <v>4.5</v>
      </c>
      <c r="H178" s="54">
        <v>119247</v>
      </c>
      <c r="I178" s="54">
        <v>0.57569999999999999</v>
      </c>
      <c r="J178" s="54" t="s">
        <v>3858</v>
      </c>
      <c r="K178" s="54">
        <v>5.3</v>
      </c>
      <c r="L178" s="54" t="s">
        <v>3480</v>
      </c>
      <c r="M178" s="54" t="s">
        <v>587</v>
      </c>
      <c r="N178" s="54">
        <v>5.3</v>
      </c>
      <c r="O178" s="54">
        <v>7.1</v>
      </c>
      <c r="P178" s="54">
        <v>12</v>
      </c>
      <c r="Q178" s="54">
        <v>17.3</v>
      </c>
      <c r="R178" s="54" t="s">
        <v>576</v>
      </c>
      <c r="S178" s="54" t="s">
        <v>3476</v>
      </c>
      <c r="T178" s="54" t="s">
        <v>1640</v>
      </c>
      <c r="U178" s="54" t="s">
        <v>3466</v>
      </c>
      <c r="V178" s="54">
        <v>3</v>
      </c>
      <c r="W178" s="54" t="s">
        <v>3451</v>
      </c>
      <c r="X178" s="57" t="s">
        <v>495</v>
      </c>
    </row>
    <row r="179" spans="1:24" ht="15" customHeight="1" x14ac:dyDescent="0.25">
      <c r="A179" s="46" t="s">
        <v>3859</v>
      </c>
      <c r="B179" s="46" t="s">
        <v>1374</v>
      </c>
      <c r="C179" s="46" t="s">
        <v>1676</v>
      </c>
      <c r="D179" s="46" t="s">
        <v>3473</v>
      </c>
      <c r="E179" s="46" t="s">
        <v>3586</v>
      </c>
      <c r="F179" s="46" t="s">
        <v>3493</v>
      </c>
      <c r="G179" s="46">
        <v>14.1</v>
      </c>
      <c r="H179" s="46">
        <v>391180</v>
      </c>
      <c r="I179" s="46">
        <v>0.8417</v>
      </c>
      <c r="J179" s="46" t="s">
        <v>3860</v>
      </c>
      <c r="K179" s="46">
        <v>6.3</v>
      </c>
      <c r="L179" s="46" t="s">
        <v>3491</v>
      </c>
      <c r="M179" s="46" t="s">
        <v>576</v>
      </c>
      <c r="N179" s="46">
        <v>10.9</v>
      </c>
      <c r="O179" s="46">
        <v>6</v>
      </c>
      <c r="P179" s="46">
        <v>7.5</v>
      </c>
      <c r="Q179" s="46">
        <v>16.3</v>
      </c>
      <c r="R179" s="46" t="s">
        <v>587</v>
      </c>
      <c r="S179" s="46" t="s">
        <v>3495</v>
      </c>
      <c r="T179" s="46" t="s">
        <v>1640</v>
      </c>
      <c r="U179" s="46" t="s">
        <v>3466</v>
      </c>
      <c r="V179" s="46">
        <v>18</v>
      </c>
      <c r="W179" s="46" t="s">
        <v>1652</v>
      </c>
      <c r="X179" s="49" t="s">
        <v>321</v>
      </c>
    </row>
    <row r="180" spans="1:24" ht="15" customHeight="1" x14ac:dyDescent="0.25">
      <c r="A180" s="54" t="s">
        <v>3861</v>
      </c>
      <c r="B180" s="54" t="s">
        <v>2791</v>
      </c>
      <c r="C180" s="54" t="s">
        <v>1640</v>
      </c>
      <c r="D180" s="54" t="s">
        <v>3499</v>
      </c>
      <c r="E180" s="54" t="s">
        <v>161</v>
      </c>
      <c r="F180" s="54" t="s">
        <v>3447</v>
      </c>
      <c r="G180" s="54">
        <v>26.1</v>
      </c>
      <c r="H180" s="54">
        <v>166262</v>
      </c>
      <c r="I180" s="54">
        <v>1.9813000000000001</v>
      </c>
      <c r="J180" s="54" t="s">
        <v>3862</v>
      </c>
      <c r="K180" s="54">
        <v>7.2</v>
      </c>
      <c r="L180" s="54" t="s">
        <v>3491</v>
      </c>
      <c r="M180" s="54" t="s">
        <v>587</v>
      </c>
      <c r="N180" s="54">
        <v>16.399999999999999</v>
      </c>
      <c r="O180" s="54">
        <v>78.2</v>
      </c>
      <c r="P180" s="54">
        <v>14.8</v>
      </c>
      <c r="Q180" s="54">
        <v>63.3</v>
      </c>
      <c r="R180" s="54" t="s">
        <v>1684</v>
      </c>
      <c r="S180" s="54" t="s">
        <v>3476</v>
      </c>
      <c r="T180" s="54" t="s">
        <v>622</v>
      </c>
      <c r="U180" s="54" t="s">
        <v>3015</v>
      </c>
      <c r="V180" s="54">
        <v>49</v>
      </c>
      <c r="W180" s="54" t="s">
        <v>3451</v>
      </c>
      <c r="X180" s="57" t="s">
        <v>495</v>
      </c>
    </row>
    <row r="181" spans="1:24" ht="15" customHeight="1" x14ac:dyDescent="0.25">
      <c r="A181" s="54" t="s">
        <v>3863</v>
      </c>
      <c r="B181" s="54" t="s">
        <v>1480</v>
      </c>
      <c r="C181" s="54" t="s">
        <v>1640</v>
      </c>
      <c r="D181" s="54" t="s">
        <v>3461</v>
      </c>
      <c r="E181" s="54" t="s">
        <v>3474</v>
      </c>
      <c r="F181" s="54" t="s">
        <v>3454</v>
      </c>
      <c r="G181" s="54">
        <v>3.3</v>
      </c>
      <c r="H181" s="54">
        <v>101970</v>
      </c>
      <c r="I181" s="54">
        <v>1.0088999999999999</v>
      </c>
      <c r="J181" s="54" t="s">
        <v>3864</v>
      </c>
      <c r="K181" s="54">
        <v>6.4</v>
      </c>
      <c r="L181" s="54" t="s">
        <v>3459</v>
      </c>
      <c r="M181" s="54" t="s">
        <v>587</v>
      </c>
      <c r="N181" s="54">
        <v>25.7</v>
      </c>
      <c r="O181" s="54">
        <v>35.700000000000003</v>
      </c>
      <c r="P181" s="54">
        <v>13.3</v>
      </c>
      <c r="Q181" s="54">
        <v>8.1999999999999993</v>
      </c>
      <c r="R181" s="54" t="s">
        <v>1684</v>
      </c>
      <c r="S181" s="54" t="s">
        <v>3476</v>
      </c>
      <c r="T181" s="54" t="s">
        <v>1640</v>
      </c>
      <c r="U181" s="54" t="s">
        <v>3466</v>
      </c>
      <c r="V181" s="54">
        <v>16</v>
      </c>
      <c r="W181" s="54" t="s">
        <v>3451</v>
      </c>
      <c r="X181" s="57" t="s">
        <v>495</v>
      </c>
    </row>
    <row r="182" spans="1:24" ht="15" customHeight="1" x14ac:dyDescent="0.25">
      <c r="A182" s="54" t="s">
        <v>3865</v>
      </c>
      <c r="B182" s="54" t="s">
        <v>812</v>
      </c>
      <c r="C182" s="54" t="s">
        <v>1640</v>
      </c>
      <c r="D182" s="54" t="s">
        <v>3468</v>
      </c>
      <c r="E182" s="54" t="s">
        <v>3446</v>
      </c>
      <c r="F182" s="54" t="s">
        <v>3463</v>
      </c>
      <c r="G182" s="54">
        <v>27.7</v>
      </c>
      <c r="H182" s="54">
        <v>258895</v>
      </c>
      <c r="I182" s="54">
        <v>0.30780000000000002</v>
      </c>
      <c r="J182" s="54" t="s">
        <v>3866</v>
      </c>
      <c r="K182" s="54">
        <v>1</v>
      </c>
      <c r="L182" s="54" t="s">
        <v>3480</v>
      </c>
      <c r="M182" s="54" t="s">
        <v>576</v>
      </c>
      <c r="N182" s="54">
        <v>29.6</v>
      </c>
      <c r="O182" s="54">
        <v>89.4</v>
      </c>
      <c r="P182" s="54">
        <v>19.3</v>
      </c>
      <c r="Q182" s="54">
        <v>57.9</v>
      </c>
      <c r="R182" s="54" t="s">
        <v>587</v>
      </c>
      <c r="S182" s="54" t="s">
        <v>3495</v>
      </c>
      <c r="T182" s="54" t="s">
        <v>1676</v>
      </c>
      <c r="U182" s="54" t="s">
        <v>3015</v>
      </c>
      <c r="V182" s="54">
        <v>17</v>
      </c>
      <c r="W182" s="54" t="s">
        <v>1652</v>
      </c>
      <c r="X182" s="57" t="s">
        <v>495</v>
      </c>
    </row>
    <row r="183" spans="1:24" ht="15" customHeight="1" x14ac:dyDescent="0.25">
      <c r="A183" s="54" t="s">
        <v>3867</v>
      </c>
      <c r="B183" s="54" t="s">
        <v>1398</v>
      </c>
      <c r="C183" s="54" t="s">
        <v>622</v>
      </c>
      <c r="D183" s="54" t="s">
        <v>3504</v>
      </c>
      <c r="E183" s="54" t="s">
        <v>3474</v>
      </c>
      <c r="F183" s="54" t="s">
        <v>3493</v>
      </c>
      <c r="G183" s="54">
        <v>5.9</v>
      </c>
      <c r="H183" s="54">
        <v>358025</v>
      </c>
      <c r="I183" s="54">
        <v>3.0663999999999998</v>
      </c>
      <c r="J183" s="54" t="s">
        <v>3868</v>
      </c>
      <c r="K183" s="54">
        <v>4.5</v>
      </c>
      <c r="L183" s="54" t="s">
        <v>1684</v>
      </c>
      <c r="M183" s="54" t="s">
        <v>576</v>
      </c>
      <c r="N183" s="54">
        <v>12.3</v>
      </c>
      <c r="O183" s="54">
        <v>38.4</v>
      </c>
      <c r="P183" s="54">
        <v>19.8</v>
      </c>
      <c r="Q183" s="54">
        <v>45.3</v>
      </c>
      <c r="R183" s="54" t="s">
        <v>1684</v>
      </c>
      <c r="S183" s="54" t="s">
        <v>3495</v>
      </c>
      <c r="T183" s="54" t="s">
        <v>622</v>
      </c>
      <c r="U183" s="54" t="s">
        <v>3015</v>
      </c>
      <c r="V183" s="54">
        <v>47</v>
      </c>
      <c r="W183" s="54" t="s">
        <v>1652</v>
      </c>
      <c r="X183" s="57" t="s">
        <v>495</v>
      </c>
    </row>
    <row r="184" spans="1:24" ht="15" customHeight="1" x14ac:dyDescent="0.25">
      <c r="A184" s="46" t="s">
        <v>3869</v>
      </c>
      <c r="B184" s="46" t="s">
        <v>2007</v>
      </c>
      <c r="C184" s="46" t="s">
        <v>1640</v>
      </c>
      <c r="D184" s="46" t="s">
        <v>3504</v>
      </c>
      <c r="E184" s="46" t="s">
        <v>3586</v>
      </c>
      <c r="F184" s="46" t="s">
        <v>3493</v>
      </c>
      <c r="G184" s="46">
        <v>12.4</v>
      </c>
      <c r="H184" s="46">
        <v>366855</v>
      </c>
      <c r="I184" s="46">
        <v>0.56210000000000004</v>
      </c>
      <c r="J184" s="46" t="s">
        <v>3870</v>
      </c>
      <c r="K184" s="46">
        <v>9.6999999999999993</v>
      </c>
      <c r="L184" s="46" t="s">
        <v>3491</v>
      </c>
      <c r="M184" s="46" t="s">
        <v>587</v>
      </c>
      <c r="N184" s="46">
        <v>34.799999999999997</v>
      </c>
      <c r="O184" s="46">
        <v>71.5</v>
      </c>
      <c r="P184" s="46">
        <v>5.4</v>
      </c>
      <c r="Q184" s="46">
        <v>17.899999999999999</v>
      </c>
      <c r="R184" s="46" t="s">
        <v>576</v>
      </c>
      <c r="S184" s="46" t="s">
        <v>3495</v>
      </c>
      <c r="T184" s="46" t="s">
        <v>622</v>
      </c>
      <c r="U184" s="46" t="s">
        <v>3466</v>
      </c>
      <c r="V184" s="46">
        <v>8</v>
      </c>
      <c r="W184" s="46" t="s">
        <v>3451</v>
      </c>
      <c r="X184" s="49" t="s">
        <v>321</v>
      </c>
    </row>
    <row r="185" spans="1:24" ht="15" customHeight="1" x14ac:dyDescent="0.25">
      <c r="A185" s="54" t="s">
        <v>3871</v>
      </c>
      <c r="B185" s="54" t="s">
        <v>3872</v>
      </c>
      <c r="C185" s="54" t="s">
        <v>3472</v>
      </c>
      <c r="D185" s="54" t="s">
        <v>3453</v>
      </c>
      <c r="E185" s="54" t="s">
        <v>3478</v>
      </c>
      <c r="F185" s="54" t="s">
        <v>3454</v>
      </c>
      <c r="G185" s="54">
        <v>68.8</v>
      </c>
      <c r="H185" s="54">
        <v>266933</v>
      </c>
      <c r="I185" s="54">
        <v>4.2641</v>
      </c>
      <c r="J185" s="54" t="s">
        <v>3873</v>
      </c>
      <c r="K185" s="54">
        <v>5.4</v>
      </c>
      <c r="L185" s="54" t="s">
        <v>3491</v>
      </c>
      <c r="M185" s="54" t="s">
        <v>576</v>
      </c>
      <c r="N185" s="54">
        <v>30</v>
      </c>
      <c r="O185" s="54">
        <v>6</v>
      </c>
      <c r="P185" s="54">
        <v>16.5</v>
      </c>
      <c r="Q185" s="54">
        <v>11.2</v>
      </c>
      <c r="R185" s="54" t="s">
        <v>1684</v>
      </c>
      <c r="S185" s="54" t="s">
        <v>3470</v>
      </c>
      <c r="T185" s="54" t="s">
        <v>1676</v>
      </c>
      <c r="U185" s="54" t="s">
        <v>3015</v>
      </c>
      <c r="V185" s="54">
        <v>46</v>
      </c>
      <c r="W185" s="54" t="s">
        <v>3451</v>
      </c>
      <c r="X185" s="57" t="s">
        <v>495</v>
      </c>
    </row>
    <row r="186" spans="1:24" ht="15" customHeight="1" x14ac:dyDescent="0.25">
      <c r="A186" s="54" t="s">
        <v>3874</v>
      </c>
      <c r="B186" s="54" t="s">
        <v>1364</v>
      </c>
      <c r="C186" s="54" t="s">
        <v>1676</v>
      </c>
      <c r="D186" s="54" t="s">
        <v>3461</v>
      </c>
      <c r="E186" s="54" t="s">
        <v>3474</v>
      </c>
      <c r="F186" s="54" t="s">
        <v>3447</v>
      </c>
      <c r="G186" s="54">
        <v>7.9</v>
      </c>
      <c r="H186" s="54">
        <v>282602</v>
      </c>
      <c r="I186" s="54">
        <v>0.1414</v>
      </c>
      <c r="J186" s="54" t="s">
        <v>3875</v>
      </c>
      <c r="K186" s="54">
        <v>6</v>
      </c>
      <c r="L186" s="54" t="s">
        <v>3480</v>
      </c>
      <c r="M186" s="54" t="s">
        <v>576</v>
      </c>
      <c r="N186" s="54">
        <v>40.1</v>
      </c>
      <c r="O186" s="54">
        <v>25.6</v>
      </c>
      <c r="P186" s="54">
        <v>16</v>
      </c>
      <c r="Q186" s="54">
        <v>10.7</v>
      </c>
      <c r="R186" s="54" t="s">
        <v>1684</v>
      </c>
      <c r="S186" s="54" t="s">
        <v>3465</v>
      </c>
      <c r="T186" s="54" t="s">
        <v>1676</v>
      </c>
      <c r="U186" s="54" t="s">
        <v>3466</v>
      </c>
      <c r="V186" s="54">
        <v>29</v>
      </c>
      <c r="W186" s="54" t="s">
        <v>3451</v>
      </c>
      <c r="X186" s="57" t="s">
        <v>495</v>
      </c>
    </row>
    <row r="187" spans="1:24" ht="15" customHeight="1" x14ac:dyDescent="0.25">
      <c r="A187" s="54" t="s">
        <v>3876</v>
      </c>
      <c r="B187" s="54" t="s">
        <v>2516</v>
      </c>
      <c r="C187" s="54" t="s">
        <v>1676</v>
      </c>
      <c r="D187" s="54" t="s">
        <v>3461</v>
      </c>
      <c r="E187" s="54" t="s">
        <v>161</v>
      </c>
      <c r="F187" s="54" t="s">
        <v>3463</v>
      </c>
      <c r="G187" s="54">
        <v>9.8000000000000007</v>
      </c>
      <c r="H187" s="54">
        <v>191504</v>
      </c>
      <c r="I187" s="54">
        <v>0.95440000000000003</v>
      </c>
      <c r="J187" s="54" t="s">
        <v>3877</v>
      </c>
      <c r="K187" s="54">
        <v>3.7</v>
      </c>
      <c r="L187" s="54" t="s">
        <v>3459</v>
      </c>
      <c r="M187" s="54" t="s">
        <v>576</v>
      </c>
      <c r="N187" s="54">
        <v>46</v>
      </c>
      <c r="O187" s="54">
        <v>89.7</v>
      </c>
      <c r="P187" s="54">
        <v>2.4</v>
      </c>
      <c r="Q187" s="54">
        <v>60.6</v>
      </c>
      <c r="R187" s="54" t="s">
        <v>587</v>
      </c>
      <c r="S187" s="54" t="s">
        <v>3465</v>
      </c>
      <c r="T187" s="54" t="s">
        <v>622</v>
      </c>
      <c r="U187" s="54" t="s">
        <v>3450</v>
      </c>
      <c r="V187" s="54">
        <v>39</v>
      </c>
      <c r="W187" s="54" t="s">
        <v>3451</v>
      </c>
      <c r="X187" s="57" t="s">
        <v>495</v>
      </c>
    </row>
    <row r="188" spans="1:24" ht="15" customHeight="1" x14ac:dyDescent="0.25">
      <c r="A188" s="54" t="s">
        <v>3878</v>
      </c>
      <c r="B188" s="54" t="s">
        <v>2089</v>
      </c>
      <c r="C188" s="54" t="s">
        <v>622</v>
      </c>
      <c r="D188" s="54" t="s">
        <v>3482</v>
      </c>
      <c r="E188" s="54" t="s">
        <v>161</v>
      </c>
      <c r="F188" s="54" t="s">
        <v>3447</v>
      </c>
      <c r="G188" s="54">
        <v>49.9</v>
      </c>
      <c r="H188" s="54">
        <v>214618</v>
      </c>
      <c r="I188" s="54">
        <v>1.3554999999999999</v>
      </c>
      <c r="J188" s="54" t="s">
        <v>3879</v>
      </c>
      <c r="K188" s="54">
        <v>3.9</v>
      </c>
      <c r="L188" s="54" t="s">
        <v>3491</v>
      </c>
      <c r="M188" s="54" t="s">
        <v>576</v>
      </c>
      <c r="N188" s="54">
        <v>18.5</v>
      </c>
      <c r="O188" s="54">
        <v>97.7</v>
      </c>
      <c r="P188" s="54">
        <v>3.7</v>
      </c>
      <c r="Q188" s="54">
        <v>32</v>
      </c>
      <c r="R188" s="54" t="s">
        <v>1684</v>
      </c>
      <c r="S188" s="54" t="s">
        <v>3470</v>
      </c>
      <c r="T188" s="54" t="s">
        <v>1640</v>
      </c>
      <c r="U188" s="54" t="s">
        <v>3450</v>
      </c>
      <c r="V188" s="54">
        <v>8</v>
      </c>
      <c r="W188" s="54" t="s">
        <v>3451</v>
      </c>
      <c r="X188" s="57" t="s">
        <v>495</v>
      </c>
    </row>
    <row r="189" spans="1:24" ht="15" customHeight="1" x14ac:dyDescent="0.25">
      <c r="A189" s="46" t="s">
        <v>3880</v>
      </c>
      <c r="B189" s="46" t="s">
        <v>2021</v>
      </c>
      <c r="C189" s="46" t="s">
        <v>622</v>
      </c>
      <c r="D189" s="46" t="s">
        <v>3453</v>
      </c>
      <c r="E189" s="46" t="s">
        <v>3586</v>
      </c>
      <c r="F189" s="46" t="s">
        <v>3493</v>
      </c>
      <c r="G189" s="46">
        <v>45.5</v>
      </c>
      <c r="H189" s="46">
        <v>26385</v>
      </c>
      <c r="I189" s="46">
        <v>2.9710999999999999</v>
      </c>
      <c r="J189" s="46" t="s">
        <v>3881</v>
      </c>
      <c r="K189" s="46">
        <v>4.5</v>
      </c>
      <c r="L189" s="46" t="s">
        <v>3459</v>
      </c>
      <c r="M189" s="46" t="s">
        <v>587</v>
      </c>
      <c r="N189" s="46">
        <v>20.100000000000001</v>
      </c>
      <c r="O189" s="46">
        <v>44.5</v>
      </c>
      <c r="P189" s="46">
        <v>0.7</v>
      </c>
      <c r="Q189" s="46">
        <v>5.4</v>
      </c>
      <c r="R189" s="46" t="s">
        <v>1684</v>
      </c>
      <c r="S189" s="46" t="s">
        <v>3470</v>
      </c>
      <c r="T189" s="46" t="s">
        <v>622</v>
      </c>
      <c r="U189" s="46" t="s">
        <v>3450</v>
      </c>
      <c r="V189" s="46">
        <v>41</v>
      </c>
      <c r="W189" s="46" t="s">
        <v>3451</v>
      </c>
      <c r="X189" s="49" t="s">
        <v>321</v>
      </c>
    </row>
    <row r="190" spans="1:24" ht="15" customHeight="1" x14ac:dyDescent="0.25">
      <c r="A190" s="54" t="s">
        <v>3882</v>
      </c>
      <c r="B190" s="54" t="s">
        <v>752</v>
      </c>
      <c r="C190" s="54" t="s">
        <v>622</v>
      </c>
      <c r="D190" s="54" t="s">
        <v>3504</v>
      </c>
      <c r="E190" s="54" t="s">
        <v>3528</v>
      </c>
      <c r="F190" s="54" t="s">
        <v>3463</v>
      </c>
      <c r="G190" s="54">
        <v>43.3</v>
      </c>
      <c r="H190" s="54">
        <v>311569</v>
      </c>
      <c r="I190" s="54">
        <v>3.2639</v>
      </c>
      <c r="J190" s="54" t="s">
        <v>3883</v>
      </c>
      <c r="K190" s="54">
        <v>1.5</v>
      </c>
      <c r="L190" s="54" t="s">
        <v>1684</v>
      </c>
      <c r="M190" s="54" t="s">
        <v>576</v>
      </c>
      <c r="N190" s="54">
        <v>7.6</v>
      </c>
      <c r="O190" s="54">
        <v>15.3</v>
      </c>
      <c r="P190" s="54">
        <v>14.8</v>
      </c>
      <c r="Q190" s="54">
        <v>28.4</v>
      </c>
      <c r="R190" s="54" t="s">
        <v>1684</v>
      </c>
      <c r="S190" s="54" t="s">
        <v>3449</v>
      </c>
      <c r="T190" s="54" t="s">
        <v>1640</v>
      </c>
      <c r="U190" s="54" t="s">
        <v>3466</v>
      </c>
      <c r="V190" s="54">
        <v>36</v>
      </c>
      <c r="W190" s="54" t="s">
        <v>3451</v>
      </c>
      <c r="X190" s="57" t="s">
        <v>495</v>
      </c>
    </row>
    <row r="191" spans="1:24" ht="15" customHeight="1" x14ac:dyDescent="0.25">
      <c r="A191" s="54" t="s">
        <v>3884</v>
      </c>
      <c r="B191" s="54" t="s">
        <v>2504</v>
      </c>
      <c r="C191" s="54" t="s">
        <v>1640</v>
      </c>
      <c r="D191" s="54" t="s">
        <v>3445</v>
      </c>
      <c r="E191" s="54" t="s">
        <v>3474</v>
      </c>
      <c r="F191" s="54" t="s">
        <v>3447</v>
      </c>
      <c r="G191" s="54">
        <v>2.2000000000000002</v>
      </c>
      <c r="H191" s="54">
        <v>280679</v>
      </c>
      <c r="I191" s="54">
        <v>1.6335</v>
      </c>
      <c r="J191" s="54" t="s">
        <v>3885</v>
      </c>
      <c r="K191" s="54">
        <v>2.2000000000000002</v>
      </c>
      <c r="L191" s="54" t="s">
        <v>3491</v>
      </c>
      <c r="M191" s="54" t="s">
        <v>587</v>
      </c>
      <c r="N191" s="54">
        <v>45.9</v>
      </c>
      <c r="O191" s="54">
        <v>94.9</v>
      </c>
      <c r="P191" s="54">
        <v>22.5</v>
      </c>
      <c r="Q191" s="54">
        <v>53.6</v>
      </c>
      <c r="R191" s="54" t="s">
        <v>587</v>
      </c>
      <c r="S191" s="54" t="s">
        <v>3495</v>
      </c>
      <c r="T191" s="54" t="s">
        <v>622</v>
      </c>
      <c r="U191" s="54" t="s">
        <v>3015</v>
      </c>
      <c r="V191" s="54">
        <v>8</v>
      </c>
      <c r="W191" s="54" t="s">
        <v>1652</v>
      </c>
      <c r="X191" s="57" t="s">
        <v>495</v>
      </c>
    </row>
    <row r="192" spans="1:24" ht="15" customHeight="1" x14ac:dyDescent="0.25">
      <c r="A192" s="54" t="s">
        <v>3886</v>
      </c>
      <c r="B192" s="54" t="s">
        <v>1608</v>
      </c>
      <c r="C192" s="54" t="s">
        <v>1640</v>
      </c>
      <c r="D192" s="54" t="s">
        <v>3504</v>
      </c>
      <c r="E192" s="54" t="s">
        <v>3478</v>
      </c>
      <c r="F192" s="54" t="s">
        <v>3454</v>
      </c>
      <c r="G192" s="54">
        <v>27.8</v>
      </c>
      <c r="H192" s="54">
        <v>48481</v>
      </c>
      <c r="I192" s="54">
        <v>0.71779999999999999</v>
      </c>
      <c r="J192" s="54" t="s">
        <v>3887</v>
      </c>
      <c r="K192" s="54">
        <v>6.7</v>
      </c>
      <c r="L192" s="54" t="s">
        <v>3459</v>
      </c>
      <c r="M192" s="54" t="s">
        <v>587</v>
      </c>
      <c r="N192" s="54">
        <v>17.7</v>
      </c>
      <c r="O192" s="54">
        <v>36.299999999999997</v>
      </c>
      <c r="P192" s="54">
        <v>5.5</v>
      </c>
      <c r="Q192" s="54">
        <v>71.099999999999994</v>
      </c>
      <c r="R192" s="54" t="s">
        <v>587</v>
      </c>
      <c r="S192" s="54" t="s">
        <v>3495</v>
      </c>
      <c r="T192" s="54" t="s">
        <v>1640</v>
      </c>
      <c r="U192" s="54" t="s">
        <v>3466</v>
      </c>
      <c r="V192" s="54">
        <v>10</v>
      </c>
      <c r="W192" s="54" t="s">
        <v>3451</v>
      </c>
      <c r="X192" s="57" t="s">
        <v>495</v>
      </c>
    </row>
    <row r="193" spans="1:24" ht="15" customHeight="1" x14ac:dyDescent="0.25">
      <c r="A193" s="54" t="s">
        <v>3888</v>
      </c>
      <c r="B193" s="54" t="s">
        <v>2504</v>
      </c>
      <c r="C193" s="54" t="s">
        <v>622</v>
      </c>
      <c r="D193" s="54" t="s">
        <v>3468</v>
      </c>
      <c r="E193" s="54" t="s">
        <v>3474</v>
      </c>
      <c r="F193" s="54" t="s">
        <v>3463</v>
      </c>
      <c r="G193" s="54">
        <v>25.7</v>
      </c>
      <c r="H193" s="54">
        <v>166096</v>
      </c>
      <c r="I193" s="54">
        <v>2.8792</v>
      </c>
      <c r="J193" s="54" t="s">
        <v>3889</v>
      </c>
      <c r="K193" s="54">
        <v>4.4000000000000004</v>
      </c>
      <c r="L193" s="54" t="s">
        <v>1684</v>
      </c>
      <c r="M193" s="54" t="s">
        <v>587</v>
      </c>
      <c r="N193" s="54">
        <v>5.6</v>
      </c>
      <c r="O193" s="54">
        <v>43.2</v>
      </c>
      <c r="P193" s="54">
        <v>3.8</v>
      </c>
      <c r="Q193" s="54">
        <v>44.3</v>
      </c>
      <c r="R193" s="54" t="s">
        <v>576</v>
      </c>
      <c r="S193" s="54" t="s">
        <v>3465</v>
      </c>
      <c r="T193" s="54" t="s">
        <v>1676</v>
      </c>
      <c r="U193" s="54" t="s">
        <v>3466</v>
      </c>
      <c r="V193" s="54">
        <v>28</v>
      </c>
      <c r="W193" s="54" t="s">
        <v>3451</v>
      </c>
      <c r="X193" s="57" t="s">
        <v>495</v>
      </c>
    </row>
    <row r="194" spans="1:24" ht="15" customHeight="1" x14ac:dyDescent="0.25">
      <c r="A194" s="54" t="s">
        <v>3890</v>
      </c>
      <c r="B194" s="54" t="s">
        <v>2508</v>
      </c>
      <c r="C194" s="54" t="s">
        <v>3472</v>
      </c>
      <c r="D194" s="54" t="s">
        <v>3482</v>
      </c>
      <c r="E194" s="54" t="s">
        <v>3586</v>
      </c>
      <c r="F194" s="54" t="s">
        <v>3493</v>
      </c>
      <c r="G194" s="54">
        <v>19.8</v>
      </c>
      <c r="H194" s="54">
        <v>33971</v>
      </c>
      <c r="I194" s="54">
        <v>5.5990000000000002</v>
      </c>
      <c r="J194" s="54" t="s">
        <v>3891</v>
      </c>
      <c r="K194" s="54">
        <v>4.3</v>
      </c>
      <c r="L194" s="54" t="s">
        <v>3459</v>
      </c>
      <c r="M194" s="54" t="s">
        <v>587</v>
      </c>
      <c r="N194" s="54">
        <v>47.8</v>
      </c>
      <c r="O194" s="54">
        <v>68.7</v>
      </c>
      <c r="P194" s="54">
        <v>2.1</v>
      </c>
      <c r="Q194" s="54">
        <v>20</v>
      </c>
      <c r="R194" s="54" t="s">
        <v>1684</v>
      </c>
      <c r="S194" s="54" t="s">
        <v>3512</v>
      </c>
      <c r="T194" s="54" t="s">
        <v>1676</v>
      </c>
      <c r="U194" s="54" t="s">
        <v>3466</v>
      </c>
      <c r="V194" s="54">
        <v>31</v>
      </c>
      <c r="W194" s="54" t="s">
        <v>1652</v>
      </c>
      <c r="X194" s="57" t="s">
        <v>495</v>
      </c>
    </row>
    <row r="195" spans="1:24" ht="15" customHeight="1" x14ac:dyDescent="0.25">
      <c r="A195" s="54" t="s">
        <v>3892</v>
      </c>
      <c r="B195" s="54" t="s">
        <v>3663</v>
      </c>
      <c r="C195" s="54" t="s">
        <v>1640</v>
      </c>
      <c r="D195" s="54" t="s">
        <v>3468</v>
      </c>
      <c r="E195" s="54" t="s">
        <v>3556</v>
      </c>
      <c r="F195" s="54" t="s">
        <v>3447</v>
      </c>
      <c r="G195" s="54">
        <v>17.600000000000001</v>
      </c>
      <c r="H195" s="54">
        <v>94974</v>
      </c>
      <c r="I195" s="54">
        <v>1.0589</v>
      </c>
      <c r="J195" s="54" t="s">
        <v>3893</v>
      </c>
      <c r="K195" s="54">
        <v>1.7</v>
      </c>
      <c r="L195" s="54" t="s">
        <v>1684</v>
      </c>
      <c r="M195" s="54" t="s">
        <v>587</v>
      </c>
      <c r="N195" s="54">
        <v>15.7</v>
      </c>
      <c r="O195" s="54">
        <v>57.6</v>
      </c>
      <c r="P195" s="54">
        <v>1.8</v>
      </c>
      <c r="Q195" s="54">
        <v>31.3</v>
      </c>
      <c r="R195" s="54" t="s">
        <v>587</v>
      </c>
      <c r="S195" s="54" t="s">
        <v>3512</v>
      </c>
      <c r="T195" s="54" t="s">
        <v>622</v>
      </c>
      <c r="U195" s="54" t="s">
        <v>3466</v>
      </c>
      <c r="V195" s="54">
        <v>13</v>
      </c>
      <c r="W195" s="54" t="s">
        <v>1652</v>
      </c>
      <c r="X195" s="57" t="s">
        <v>495</v>
      </c>
    </row>
    <row r="196" spans="1:24" ht="15" customHeight="1" x14ac:dyDescent="0.25">
      <c r="A196" s="54" t="s">
        <v>3894</v>
      </c>
      <c r="B196" s="54" t="s">
        <v>635</v>
      </c>
      <c r="C196" s="54" t="s">
        <v>622</v>
      </c>
      <c r="D196" s="54" t="s">
        <v>3453</v>
      </c>
      <c r="E196" s="54" t="s">
        <v>3586</v>
      </c>
      <c r="F196" s="54" t="s">
        <v>3454</v>
      </c>
      <c r="G196" s="54">
        <v>36.700000000000003</v>
      </c>
      <c r="H196" s="54">
        <v>490462</v>
      </c>
      <c r="I196" s="54">
        <v>1.3170999999999999</v>
      </c>
      <c r="J196" s="54" t="s">
        <v>3895</v>
      </c>
      <c r="K196" s="54">
        <v>7.8</v>
      </c>
      <c r="L196" s="54" t="s">
        <v>3491</v>
      </c>
      <c r="M196" s="54" t="s">
        <v>587</v>
      </c>
      <c r="N196" s="54">
        <v>48.2</v>
      </c>
      <c r="O196" s="54">
        <v>93.8</v>
      </c>
      <c r="P196" s="54">
        <v>20.399999999999999</v>
      </c>
      <c r="Q196" s="54">
        <v>33.6</v>
      </c>
      <c r="R196" s="54" t="s">
        <v>576</v>
      </c>
      <c r="S196" s="54" t="s">
        <v>3465</v>
      </c>
      <c r="T196" s="54" t="s">
        <v>1640</v>
      </c>
      <c r="U196" s="54" t="s">
        <v>3466</v>
      </c>
      <c r="V196" s="54">
        <v>7</v>
      </c>
      <c r="W196" s="54" t="s">
        <v>3451</v>
      </c>
      <c r="X196" s="57" t="s">
        <v>495</v>
      </c>
    </row>
    <row r="197" spans="1:24" ht="15" customHeight="1" x14ac:dyDescent="0.25">
      <c r="A197" s="54" t="s">
        <v>3896</v>
      </c>
      <c r="B197" s="54" t="s">
        <v>1476</v>
      </c>
      <c r="C197" s="54" t="s">
        <v>3472</v>
      </c>
      <c r="D197" s="54" t="s">
        <v>3453</v>
      </c>
      <c r="E197" s="54" t="s">
        <v>3478</v>
      </c>
      <c r="F197" s="54" t="s">
        <v>3447</v>
      </c>
      <c r="G197" s="54">
        <v>34.700000000000003</v>
      </c>
      <c r="H197" s="54">
        <v>197217</v>
      </c>
      <c r="I197" s="54">
        <v>6.2968000000000002</v>
      </c>
      <c r="J197" s="54" t="s">
        <v>3897</v>
      </c>
      <c r="K197" s="54">
        <v>1.4</v>
      </c>
      <c r="L197" s="54" t="s">
        <v>1684</v>
      </c>
      <c r="M197" s="54" t="s">
        <v>576</v>
      </c>
      <c r="N197" s="54">
        <v>49.7</v>
      </c>
      <c r="O197" s="54">
        <v>70</v>
      </c>
      <c r="P197" s="54">
        <v>20.399999999999999</v>
      </c>
      <c r="Q197" s="54">
        <v>64.5</v>
      </c>
      <c r="R197" s="54" t="s">
        <v>576</v>
      </c>
      <c r="S197" s="54" t="s">
        <v>3470</v>
      </c>
      <c r="T197" s="54" t="s">
        <v>1640</v>
      </c>
      <c r="U197" s="54" t="s">
        <v>3450</v>
      </c>
      <c r="V197" s="54">
        <v>0</v>
      </c>
      <c r="W197" s="54" t="s">
        <v>1652</v>
      </c>
      <c r="X197" s="57" t="s">
        <v>495</v>
      </c>
    </row>
    <row r="198" spans="1:24" ht="15" customHeight="1" x14ac:dyDescent="0.25">
      <c r="A198" s="54" t="s">
        <v>3898</v>
      </c>
      <c r="B198" s="54" t="s">
        <v>3899</v>
      </c>
      <c r="C198" s="54" t="s">
        <v>1640</v>
      </c>
      <c r="D198" s="54" t="s">
        <v>3499</v>
      </c>
      <c r="E198" s="54" t="s">
        <v>3485</v>
      </c>
      <c r="F198" s="54" t="s">
        <v>3447</v>
      </c>
      <c r="G198" s="54">
        <v>15.2</v>
      </c>
      <c r="H198" s="54">
        <v>446806</v>
      </c>
      <c r="I198" s="54">
        <v>0.69910000000000005</v>
      </c>
      <c r="J198" s="54" t="s">
        <v>3900</v>
      </c>
      <c r="K198" s="54">
        <v>7.2</v>
      </c>
      <c r="L198" s="54" t="s">
        <v>3491</v>
      </c>
      <c r="M198" s="54" t="s">
        <v>576</v>
      </c>
      <c r="N198" s="54">
        <v>39.4</v>
      </c>
      <c r="O198" s="54">
        <v>15.1</v>
      </c>
      <c r="P198" s="54">
        <v>13.8</v>
      </c>
      <c r="Q198" s="54">
        <v>69.099999999999994</v>
      </c>
      <c r="R198" s="54" t="s">
        <v>587</v>
      </c>
      <c r="S198" s="54" t="s">
        <v>3495</v>
      </c>
      <c r="T198" s="54" t="s">
        <v>1676</v>
      </c>
      <c r="U198" s="54" t="s">
        <v>3450</v>
      </c>
      <c r="V198" s="54">
        <v>35</v>
      </c>
      <c r="W198" s="54" t="s">
        <v>3451</v>
      </c>
      <c r="X198" s="57" t="s">
        <v>495</v>
      </c>
    </row>
    <row r="199" spans="1:24" ht="15" customHeight="1" x14ac:dyDescent="0.25">
      <c r="A199" s="54" t="s">
        <v>3901</v>
      </c>
      <c r="B199" s="54" t="s">
        <v>1170</v>
      </c>
      <c r="C199" s="54" t="s">
        <v>1640</v>
      </c>
      <c r="D199" s="54" t="s">
        <v>3473</v>
      </c>
      <c r="E199" s="54" t="s">
        <v>3462</v>
      </c>
      <c r="F199" s="54" t="s">
        <v>3447</v>
      </c>
      <c r="G199" s="54">
        <v>11.9</v>
      </c>
      <c r="H199" s="54">
        <v>343224</v>
      </c>
      <c r="I199" s="54">
        <v>2.1768000000000001</v>
      </c>
      <c r="J199" s="54" t="s">
        <v>3902</v>
      </c>
      <c r="K199" s="54">
        <v>2.5</v>
      </c>
      <c r="L199" s="54" t="s">
        <v>3491</v>
      </c>
      <c r="M199" s="54" t="s">
        <v>576</v>
      </c>
      <c r="N199" s="54">
        <v>31.3</v>
      </c>
      <c r="O199" s="54">
        <v>71.5</v>
      </c>
      <c r="P199" s="54">
        <v>5.8</v>
      </c>
      <c r="Q199" s="54">
        <v>43.7</v>
      </c>
      <c r="R199" s="54" t="s">
        <v>587</v>
      </c>
      <c r="S199" s="54" t="s">
        <v>3512</v>
      </c>
      <c r="T199" s="54" t="s">
        <v>1676</v>
      </c>
      <c r="U199" s="54" t="s">
        <v>3450</v>
      </c>
      <c r="V199" s="54">
        <v>8</v>
      </c>
      <c r="W199" s="54" t="s">
        <v>3451</v>
      </c>
      <c r="X199" s="57" t="s">
        <v>495</v>
      </c>
    </row>
    <row r="200" spans="1:24" ht="15" customHeight="1" x14ac:dyDescent="0.25">
      <c r="A200" s="54" t="s">
        <v>3903</v>
      </c>
      <c r="B200" s="54" t="s">
        <v>1672</v>
      </c>
      <c r="C200" s="54" t="s">
        <v>1676</v>
      </c>
      <c r="D200" s="54" t="s">
        <v>3445</v>
      </c>
      <c r="E200" s="54" t="s">
        <v>3478</v>
      </c>
      <c r="F200" s="54" t="s">
        <v>3463</v>
      </c>
      <c r="G200" s="54">
        <v>1.8</v>
      </c>
      <c r="H200" s="54">
        <v>120513</v>
      </c>
      <c r="I200" s="54">
        <v>0.63600000000000001</v>
      </c>
      <c r="J200" s="54" t="s">
        <v>3904</v>
      </c>
      <c r="K200" s="54">
        <v>5.6</v>
      </c>
      <c r="L200" s="54" t="s">
        <v>3480</v>
      </c>
      <c r="M200" s="54" t="s">
        <v>576</v>
      </c>
      <c r="N200" s="54">
        <v>11</v>
      </c>
      <c r="O200" s="54">
        <v>31.1</v>
      </c>
      <c r="P200" s="54">
        <v>16</v>
      </c>
      <c r="Q200" s="54">
        <v>49.2</v>
      </c>
      <c r="R200" s="54" t="s">
        <v>1684</v>
      </c>
      <c r="S200" s="54" t="s">
        <v>3449</v>
      </c>
      <c r="T200" s="54" t="s">
        <v>622</v>
      </c>
      <c r="U200" s="54" t="s">
        <v>3450</v>
      </c>
      <c r="V200" s="54">
        <v>43</v>
      </c>
      <c r="W200" s="54" t="s">
        <v>3451</v>
      </c>
      <c r="X200" s="57" t="s">
        <v>495</v>
      </c>
    </row>
    <row r="201" spans="1:24" ht="15" customHeight="1" x14ac:dyDescent="0.25">
      <c r="A201" s="54" t="s">
        <v>3905</v>
      </c>
      <c r="B201" s="54" t="s">
        <v>997</v>
      </c>
      <c r="C201" s="54" t="s">
        <v>622</v>
      </c>
      <c r="D201" s="54" t="s">
        <v>3445</v>
      </c>
      <c r="E201" s="54" t="s">
        <v>3485</v>
      </c>
      <c r="F201" s="54" t="s">
        <v>3454</v>
      </c>
      <c r="G201" s="54">
        <v>35.1</v>
      </c>
      <c r="H201" s="54">
        <v>204950</v>
      </c>
      <c r="I201" s="54">
        <v>1.3327</v>
      </c>
      <c r="J201" s="54" t="s">
        <v>3906</v>
      </c>
      <c r="K201" s="54">
        <v>3.9</v>
      </c>
      <c r="L201" s="54" t="s">
        <v>3459</v>
      </c>
      <c r="M201" s="54" t="s">
        <v>576</v>
      </c>
      <c r="N201" s="54">
        <v>27.8</v>
      </c>
      <c r="O201" s="54">
        <v>23.7</v>
      </c>
      <c r="P201" s="54">
        <v>1.2</v>
      </c>
      <c r="Q201" s="54">
        <v>57.9</v>
      </c>
      <c r="R201" s="54" t="s">
        <v>587</v>
      </c>
      <c r="S201" s="54" t="s">
        <v>3495</v>
      </c>
      <c r="T201" s="54" t="s">
        <v>1676</v>
      </c>
      <c r="U201" s="54" t="s">
        <v>3450</v>
      </c>
      <c r="V201" s="54">
        <v>43</v>
      </c>
      <c r="W201" s="54" t="s">
        <v>3451</v>
      </c>
      <c r="X201" s="57" t="s">
        <v>495</v>
      </c>
    </row>
    <row r="202" spans="1:24" ht="15" customHeight="1" x14ac:dyDescent="0.25">
      <c r="A202" s="54" t="s">
        <v>3907</v>
      </c>
      <c r="B202" s="54" t="s">
        <v>2940</v>
      </c>
      <c r="C202" s="54" t="s">
        <v>622</v>
      </c>
      <c r="D202" s="54" t="s">
        <v>3482</v>
      </c>
      <c r="E202" s="54" t="s">
        <v>3474</v>
      </c>
      <c r="F202" s="54" t="s">
        <v>3493</v>
      </c>
      <c r="G202" s="54">
        <v>25.7</v>
      </c>
      <c r="H202" s="54">
        <v>115475</v>
      </c>
      <c r="I202" s="54">
        <v>2.7631999999999999</v>
      </c>
      <c r="J202" s="54" t="s">
        <v>3908</v>
      </c>
      <c r="K202" s="54">
        <v>4.7</v>
      </c>
      <c r="L202" s="54" t="s">
        <v>3459</v>
      </c>
      <c r="M202" s="54" t="s">
        <v>587</v>
      </c>
      <c r="N202" s="54">
        <v>20.399999999999999</v>
      </c>
      <c r="O202" s="54">
        <v>31.3</v>
      </c>
      <c r="P202" s="54">
        <v>11.7</v>
      </c>
      <c r="Q202" s="54">
        <v>74.2</v>
      </c>
      <c r="R202" s="54" t="s">
        <v>587</v>
      </c>
      <c r="S202" s="54" t="s">
        <v>3476</v>
      </c>
      <c r="T202" s="54" t="s">
        <v>1676</v>
      </c>
      <c r="U202" s="54" t="s">
        <v>3015</v>
      </c>
      <c r="V202" s="54">
        <v>23</v>
      </c>
      <c r="W202" s="54" t="s">
        <v>1652</v>
      </c>
      <c r="X202" s="57" t="s">
        <v>495</v>
      </c>
    </row>
  </sheetData>
  <mergeCells count="1"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02"/>
  <sheetViews>
    <sheetView zoomScaleNormal="100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G6" sqref="G6"/>
    </sheetView>
  </sheetViews>
  <sheetFormatPr defaultColWidth="8.7109375" defaultRowHeight="15" x14ac:dyDescent="0.25"/>
  <cols>
    <col min="1" max="1" width="11.7109375" customWidth="1"/>
    <col min="2" max="2" width="16.28515625" customWidth="1"/>
    <col min="3" max="3" width="13.85546875" customWidth="1"/>
    <col min="4" max="5" width="15.85546875" customWidth="1"/>
    <col min="6" max="6" width="19.7109375" customWidth="1"/>
    <col min="7" max="7" width="18" customWidth="1"/>
    <col min="8" max="8" width="19.85546875" customWidth="1"/>
    <col min="9" max="9" width="14.28515625" customWidth="1"/>
    <col min="10" max="10" width="15.42578125" customWidth="1"/>
    <col min="11" max="11" width="20" customWidth="1"/>
    <col min="12" max="12" width="14.28515625" customWidth="1"/>
    <col min="13" max="13" width="15.5703125" customWidth="1"/>
    <col min="14" max="14" width="10.5703125" customWidth="1"/>
    <col min="15" max="15" width="16" customWidth="1"/>
    <col min="16" max="16" width="14.42578125" customWidth="1"/>
    <col min="17" max="18" width="18.28515625" customWidth="1"/>
    <col min="19" max="19" width="10.85546875" customWidth="1"/>
    <col min="20" max="20" width="22.140625" customWidth="1"/>
    <col min="21" max="21" width="7.7109375" customWidth="1"/>
    <col min="22" max="22" width="7" customWidth="1"/>
  </cols>
  <sheetData>
    <row r="1" spans="1:22" ht="37.5" customHeight="1" x14ac:dyDescent="0.25">
      <c r="A1" s="138" t="s">
        <v>3909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</row>
    <row r="2" spans="1:22" ht="21.75" customHeight="1" x14ac:dyDescent="0.25">
      <c r="A2" s="58" t="s">
        <v>3910</v>
      </c>
      <c r="B2" s="58" t="s">
        <v>3911</v>
      </c>
      <c r="C2" s="58" t="s">
        <v>3912</v>
      </c>
      <c r="D2" s="58" t="s">
        <v>3913</v>
      </c>
      <c r="E2" s="58" t="s">
        <v>3914</v>
      </c>
      <c r="F2" s="58" t="s">
        <v>3915</v>
      </c>
      <c r="G2" s="58" t="s">
        <v>1623</v>
      </c>
      <c r="H2" s="58" t="s">
        <v>3916</v>
      </c>
      <c r="I2" s="58" t="s">
        <v>3917</v>
      </c>
      <c r="J2" s="58" t="s">
        <v>3918</v>
      </c>
      <c r="K2" s="58" t="s">
        <v>3919</v>
      </c>
      <c r="L2" s="58" t="s">
        <v>3920</v>
      </c>
      <c r="M2" s="58" t="s">
        <v>3921</v>
      </c>
      <c r="N2" s="58" t="s">
        <v>3922</v>
      </c>
      <c r="O2" s="58" t="s">
        <v>3923</v>
      </c>
      <c r="P2" s="58" t="s">
        <v>2991</v>
      </c>
      <c r="Q2" s="58" t="s">
        <v>3924</v>
      </c>
      <c r="R2" s="58" t="s">
        <v>3925</v>
      </c>
      <c r="S2" s="58" t="s">
        <v>3926</v>
      </c>
      <c r="T2" s="58" t="s">
        <v>3927</v>
      </c>
      <c r="U2" s="58" t="s">
        <v>567</v>
      </c>
      <c r="V2" s="58" t="s">
        <v>568</v>
      </c>
    </row>
    <row r="3" spans="1:22" ht="25.5" customHeight="1" x14ac:dyDescent="0.25">
      <c r="A3" s="54" t="s">
        <v>3928</v>
      </c>
      <c r="B3" s="54" t="s">
        <v>1542</v>
      </c>
      <c r="C3" s="54" t="s">
        <v>3929</v>
      </c>
      <c r="D3" s="54" t="s">
        <v>3930</v>
      </c>
      <c r="E3" s="55">
        <v>3.4171</v>
      </c>
      <c r="F3" s="55">
        <v>1.1339999999999999</v>
      </c>
      <c r="G3" s="55">
        <f t="shared" ref="G3:G34" si="0">ROUND(E3-F3,2)</f>
        <v>2.2799999999999998</v>
      </c>
      <c r="H3" s="59">
        <f t="shared" ref="H3:H34" si="1">ROUND(F3/E3*100,1)</f>
        <v>33.200000000000003</v>
      </c>
      <c r="I3" s="54" t="s">
        <v>3931</v>
      </c>
      <c r="J3" s="54" t="s">
        <v>617</v>
      </c>
      <c r="K3" s="54" t="s">
        <v>3932</v>
      </c>
      <c r="L3" s="54" t="s">
        <v>99</v>
      </c>
      <c r="M3" s="54" t="s">
        <v>587</v>
      </c>
      <c r="N3" s="54" t="s">
        <v>576</v>
      </c>
      <c r="O3" s="54" t="s">
        <v>3512</v>
      </c>
      <c r="P3" s="54" t="s">
        <v>656</v>
      </c>
      <c r="Q3" s="54">
        <v>332</v>
      </c>
      <c r="R3" s="54" t="s">
        <v>587</v>
      </c>
      <c r="S3" s="54" t="s">
        <v>3480</v>
      </c>
      <c r="T3" s="54" t="s">
        <v>3933</v>
      </c>
      <c r="U3" s="54" t="s">
        <v>3480</v>
      </c>
      <c r="V3" s="57" t="s">
        <v>495</v>
      </c>
    </row>
    <row r="4" spans="1:22" ht="15" customHeight="1" x14ac:dyDescent="0.25">
      <c r="A4" s="50" t="s">
        <v>3934</v>
      </c>
      <c r="B4" s="50" t="s">
        <v>2651</v>
      </c>
      <c r="C4" s="50" t="s">
        <v>3474</v>
      </c>
      <c r="D4" s="50" t="s">
        <v>3935</v>
      </c>
      <c r="E4" s="51">
        <v>2.7755000000000001</v>
      </c>
      <c r="F4" s="51">
        <v>1.8259000000000001</v>
      </c>
      <c r="G4" s="51">
        <f t="shared" si="0"/>
        <v>0.95</v>
      </c>
      <c r="H4" s="60">
        <f t="shared" si="1"/>
        <v>65.8</v>
      </c>
      <c r="I4" s="50" t="s">
        <v>3936</v>
      </c>
      <c r="J4" s="50" t="s">
        <v>3937</v>
      </c>
      <c r="K4" s="50" t="s">
        <v>3938</v>
      </c>
      <c r="L4" s="50" t="s">
        <v>3939</v>
      </c>
      <c r="M4" s="50" t="s">
        <v>576</v>
      </c>
      <c r="N4" s="50" t="s">
        <v>587</v>
      </c>
      <c r="O4" s="50" t="s">
        <v>3940</v>
      </c>
      <c r="P4" s="50" t="s">
        <v>649</v>
      </c>
      <c r="Q4" s="50">
        <v>75</v>
      </c>
      <c r="R4" s="50" t="s">
        <v>587</v>
      </c>
      <c r="S4" s="50" t="s">
        <v>3480</v>
      </c>
      <c r="T4" s="50" t="s">
        <v>1652</v>
      </c>
      <c r="U4" s="50" t="s">
        <v>3451</v>
      </c>
      <c r="V4" s="53" t="s">
        <v>266</v>
      </c>
    </row>
    <row r="5" spans="1:22" ht="15" customHeight="1" x14ac:dyDescent="0.25">
      <c r="A5" s="54" t="s">
        <v>3941</v>
      </c>
      <c r="B5" s="54" t="s">
        <v>1474</v>
      </c>
      <c r="C5" s="54" t="s">
        <v>1673</v>
      </c>
      <c r="D5" s="54" t="s">
        <v>3930</v>
      </c>
      <c r="E5" s="55">
        <v>2.5266000000000002</v>
      </c>
      <c r="F5" s="55">
        <v>1.0468999999999999</v>
      </c>
      <c r="G5" s="55">
        <f t="shared" si="0"/>
        <v>1.48</v>
      </c>
      <c r="H5" s="59">
        <f t="shared" si="1"/>
        <v>41.4</v>
      </c>
      <c r="I5" s="54" t="s">
        <v>3942</v>
      </c>
      <c r="J5" s="54" t="s">
        <v>3943</v>
      </c>
      <c r="K5" s="54" t="s">
        <v>3938</v>
      </c>
      <c r="L5" s="54" t="s">
        <v>3944</v>
      </c>
      <c r="M5" s="54" t="s">
        <v>587</v>
      </c>
      <c r="N5" s="54" t="s">
        <v>587</v>
      </c>
      <c r="O5" s="54" t="s">
        <v>3512</v>
      </c>
      <c r="P5" s="54" t="s">
        <v>630</v>
      </c>
      <c r="Q5" s="54">
        <v>149</v>
      </c>
      <c r="R5" s="54" t="s">
        <v>587</v>
      </c>
      <c r="S5" s="54" t="s">
        <v>587</v>
      </c>
      <c r="T5" s="54" t="s">
        <v>3933</v>
      </c>
      <c r="U5" s="54" t="s">
        <v>3480</v>
      </c>
      <c r="V5" s="57" t="s">
        <v>495</v>
      </c>
    </row>
    <row r="6" spans="1:22" ht="15" customHeight="1" x14ac:dyDescent="0.25">
      <c r="A6" s="50" t="s">
        <v>3945</v>
      </c>
      <c r="B6" s="50" t="s">
        <v>2021</v>
      </c>
      <c r="C6" s="50" t="s">
        <v>3946</v>
      </c>
      <c r="D6" s="50" t="s">
        <v>3947</v>
      </c>
      <c r="E6" s="51">
        <v>1.1344000000000001</v>
      </c>
      <c r="F6" s="51">
        <v>1.0014000000000001</v>
      </c>
      <c r="G6" s="51">
        <f t="shared" si="0"/>
        <v>0.13</v>
      </c>
      <c r="H6" s="60">
        <f t="shared" si="1"/>
        <v>88.3</v>
      </c>
      <c r="I6" s="50" t="s">
        <v>3948</v>
      </c>
      <c r="J6" s="50" t="s">
        <v>3943</v>
      </c>
      <c r="K6" s="50" t="s">
        <v>3949</v>
      </c>
      <c r="L6" s="50" t="s">
        <v>3939</v>
      </c>
      <c r="M6" s="50" t="s">
        <v>587</v>
      </c>
      <c r="N6" s="50" t="s">
        <v>576</v>
      </c>
      <c r="O6" s="50" t="s">
        <v>3495</v>
      </c>
      <c r="P6" s="50" t="s">
        <v>3076</v>
      </c>
      <c r="Q6" s="50">
        <v>366</v>
      </c>
      <c r="R6" s="50" t="s">
        <v>587</v>
      </c>
      <c r="S6" s="50" t="s">
        <v>576</v>
      </c>
      <c r="T6" s="50" t="s">
        <v>3480</v>
      </c>
      <c r="U6" s="50" t="s">
        <v>3480</v>
      </c>
      <c r="V6" s="53" t="s">
        <v>266</v>
      </c>
    </row>
    <row r="7" spans="1:22" ht="15" customHeight="1" x14ac:dyDescent="0.25">
      <c r="A7" s="54" t="s">
        <v>3950</v>
      </c>
      <c r="B7" s="54" t="s">
        <v>1115</v>
      </c>
      <c r="C7" s="54" t="s">
        <v>3951</v>
      </c>
      <c r="D7" s="54" t="s">
        <v>3952</v>
      </c>
      <c r="E7" s="55">
        <v>0.24060000000000001</v>
      </c>
      <c r="F7" s="55">
        <v>7.3099999999999998E-2</v>
      </c>
      <c r="G7" s="55">
        <f t="shared" si="0"/>
        <v>0.17</v>
      </c>
      <c r="H7" s="59">
        <f t="shared" si="1"/>
        <v>30.4</v>
      </c>
      <c r="I7" s="54" t="s">
        <v>3953</v>
      </c>
      <c r="J7" s="54" t="s">
        <v>3954</v>
      </c>
      <c r="K7" s="54" t="s">
        <v>3955</v>
      </c>
      <c r="L7" s="54" t="s">
        <v>3944</v>
      </c>
      <c r="M7" s="54" t="s">
        <v>587</v>
      </c>
      <c r="N7" s="54" t="s">
        <v>587</v>
      </c>
      <c r="O7" s="54" t="s">
        <v>3956</v>
      </c>
      <c r="P7" s="54" t="s">
        <v>661</v>
      </c>
      <c r="Q7" s="54">
        <v>72</v>
      </c>
      <c r="R7" s="54" t="s">
        <v>576</v>
      </c>
      <c r="S7" s="54" t="s">
        <v>3480</v>
      </c>
      <c r="T7" s="54" t="s">
        <v>3933</v>
      </c>
      <c r="U7" s="54" t="s">
        <v>3451</v>
      </c>
      <c r="V7" s="57" t="s">
        <v>495</v>
      </c>
    </row>
    <row r="8" spans="1:22" ht="25.5" customHeight="1" x14ac:dyDescent="0.25">
      <c r="A8" s="46" t="s">
        <v>3957</v>
      </c>
      <c r="B8" s="46" t="s">
        <v>1611</v>
      </c>
      <c r="C8" s="46" t="s">
        <v>3474</v>
      </c>
      <c r="D8" s="46" t="s">
        <v>3958</v>
      </c>
      <c r="E8" s="47">
        <v>1.6537999999999999</v>
      </c>
      <c r="F8" s="47">
        <v>0.89839999999999998</v>
      </c>
      <c r="G8" s="47">
        <f t="shared" si="0"/>
        <v>0.76</v>
      </c>
      <c r="H8" s="61">
        <f t="shared" si="1"/>
        <v>54.3</v>
      </c>
      <c r="I8" s="46" t="s">
        <v>3959</v>
      </c>
      <c r="J8" s="46" t="s">
        <v>3943</v>
      </c>
      <c r="K8" s="46" t="s">
        <v>3960</v>
      </c>
      <c r="L8" s="46" t="s">
        <v>141</v>
      </c>
      <c r="M8" s="46" t="s">
        <v>587</v>
      </c>
      <c r="N8" s="46" t="s">
        <v>587</v>
      </c>
      <c r="O8" s="46" t="s">
        <v>3961</v>
      </c>
      <c r="P8" s="46" t="s">
        <v>597</v>
      </c>
      <c r="Q8" s="46">
        <v>121</v>
      </c>
      <c r="R8" s="46" t="s">
        <v>587</v>
      </c>
      <c r="S8" s="46" t="s">
        <v>576</v>
      </c>
      <c r="T8" s="46" t="s">
        <v>1652</v>
      </c>
      <c r="U8" s="46" t="s">
        <v>3480</v>
      </c>
      <c r="V8" s="49" t="s">
        <v>321</v>
      </c>
    </row>
    <row r="9" spans="1:22" ht="15" customHeight="1" x14ac:dyDescent="0.25">
      <c r="A9" s="50" t="s">
        <v>3962</v>
      </c>
      <c r="B9" s="50" t="s">
        <v>809</v>
      </c>
      <c r="C9" s="50" t="s">
        <v>3474</v>
      </c>
      <c r="D9" s="50" t="s">
        <v>3935</v>
      </c>
      <c r="E9" s="51">
        <v>4.4257</v>
      </c>
      <c r="F9" s="51">
        <v>3.0055000000000001</v>
      </c>
      <c r="G9" s="51">
        <f t="shared" si="0"/>
        <v>1.42</v>
      </c>
      <c r="H9" s="60">
        <f t="shared" si="1"/>
        <v>67.900000000000006</v>
      </c>
      <c r="I9" s="50" t="s">
        <v>3963</v>
      </c>
      <c r="J9" s="50" t="s">
        <v>3954</v>
      </c>
      <c r="K9" s="50" t="s">
        <v>3964</v>
      </c>
      <c r="L9" s="50" t="s">
        <v>3939</v>
      </c>
      <c r="M9" s="50" t="s">
        <v>587</v>
      </c>
      <c r="N9" s="50" t="s">
        <v>587</v>
      </c>
      <c r="O9" s="50" t="s">
        <v>3495</v>
      </c>
      <c r="P9" s="50" t="s">
        <v>661</v>
      </c>
      <c r="Q9" s="50">
        <v>331</v>
      </c>
      <c r="R9" s="50" t="s">
        <v>576</v>
      </c>
      <c r="S9" s="50" t="s">
        <v>587</v>
      </c>
      <c r="T9" s="50" t="s">
        <v>3965</v>
      </c>
      <c r="U9" s="50" t="s">
        <v>3480</v>
      </c>
      <c r="V9" s="53" t="s">
        <v>266</v>
      </c>
    </row>
    <row r="10" spans="1:22" ht="15" customHeight="1" x14ac:dyDescent="0.25">
      <c r="A10" s="46" t="s">
        <v>3966</v>
      </c>
      <c r="B10" s="46" t="s">
        <v>595</v>
      </c>
      <c r="C10" s="46" t="s">
        <v>3967</v>
      </c>
      <c r="D10" s="46" t="s">
        <v>3935</v>
      </c>
      <c r="E10" s="47">
        <v>0.73570000000000002</v>
      </c>
      <c r="F10" s="47">
        <v>0.37669999999999998</v>
      </c>
      <c r="G10" s="47">
        <f t="shared" si="0"/>
        <v>0.36</v>
      </c>
      <c r="H10" s="61">
        <f t="shared" si="1"/>
        <v>51.2</v>
      </c>
      <c r="I10" s="46" t="s">
        <v>3968</v>
      </c>
      <c r="J10" s="46" t="s">
        <v>617</v>
      </c>
      <c r="K10" s="46" t="s">
        <v>3955</v>
      </c>
      <c r="L10" s="46" t="s">
        <v>99</v>
      </c>
      <c r="M10" s="46" t="s">
        <v>576</v>
      </c>
      <c r="N10" s="46" t="s">
        <v>587</v>
      </c>
      <c r="O10" s="46" t="s">
        <v>3961</v>
      </c>
      <c r="P10" s="46" t="s">
        <v>3049</v>
      </c>
      <c r="Q10" s="46">
        <v>284</v>
      </c>
      <c r="R10" s="46" t="s">
        <v>587</v>
      </c>
      <c r="S10" s="46" t="s">
        <v>576</v>
      </c>
      <c r="T10" s="46" t="s">
        <v>3933</v>
      </c>
      <c r="U10" s="46" t="s">
        <v>3480</v>
      </c>
      <c r="V10" s="49" t="s">
        <v>321</v>
      </c>
    </row>
    <row r="11" spans="1:22" ht="15" customHeight="1" x14ac:dyDescent="0.25">
      <c r="A11" s="54" t="s">
        <v>3969</v>
      </c>
      <c r="B11" s="54" t="s">
        <v>1360</v>
      </c>
      <c r="C11" s="54" t="s">
        <v>3970</v>
      </c>
      <c r="D11" s="54" t="s">
        <v>3958</v>
      </c>
      <c r="E11" s="55">
        <v>3.9405000000000001</v>
      </c>
      <c r="F11" s="55">
        <v>0.3725</v>
      </c>
      <c r="G11" s="55">
        <f t="shared" si="0"/>
        <v>3.57</v>
      </c>
      <c r="H11" s="59">
        <f t="shared" si="1"/>
        <v>9.5</v>
      </c>
      <c r="I11" s="54" t="s">
        <v>3971</v>
      </c>
      <c r="J11" s="54" t="s">
        <v>3943</v>
      </c>
      <c r="K11" s="54" t="s">
        <v>3964</v>
      </c>
      <c r="L11" s="54" t="s">
        <v>134</v>
      </c>
      <c r="M11" s="54" t="s">
        <v>587</v>
      </c>
      <c r="N11" s="54" t="s">
        <v>587</v>
      </c>
      <c r="O11" s="54" t="s">
        <v>3495</v>
      </c>
      <c r="P11" s="54" t="s">
        <v>621</v>
      </c>
      <c r="Q11" s="54">
        <v>387</v>
      </c>
      <c r="R11" s="54" t="s">
        <v>587</v>
      </c>
      <c r="S11" s="54" t="s">
        <v>587</v>
      </c>
      <c r="T11" s="54" t="s">
        <v>1652</v>
      </c>
      <c r="U11" s="54" t="s">
        <v>3480</v>
      </c>
      <c r="V11" s="57" t="s">
        <v>495</v>
      </c>
    </row>
    <row r="12" spans="1:22" ht="25.5" customHeight="1" x14ac:dyDescent="0.25">
      <c r="A12" s="46" t="s">
        <v>3972</v>
      </c>
      <c r="B12" s="46" t="s">
        <v>3973</v>
      </c>
      <c r="C12" s="46" t="s">
        <v>3967</v>
      </c>
      <c r="D12" s="46" t="s">
        <v>3974</v>
      </c>
      <c r="E12" s="47">
        <v>6.8982999999999999</v>
      </c>
      <c r="F12" s="47">
        <v>4.2161</v>
      </c>
      <c r="G12" s="47">
        <f t="shared" si="0"/>
        <v>2.68</v>
      </c>
      <c r="H12" s="61">
        <f t="shared" si="1"/>
        <v>61.1</v>
      </c>
      <c r="I12" s="46" t="s">
        <v>3975</v>
      </c>
      <c r="J12" s="46" t="s">
        <v>3937</v>
      </c>
      <c r="K12" s="46" t="s">
        <v>3964</v>
      </c>
      <c r="L12" s="46" t="s">
        <v>3939</v>
      </c>
      <c r="M12" s="46" t="s">
        <v>576</v>
      </c>
      <c r="N12" s="46" t="s">
        <v>576</v>
      </c>
      <c r="O12" s="46" t="s">
        <v>3961</v>
      </c>
      <c r="P12" s="46" t="s">
        <v>621</v>
      </c>
      <c r="Q12" s="46">
        <v>83</v>
      </c>
      <c r="R12" s="46" t="s">
        <v>576</v>
      </c>
      <c r="S12" s="46" t="s">
        <v>587</v>
      </c>
      <c r="T12" s="46" t="s">
        <v>1652</v>
      </c>
      <c r="U12" s="46" t="s">
        <v>1652</v>
      </c>
      <c r="V12" s="49" t="s">
        <v>321</v>
      </c>
    </row>
    <row r="13" spans="1:22" ht="15" customHeight="1" x14ac:dyDescent="0.25">
      <c r="A13" s="54" t="s">
        <v>3976</v>
      </c>
      <c r="B13" s="54" t="s">
        <v>770</v>
      </c>
      <c r="C13" s="54" t="s">
        <v>1673</v>
      </c>
      <c r="D13" s="54" t="s">
        <v>3977</v>
      </c>
      <c r="E13" s="55">
        <v>8.8125999999999998</v>
      </c>
      <c r="F13" s="55">
        <v>3.7494000000000001</v>
      </c>
      <c r="G13" s="55">
        <f t="shared" si="0"/>
        <v>5.0599999999999996</v>
      </c>
      <c r="H13" s="59">
        <f t="shared" si="1"/>
        <v>42.5</v>
      </c>
      <c r="I13" s="54" t="s">
        <v>3978</v>
      </c>
      <c r="J13" s="54" t="s">
        <v>3937</v>
      </c>
      <c r="K13" s="54" t="s">
        <v>3955</v>
      </c>
      <c r="L13" s="54" t="s">
        <v>141</v>
      </c>
      <c r="M13" s="54" t="s">
        <v>576</v>
      </c>
      <c r="N13" s="54" t="s">
        <v>587</v>
      </c>
      <c r="O13" s="54" t="s">
        <v>3495</v>
      </c>
      <c r="P13" s="54" t="s">
        <v>597</v>
      </c>
      <c r="Q13" s="54">
        <v>168</v>
      </c>
      <c r="R13" s="54" t="s">
        <v>587</v>
      </c>
      <c r="S13" s="54" t="s">
        <v>3480</v>
      </c>
      <c r="T13" s="54" t="s">
        <v>3480</v>
      </c>
      <c r="U13" s="54" t="s">
        <v>3451</v>
      </c>
      <c r="V13" s="57" t="s">
        <v>495</v>
      </c>
    </row>
    <row r="14" spans="1:22" ht="15" customHeight="1" x14ac:dyDescent="0.25">
      <c r="A14" s="46" t="s">
        <v>3979</v>
      </c>
      <c r="B14" s="46" t="s">
        <v>3980</v>
      </c>
      <c r="C14" s="46" t="s">
        <v>3951</v>
      </c>
      <c r="D14" s="46" t="s">
        <v>3935</v>
      </c>
      <c r="E14" s="47">
        <v>6.6885000000000003</v>
      </c>
      <c r="F14" s="47">
        <v>3.4811000000000001</v>
      </c>
      <c r="G14" s="47">
        <f t="shared" si="0"/>
        <v>3.21</v>
      </c>
      <c r="H14" s="61">
        <f t="shared" si="1"/>
        <v>52</v>
      </c>
      <c r="I14" s="46" t="s">
        <v>3981</v>
      </c>
      <c r="J14" s="46" t="s">
        <v>3982</v>
      </c>
      <c r="K14" s="46" t="s">
        <v>3938</v>
      </c>
      <c r="L14" s="46" t="s">
        <v>134</v>
      </c>
      <c r="M14" s="46" t="s">
        <v>587</v>
      </c>
      <c r="N14" s="46" t="s">
        <v>587</v>
      </c>
      <c r="O14" s="46" t="s">
        <v>3983</v>
      </c>
      <c r="P14" s="46" t="s">
        <v>661</v>
      </c>
      <c r="Q14" s="46">
        <v>135</v>
      </c>
      <c r="R14" s="46" t="s">
        <v>587</v>
      </c>
      <c r="S14" s="46" t="s">
        <v>587</v>
      </c>
      <c r="T14" s="46" t="s">
        <v>3933</v>
      </c>
      <c r="U14" s="46" t="s">
        <v>1652</v>
      </c>
      <c r="V14" s="49" t="s">
        <v>321</v>
      </c>
    </row>
    <row r="15" spans="1:22" ht="25.5" customHeight="1" x14ac:dyDescent="0.25">
      <c r="A15" s="54" t="s">
        <v>3984</v>
      </c>
      <c r="B15" s="54" t="s">
        <v>2533</v>
      </c>
      <c r="C15" s="54" t="s">
        <v>1673</v>
      </c>
      <c r="D15" s="54" t="s">
        <v>3974</v>
      </c>
      <c r="E15" s="55">
        <v>5.2854000000000001</v>
      </c>
      <c r="F15" s="55">
        <v>1.8701000000000001</v>
      </c>
      <c r="G15" s="55">
        <f t="shared" si="0"/>
        <v>3.42</v>
      </c>
      <c r="H15" s="59">
        <f t="shared" si="1"/>
        <v>35.4</v>
      </c>
      <c r="I15" s="54" t="s">
        <v>3985</v>
      </c>
      <c r="J15" s="54" t="s">
        <v>617</v>
      </c>
      <c r="K15" s="54" t="s">
        <v>3955</v>
      </c>
      <c r="L15" s="54" t="s">
        <v>134</v>
      </c>
      <c r="M15" s="54" t="s">
        <v>576</v>
      </c>
      <c r="N15" s="54" t="s">
        <v>587</v>
      </c>
      <c r="O15" s="54" t="s">
        <v>3983</v>
      </c>
      <c r="P15" s="54" t="s">
        <v>649</v>
      </c>
      <c r="Q15" s="54">
        <v>200</v>
      </c>
      <c r="R15" s="54" t="s">
        <v>587</v>
      </c>
      <c r="S15" s="54" t="s">
        <v>587</v>
      </c>
      <c r="T15" s="54" t="s">
        <v>3933</v>
      </c>
      <c r="U15" s="54" t="s">
        <v>1652</v>
      </c>
      <c r="V15" s="57" t="s">
        <v>495</v>
      </c>
    </row>
    <row r="16" spans="1:22" ht="15" customHeight="1" x14ac:dyDescent="0.25">
      <c r="A16" s="54" t="s">
        <v>3986</v>
      </c>
      <c r="B16" s="54" t="s">
        <v>1062</v>
      </c>
      <c r="C16" s="54" t="s">
        <v>3474</v>
      </c>
      <c r="D16" s="54" t="s">
        <v>3987</v>
      </c>
      <c r="E16" s="55">
        <v>8.6295999999999999</v>
      </c>
      <c r="F16" s="55">
        <v>2.4508999999999999</v>
      </c>
      <c r="G16" s="55">
        <f t="shared" si="0"/>
        <v>6.18</v>
      </c>
      <c r="H16" s="59">
        <f t="shared" si="1"/>
        <v>28.4</v>
      </c>
      <c r="I16" s="54" t="s">
        <v>3988</v>
      </c>
      <c r="J16" s="54" t="s">
        <v>617</v>
      </c>
      <c r="K16" s="54" t="s">
        <v>3949</v>
      </c>
      <c r="L16" s="54" t="s">
        <v>134</v>
      </c>
      <c r="M16" s="54" t="s">
        <v>576</v>
      </c>
      <c r="N16" s="54" t="s">
        <v>576</v>
      </c>
      <c r="O16" s="54" t="s">
        <v>3956</v>
      </c>
      <c r="P16" s="54" t="s">
        <v>667</v>
      </c>
      <c r="Q16" s="54">
        <v>275</v>
      </c>
      <c r="R16" s="54" t="s">
        <v>587</v>
      </c>
      <c r="S16" s="54" t="s">
        <v>3480</v>
      </c>
      <c r="T16" s="54" t="s">
        <v>3965</v>
      </c>
      <c r="U16" s="54" t="s">
        <v>1652</v>
      </c>
      <c r="V16" s="57" t="s">
        <v>495</v>
      </c>
    </row>
    <row r="17" spans="1:22" ht="15" customHeight="1" x14ac:dyDescent="0.25">
      <c r="A17" s="50" t="s">
        <v>3989</v>
      </c>
      <c r="B17" s="50" t="s">
        <v>755</v>
      </c>
      <c r="C17" s="50" t="s">
        <v>3528</v>
      </c>
      <c r="D17" s="50" t="s">
        <v>3952</v>
      </c>
      <c r="E17" s="51">
        <v>8.2238000000000007</v>
      </c>
      <c r="F17" s="51">
        <v>6.8301999999999996</v>
      </c>
      <c r="G17" s="51">
        <f t="shared" si="0"/>
        <v>1.39</v>
      </c>
      <c r="H17" s="60">
        <f t="shared" si="1"/>
        <v>83.1</v>
      </c>
      <c r="I17" s="50" t="s">
        <v>3990</v>
      </c>
      <c r="J17" s="50" t="s">
        <v>3937</v>
      </c>
      <c r="K17" s="50" t="s">
        <v>3991</v>
      </c>
      <c r="L17" s="50" t="s">
        <v>99</v>
      </c>
      <c r="M17" s="50" t="s">
        <v>587</v>
      </c>
      <c r="N17" s="50" t="s">
        <v>576</v>
      </c>
      <c r="O17" s="50" t="s">
        <v>3983</v>
      </c>
      <c r="P17" s="50" t="s">
        <v>3076</v>
      </c>
      <c r="Q17" s="50">
        <v>157</v>
      </c>
      <c r="R17" s="50" t="s">
        <v>587</v>
      </c>
      <c r="S17" s="50" t="s">
        <v>576</v>
      </c>
      <c r="T17" s="50" t="s">
        <v>3992</v>
      </c>
      <c r="U17" s="50" t="s">
        <v>3480</v>
      </c>
      <c r="V17" s="53" t="s">
        <v>266</v>
      </c>
    </row>
    <row r="18" spans="1:22" ht="25.5" customHeight="1" x14ac:dyDescent="0.25">
      <c r="A18" s="50" t="s">
        <v>3993</v>
      </c>
      <c r="B18" s="50" t="s">
        <v>2549</v>
      </c>
      <c r="C18" s="50" t="s">
        <v>3929</v>
      </c>
      <c r="D18" s="50" t="s">
        <v>3930</v>
      </c>
      <c r="E18" s="51">
        <v>1.8162</v>
      </c>
      <c r="F18" s="51">
        <v>1.3940999999999999</v>
      </c>
      <c r="G18" s="51">
        <f t="shared" si="0"/>
        <v>0.42</v>
      </c>
      <c r="H18" s="60">
        <f t="shared" si="1"/>
        <v>76.8</v>
      </c>
      <c r="I18" s="50" t="s">
        <v>3994</v>
      </c>
      <c r="J18" s="50" t="s">
        <v>3943</v>
      </c>
      <c r="K18" s="50" t="s">
        <v>3991</v>
      </c>
      <c r="L18" s="50" t="s">
        <v>3939</v>
      </c>
      <c r="M18" s="50" t="s">
        <v>576</v>
      </c>
      <c r="N18" s="50" t="s">
        <v>576</v>
      </c>
      <c r="O18" s="50" t="s">
        <v>3961</v>
      </c>
      <c r="P18" s="50" t="s">
        <v>578</v>
      </c>
      <c r="Q18" s="50">
        <v>387</v>
      </c>
      <c r="R18" s="50" t="s">
        <v>576</v>
      </c>
      <c r="S18" s="50" t="s">
        <v>576</v>
      </c>
      <c r="T18" s="50" t="s">
        <v>3933</v>
      </c>
      <c r="U18" s="50" t="s">
        <v>3480</v>
      </c>
      <c r="V18" s="53" t="s">
        <v>266</v>
      </c>
    </row>
    <row r="19" spans="1:22" ht="15" customHeight="1" x14ac:dyDescent="0.25">
      <c r="A19" s="46" t="s">
        <v>3995</v>
      </c>
      <c r="B19" s="46" t="s">
        <v>1012</v>
      </c>
      <c r="C19" s="46" t="s">
        <v>1673</v>
      </c>
      <c r="D19" s="46" t="s">
        <v>3977</v>
      </c>
      <c r="E19" s="47">
        <v>7.7245999999999997</v>
      </c>
      <c r="F19" s="47">
        <v>4.8215000000000003</v>
      </c>
      <c r="G19" s="47">
        <f t="shared" si="0"/>
        <v>2.9</v>
      </c>
      <c r="H19" s="61">
        <f t="shared" si="1"/>
        <v>62.4</v>
      </c>
      <c r="I19" s="46" t="s">
        <v>3996</v>
      </c>
      <c r="J19" s="46" t="s">
        <v>3937</v>
      </c>
      <c r="K19" s="46" t="s">
        <v>3949</v>
      </c>
      <c r="L19" s="46" t="s">
        <v>3939</v>
      </c>
      <c r="M19" s="46" t="s">
        <v>587</v>
      </c>
      <c r="N19" s="46" t="s">
        <v>576</v>
      </c>
      <c r="O19" s="46" t="s">
        <v>3495</v>
      </c>
      <c r="P19" s="46" t="s">
        <v>597</v>
      </c>
      <c r="Q19" s="46">
        <v>83</v>
      </c>
      <c r="R19" s="46" t="s">
        <v>587</v>
      </c>
      <c r="S19" s="46" t="s">
        <v>576</v>
      </c>
      <c r="T19" s="46" t="s">
        <v>3992</v>
      </c>
      <c r="U19" s="46" t="s">
        <v>3451</v>
      </c>
      <c r="V19" s="49" t="s">
        <v>321</v>
      </c>
    </row>
    <row r="20" spans="1:22" ht="25.5" customHeight="1" x14ac:dyDescent="0.25">
      <c r="A20" s="54" t="s">
        <v>3997</v>
      </c>
      <c r="B20" s="54" t="s">
        <v>1303</v>
      </c>
      <c r="C20" s="54" t="s">
        <v>3946</v>
      </c>
      <c r="D20" s="54" t="s">
        <v>3987</v>
      </c>
      <c r="E20" s="55">
        <v>5.3136000000000001</v>
      </c>
      <c r="F20" s="55">
        <v>1.6947000000000001</v>
      </c>
      <c r="G20" s="55">
        <f t="shared" si="0"/>
        <v>3.62</v>
      </c>
      <c r="H20" s="59">
        <f t="shared" si="1"/>
        <v>31.9</v>
      </c>
      <c r="I20" s="54" t="s">
        <v>3998</v>
      </c>
      <c r="J20" s="54" t="s">
        <v>3937</v>
      </c>
      <c r="K20" s="54" t="s">
        <v>3964</v>
      </c>
      <c r="L20" s="54" t="s">
        <v>134</v>
      </c>
      <c r="M20" s="54" t="s">
        <v>587</v>
      </c>
      <c r="N20" s="54" t="s">
        <v>587</v>
      </c>
      <c r="O20" s="54" t="s">
        <v>3495</v>
      </c>
      <c r="P20" s="54" t="s">
        <v>688</v>
      </c>
      <c r="Q20" s="54">
        <v>12</v>
      </c>
      <c r="R20" s="54" t="s">
        <v>587</v>
      </c>
      <c r="S20" s="54" t="s">
        <v>587</v>
      </c>
      <c r="T20" s="54" t="s">
        <v>3992</v>
      </c>
      <c r="U20" s="54" t="s">
        <v>3480</v>
      </c>
      <c r="V20" s="57" t="s">
        <v>495</v>
      </c>
    </row>
    <row r="21" spans="1:22" ht="15" customHeight="1" x14ac:dyDescent="0.25">
      <c r="A21" s="46" t="s">
        <v>3999</v>
      </c>
      <c r="B21" s="46" t="s">
        <v>4000</v>
      </c>
      <c r="C21" s="46" t="s">
        <v>1673</v>
      </c>
      <c r="D21" s="46" t="s">
        <v>3952</v>
      </c>
      <c r="E21" s="47">
        <v>5.8863000000000003</v>
      </c>
      <c r="F21" s="47">
        <v>3.6208999999999998</v>
      </c>
      <c r="G21" s="47">
        <f t="shared" si="0"/>
        <v>2.27</v>
      </c>
      <c r="H21" s="61">
        <f t="shared" si="1"/>
        <v>61.5</v>
      </c>
      <c r="I21" s="46" t="s">
        <v>4001</v>
      </c>
      <c r="J21" s="46" t="s">
        <v>4002</v>
      </c>
      <c r="K21" s="46" t="s">
        <v>3955</v>
      </c>
      <c r="L21" s="46" t="s">
        <v>3944</v>
      </c>
      <c r="M21" s="46" t="s">
        <v>576</v>
      </c>
      <c r="N21" s="46" t="s">
        <v>576</v>
      </c>
      <c r="O21" s="46" t="s">
        <v>3512</v>
      </c>
      <c r="P21" s="46" t="s">
        <v>3076</v>
      </c>
      <c r="Q21" s="46">
        <v>133</v>
      </c>
      <c r="R21" s="46" t="s">
        <v>587</v>
      </c>
      <c r="S21" s="46" t="s">
        <v>576</v>
      </c>
      <c r="T21" s="46" t="s">
        <v>1652</v>
      </c>
      <c r="U21" s="46" t="s">
        <v>1652</v>
      </c>
      <c r="V21" s="49" t="s">
        <v>321</v>
      </c>
    </row>
    <row r="22" spans="1:22" ht="25.5" customHeight="1" x14ac:dyDescent="0.25">
      <c r="A22" s="50" t="s">
        <v>4003</v>
      </c>
      <c r="B22" s="50" t="s">
        <v>1256</v>
      </c>
      <c r="C22" s="50" t="s">
        <v>3951</v>
      </c>
      <c r="D22" s="50" t="s">
        <v>4004</v>
      </c>
      <c r="E22" s="51">
        <v>6.0446</v>
      </c>
      <c r="F22" s="51">
        <v>4.4515000000000002</v>
      </c>
      <c r="G22" s="51">
        <f t="shared" si="0"/>
        <v>1.59</v>
      </c>
      <c r="H22" s="60">
        <f t="shared" si="1"/>
        <v>73.599999999999994</v>
      </c>
      <c r="I22" s="50" t="s">
        <v>4005</v>
      </c>
      <c r="J22" s="50" t="s">
        <v>617</v>
      </c>
      <c r="K22" s="50" t="s">
        <v>3932</v>
      </c>
      <c r="L22" s="50" t="s">
        <v>3939</v>
      </c>
      <c r="M22" s="50" t="s">
        <v>576</v>
      </c>
      <c r="N22" s="50" t="s">
        <v>587</v>
      </c>
      <c r="O22" s="50" t="s">
        <v>3956</v>
      </c>
      <c r="P22" s="50" t="s">
        <v>578</v>
      </c>
      <c r="Q22" s="50">
        <v>83</v>
      </c>
      <c r="R22" s="50" t="s">
        <v>576</v>
      </c>
      <c r="S22" s="50" t="s">
        <v>576</v>
      </c>
      <c r="T22" s="50" t="s">
        <v>1652</v>
      </c>
      <c r="U22" s="50" t="s">
        <v>3480</v>
      </c>
      <c r="V22" s="53" t="s">
        <v>266</v>
      </c>
    </row>
    <row r="23" spans="1:22" ht="15" customHeight="1" x14ac:dyDescent="0.25">
      <c r="A23" s="54" t="s">
        <v>4006</v>
      </c>
      <c r="B23" s="54" t="s">
        <v>2614</v>
      </c>
      <c r="C23" s="54" t="s">
        <v>4007</v>
      </c>
      <c r="D23" s="54" t="s">
        <v>3935</v>
      </c>
      <c r="E23" s="55">
        <v>2.9285000000000001</v>
      </c>
      <c r="F23" s="55">
        <v>1.2976000000000001</v>
      </c>
      <c r="G23" s="55">
        <f t="shared" si="0"/>
        <v>1.63</v>
      </c>
      <c r="H23" s="59">
        <f t="shared" si="1"/>
        <v>44.3</v>
      </c>
      <c r="I23" s="54" t="s">
        <v>4008</v>
      </c>
      <c r="J23" s="54" t="s">
        <v>617</v>
      </c>
      <c r="K23" s="54" t="s">
        <v>3938</v>
      </c>
      <c r="L23" s="54" t="s">
        <v>141</v>
      </c>
      <c r="M23" s="54" t="s">
        <v>587</v>
      </c>
      <c r="N23" s="54" t="s">
        <v>576</v>
      </c>
      <c r="O23" s="54" t="s">
        <v>3961</v>
      </c>
      <c r="P23" s="54" t="s">
        <v>649</v>
      </c>
      <c r="Q23" s="54">
        <v>382</v>
      </c>
      <c r="R23" s="54" t="s">
        <v>587</v>
      </c>
      <c r="S23" s="54" t="s">
        <v>3480</v>
      </c>
      <c r="T23" s="54" t="s">
        <v>3480</v>
      </c>
      <c r="U23" s="54" t="s">
        <v>3480</v>
      </c>
      <c r="V23" s="57" t="s">
        <v>495</v>
      </c>
    </row>
    <row r="24" spans="1:22" ht="25.5" customHeight="1" x14ac:dyDescent="0.25">
      <c r="A24" s="50" t="s">
        <v>4009</v>
      </c>
      <c r="B24" s="50" t="s">
        <v>1552</v>
      </c>
      <c r="C24" s="50" t="s">
        <v>3528</v>
      </c>
      <c r="D24" s="50" t="s">
        <v>3930</v>
      </c>
      <c r="E24" s="51">
        <v>5.0585000000000004</v>
      </c>
      <c r="F24" s="51">
        <v>3.6884000000000001</v>
      </c>
      <c r="G24" s="51">
        <f t="shared" si="0"/>
        <v>1.37</v>
      </c>
      <c r="H24" s="60">
        <f t="shared" si="1"/>
        <v>72.900000000000006</v>
      </c>
      <c r="I24" s="50" t="s">
        <v>4010</v>
      </c>
      <c r="J24" s="50" t="s">
        <v>617</v>
      </c>
      <c r="K24" s="50" t="s">
        <v>3938</v>
      </c>
      <c r="L24" s="50" t="s">
        <v>3939</v>
      </c>
      <c r="M24" s="50" t="s">
        <v>587</v>
      </c>
      <c r="N24" s="50" t="s">
        <v>587</v>
      </c>
      <c r="O24" s="50" t="s">
        <v>3983</v>
      </c>
      <c r="P24" s="50" t="s">
        <v>3076</v>
      </c>
      <c r="Q24" s="50">
        <v>220</v>
      </c>
      <c r="R24" s="50" t="s">
        <v>576</v>
      </c>
      <c r="S24" s="50" t="s">
        <v>576</v>
      </c>
      <c r="T24" s="50" t="s">
        <v>3992</v>
      </c>
      <c r="U24" s="50" t="s">
        <v>1652</v>
      </c>
      <c r="V24" s="53" t="s">
        <v>266</v>
      </c>
    </row>
    <row r="25" spans="1:22" ht="15" customHeight="1" x14ac:dyDescent="0.25">
      <c r="A25" s="54" t="s">
        <v>4011</v>
      </c>
      <c r="B25" s="54" t="s">
        <v>1907</v>
      </c>
      <c r="C25" s="54" t="s">
        <v>1673</v>
      </c>
      <c r="D25" s="54" t="s">
        <v>3952</v>
      </c>
      <c r="E25" s="55">
        <v>7.2534999999999998</v>
      </c>
      <c r="F25" s="55">
        <v>2.8220999999999998</v>
      </c>
      <c r="G25" s="55">
        <f t="shared" si="0"/>
        <v>4.43</v>
      </c>
      <c r="H25" s="59">
        <f t="shared" si="1"/>
        <v>38.9</v>
      </c>
      <c r="I25" s="54" t="s">
        <v>4012</v>
      </c>
      <c r="J25" s="54" t="s">
        <v>3982</v>
      </c>
      <c r="K25" s="54" t="s">
        <v>3955</v>
      </c>
      <c r="L25" s="54" t="s">
        <v>3944</v>
      </c>
      <c r="M25" s="54" t="s">
        <v>587</v>
      </c>
      <c r="N25" s="54" t="s">
        <v>587</v>
      </c>
      <c r="O25" s="54" t="s">
        <v>3495</v>
      </c>
      <c r="P25" s="54" t="s">
        <v>688</v>
      </c>
      <c r="Q25" s="54">
        <v>112</v>
      </c>
      <c r="R25" s="54" t="s">
        <v>576</v>
      </c>
      <c r="S25" s="54" t="s">
        <v>587</v>
      </c>
      <c r="T25" s="54" t="s">
        <v>3992</v>
      </c>
      <c r="U25" s="54" t="s">
        <v>3480</v>
      </c>
      <c r="V25" s="57" t="s">
        <v>495</v>
      </c>
    </row>
    <row r="26" spans="1:22" ht="25.5" customHeight="1" x14ac:dyDescent="0.25">
      <c r="A26" s="46" t="s">
        <v>4013</v>
      </c>
      <c r="B26" s="46" t="s">
        <v>2887</v>
      </c>
      <c r="C26" s="46" t="s">
        <v>3929</v>
      </c>
      <c r="D26" s="46" t="s">
        <v>3974</v>
      </c>
      <c r="E26" s="47">
        <v>1.8997999999999999</v>
      </c>
      <c r="F26" s="47">
        <v>1.1044</v>
      </c>
      <c r="G26" s="47">
        <f t="shared" si="0"/>
        <v>0.8</v>
      </c>
      <c r="H26" s="61">
        <f t="shared" si="1"/>
        <v>58.1</v>
      </c>
      <c r="I26" s="46" t="s">
        <v>4014</v>
      </c>
      <c r="J26" s="46" t="s">
        <v>3943</v>
      </c>
      <c r="K26" s="46" t="s">
        <v>3960</v>
      </c>
      <c r="L26" s="46" t="s">
        <v>134</v>
      </c>
      <c r="M26" s="46" t="s">
        <v>576</v>
      </c>
      <c r="N26" s="46" t="s">
        <v>576</v>
      </c>
      <c r="O26" s="46" t="s">
        <v>3940</v>
      </c>
      <c r="P26" s="46" t="s">
        <v>688</v>
      </c>
      <c r="Q26" s="46">
        <v>261</v>
      </c>
      <c r="R26" s="46" t="s">
        <v>576</v>
      </c>
      <c r="S26" s="46" t="s">
        <v>587</v>
      </c>
      <c r="T26" s="46" t="s">
        <v>3992</v>
      </c>
      <c r="U26" s="46" t="s">
        <v>3451</v>
      </c>
      <c r="V26" s="49" t="s">
        <v>321</v>
      </c>
    </row>
    <row r="27" spans="1:22" ht="15" customHeight="1" x14ac:dyDescent="0.25">
      <c r="A27" s="46" t="s">
        <v>4015</v>
      </c>
      <c r="B27" s="46" t="s">
        <v>2345</v>
      </c>
      <c r="C27" s="46" t="s">
        <v>3951</v>
      </c>
      <c r="D27" s="46" t="s">
        <v>3977</v>
      </c>
      <c r="E27" s="47">
        <v>3.1928999999999998</v>
      </c>
      <c r="F27" s="47">
        <v>1.9495</v>
      </c>
      <c r="G27" s="47">
        <f t="shared" si="0"/>
        <v>1.24</v>
      </c>
      <c r="H27" s="61">
        <f t="shared" si="1"/>
        <v>61.1</v>
      </c>
      <c r="I27" s="46" t="s">
        <v>4016</v>
      </c>
      <c r="J27" s="46" t="s">
        <v>4002</v>
      </c>
      <c r="K27" s="46" t="s">
        <v>4017</v>
      </c>
      <c r="L27" s="46" t="s">
        <v>99</v>
      </c>
      <c r="M27" s="46" t="s">
        <v>576</v>
      </c>
      <c r="N27" s="46" t="s">
        <v>576</v>
      </c>
      <c r="O27" s="46" t="s">
        <v>3940</v>
      </c>
      <c r="P27" s="46" t="s">
        <v>3052</v>
      </c>
      <c r="Q27" s="46">
        <v>78</v>
      </c>
      <c r="R27" s="46" t="s">
        <v>576</v>
      </c>
      <c r="S27" s="46" t="s">
        <v>3480</v>
      </c>
      <c r="T27" s="46" t="s">
        <v>3965</v>
      </c>
      <c r="U27" s="46" t="s">
        <v>1652</v>
      </c>
      <c r="V27" s="49" t="s">
        <v>321</v>
      </c>
    </row>
    <row r="28" spans="1:22" ht="25.5" customHeight="1" x14ac:dyDescent="0.25">
      <c r="A28" s="54" t="s">
        <v>4018</v>
      </c>
      <c r="B28" s="54" t="s">
        <v>4019</v>
      </c>
      <c r="C28" s="54" t="s">
        <v>3946</v>
      </c>
      <c r="D28" s="54" t="s">
        <v>4004</v>
      </c>
      <c r="E28" s="55">
        <v>9.4638000000000009</v>
      </c>
      <c r="F28" s="55">
        <v>0.70289999999999997</v>
      </c>
      <c r="G28" s="55">
        <f t="shared" si="0"/>
        <v>8.76</v>
      </c>
      <c r="H28" s="59">
        <f t="shared" si="1"/>
        <v>7.4</v>
      </c>
      <c r="I28" s="54" t="s">
        <v>4020</v>
      </c>
      <c r="J28" s="54" t="s">
        <v>3954</v>
      </c>
      <c r="K28" s="54" t="s">
        <v>3964</v>
      </c>
      <c r="L28" s="54" t="s">
        <v>3944</v>
      </c>
      <c r="M28" s="54" t="s">
        <v>576</v>
      </c>
      <c r="N28" s="54" t="s">
        <v>576</v>
      </c>
      <c r="O28" s="54" t="s">
        <v>3512</v>
      </c>
      <c r="P28" s="54" t="s">
        <v>649</v>
      </c>
      <c r="Q28" s="54">
        <v>166</v>
      </c>
      <c r="R28" s="54" t="s">
        <v>587</v>
      </c>
      <c r="S28" s="54" t="s">
        <v>3480</v>
      </c>
      <c r="T28" s="54" t="s">
        <v>3480</v>
      </c>
      <c r="U28" s="54" t="s">
        <v>3480</v>
      </c>
      <c r="V28" s="57" t="s">
        <v>495</v>
      </c>
    </row>
    <row r="29" spans="1:22" ht="25.5" customHeight="1" x14ac:dyDescent="0.25">
      <c r="A29" s="46" t="s">
        <v>4021</v>
      </c>
      <c r="B29" s="46" t="s">
        <v>1789</v>
      </c>
      <c r="C29" s="46" t="s">
        <v>4007</v>
      </c>
      <c r="D29" s="46" t="s">
        <v>3930</v>
      </c>
      <c r="E29" s="47">
        <v>6.7439</v>
      </c>
      <c r="F29" s="47">
        <v>3.6886999999999999</v>
      </c>
      <c r="G29" s="47">
        <f t="shared" si="0"/>
        <v>3.06</v>
      </c>
      <c r="H29" s="61">
        <f t="shared" si="1"/>
        <v>54.7</v>
      </c>
      <c r="I29" s="46" t="s">
        <v>4022</v>
      </c>
      <c r="J29" s="46" t="s">
        <v>3937</v>
      </c>
      <c r="K29" s="46" t="s">
        <v>3938</v>
      </c>
      <c r="L29" s="46" t="s">
        <v>134</v>
      </c>
      <c r="M29" s="46" t="s">
        <v>576</v>
      </c>
      <c r="N29" s="46" t="s">
        <v>587</v>
      </c>
      <c r="O29" s="46" t="s">
        <v>3940</v>
      </c>
      <c r="P29" s="46" t="s">
        <v>621</v>
      </c>
      <c r="Q29" s="46">
        <v>165</v>
      </c>
      <c r="R29" s="46" t="s">
        <v>587</v>
      </c>
      <c r="S29" s="46" t="s">
        <v>576</v>
      </c>
      <c r="T29" s="46" t="s">
        <v>3480</v>
      </c>
      <c r="U29" s="46" t="s">
        <v>3480</v>
      </c>
      <c r="V29" s="49" t="s">
        <v>321</v>
      </c>
    </row>
    <row r="30" spans="1:22" ht="15" customHeight="1" x14ac:dyDescent="0.25">
      <c r="A30" s="54" t="s">
        <v>4023</v>
      </c>
      <c r="B30" s="54" t="s">
        <v>2506</v>
      </c>
      <c r="C30" s="54" t="s">
        <v>3967</v>
      </c>
      <c r="D30" s="54" t="s">
        <v>4004</v>
      </c>
      <c r="E30" s="55">
        <v>6.2807000000000004</v>
      </c>
      <c r="F30" s="55">
        <v>0.53900000000000003</v>
      </c>
      <c r="G30" s="55">
        <f t="shared" si="0"/>
        <v>5.74</v>
      </c>
      <c r="H30" s="59">
        <f t="shared" si="1"/>
        <v>8.6</v>
      </c>
      <c r="I30" s="54" t="s">
        <v>4024</v>
      </c>
      <c r="J30" s="54" t="s">
        <v>3943</v>
      </c>
      <c r="K30" s="54" t="s">
        <v>3964</v>
      </c>
      <c r="L30" s="54" t="s">
        <v>3944</v>
      </c>
      <c r="M30" s="54" t="s">
        <v>576</v>
      </c>
      <c r="N30" s="54" t="s">
        <v>587</v>
      </c>
      <c r="O30" s="54" t="s">
        <v>3961</v>
      </c>
      <c r="P30" s="54" t="s">
        <v>630</v>
      </c>
      <c r="Q30" s="54">
        <v>169</v>
      </c>
      <c r="R30" s="54" t="s">
        <v>587</v>
      </c>
      <c r="S30" s="54" t="s">
        <v>3480</v>
      </c>
      <c r="T30" s="54" t="s">
        <v>1652</v>
      </c>
      <c r="U30" s="54" t="s">
        <v>3480</v>
      </c>
      <c r="V30" s="57" t="s">
        <v>495</v>
      </c>
    </row>
    <row r="31" spans="1:22" ht="15" customHeight="1" x14ac:dyDescent="0.25">
      <c r="A31" s="46" t="s">
        <v>4025</v>
      </c>
      <c r="B31" s="46" t="s">
        <v>4026</v>
      </c>
      <c r="C31" s="46" t="s">
        <v>3970</v>
      </c>
      <c r="D31" s="46" t="s">
        <v>3952</v>
      </c>
      <c r="E31" s="47">
        <v>5.1482999999999999</v>
      </c>
      <c r="F31" s="47">
        <v>3.077</v>
      </c>
      <c r="G31" s="47">
        <f t="shared" si="0"/>
        <v>2.0699999999999998</v>
      </c>
      <c r="H31" s="61">
        <f t="shared" si="1"/>
        <v>59.8</v>
      </c>
      <c r="I31" s="46" t="s">
        <v>4027</v>
      </c>
      <c r="J31" s="46" t="s">
        <v>3937</v>
      </c>
      <c r="K31" s="46" t="s">
        <v>3955</v>
      </c>
      <c r="L31" s="46" t="s">
        <v>3944</v>
      </c>
      <c r="M31" s="46" t="s">
        <v>576</v>
      </c>
      <c r="N31" s="46" t="s">
        <v>587</v>
      </c>
      <c r="O31" s="46" t="s">
        <v>3961</v>
      </c>
      <c r="P31" s="46" t="s">
        <v>688</v>
      </c>
      <c r="Q31" s="46">
        <v>231</v>
      </c>
      <c r="R31" s="46" t="s">
        <v>587</v>
      </c>
      <c r="S31" s="46" t="s">
        <v>576</v>
      </c>
      <c r="T31" s="46" t="s">
        <v>3480</v>
      </c>
      <c r="U31" s="46" t="s">
        <v>1652</v>
      </c>
      <c r="V31" s="49" t="s">
        <v>321</v>
      </c>
    </row>
    <row r="32" spans="1:22" ht="25.5" customHeight="1" x14ac:dyDescent="0.25">
      <c r="A32" s="54" t="s">
        <v>4028</v>
      </c>
      <c r="B32" s="54" t="s">
        <v>1615</v>
      </c>
      <c r="C32" s="54" t="s">
        <v>1673</v>
      </c>
      <c r="D32" s="54" t="s">
        <v>3935</v>
      </c>
      <c r="E32" s="55">
        <v>4.0461</v>
      </c>
      <c r="F32" s="55">
        <v>0.75190000000000001</v>
      </c>
      <c r="G32" s="55">
        <f t="shared" si="0"/>
        <v>3.29</v>
      </c>
      <c r="H32" s="59">
        <f t="shared" si="1"/>
        <v>18.600000000000001</v>
      </c>
      <c r="I32" s="54" t="s">
        <v>4029</v>
      </c>
      <c r="J32" s="54" t="s">
        <v>3937</v>
      </c>
      <c r="K32" s="54" t="s">
        <v>3960</v>
      </c>
      <c r="L32" s="54" t="s">
        <v>99</v>
      </c>
      <c r="M32" s="54" t="s">
        <v>576</v>
      </c>
      <c r="N32" s="54" t="s">
        <v>576</v>
      </c>
      <c r="O32" s="54" t="s">
        <v>3512</v>
      </c>
      <c r="P32" s="54" t="s">
        <v>597</v>
      </c>
      <c r="Q32" s="54">
        <v>382</v>
      </c>
      <c r="R32" s="54" t="s">
        <v>576</v>
      </c>
      <c r="S32" s="54" t="s">
        <v>3480</v>
      </c>
      <c r="T32" s="54" t="s">
        <v>3480</v>
      </c>
      <c r="U32" s="54" t="s">
        <v>1652</v>
      </c>
      <c r="V32" s="57" t="s">
        <v>495</v>
      </c>
    </row>
    <row r="33" spans="1:22" ht="15" customHeight="1" x14ac:dyDescent="0.25">
      <c r="A33" s="54" t="s">
        <v>4030</v>
      </c>
      <c r="B33" s="54" t="s">
        <v>2694</v>
      </c>
      <c r="C33" s="54" t="s">
        <v>3946</v>
      </c>
      <c r="D33" s="54" t="s">
        <v>4004</v>
      </c>
      <c r="E33" s="55">
        <v>5.2775999999999996</v>
      </c>
      <c r="F33" s="55">
        <v>2.1019000000000001</v>
      </c>
      <c r="G33" s="55">
        <f t="shared" si="0"/>
        <v>3.18</v>
      </c>
      <c r="H33" s="59">
        <f t="shared" si="1"/>
        <v>39.799999999999997</v>
      </c>
      <c r="I33" s="54" t="s">
        <v>4031</v>
      </c>
      <c r="J33" s="54" t="s">
        <v>4002</v>
      </c>
      <c r="K33" s="54" t="s">
        <v>3955</v>
      </c>
      <c r="L33" s="54" t="s">
        <v>141</v>
      </c>
      <c r="M33" s="54" t="s">
        <v>587</v>
      </c>
      <c r="N33" s="54" t="s">
        <v>576</v>
      </c>
      <c r="O33" s="54" t="s">
        <v>3940</v>
      </c>
      <c r="P33" s="54" t="s">
        <v>649</v>
      </c>
      <c r="Q33" s="54">
        <v>371</v>
      </c>
      <c r="R33" s="54" t="s">
        <v>576</v>
      </c>
      <c r="S33" s="54" t="s">
        <v>576</v>
      </c>
      <c r="T33" s="54" t="s">
        <v>1652</v>
      </c>
      <c r="U33" s="54" t="s">
        <v>3451</v>
      </c>
      <c r="V33" s="57" t="s">
        <v>495</v>
      </c>
    </row>
    <row r="34" spans="1:22" ht="15" customHeight="1" x14ac:dyDescent="0.25">
      <c r="A34" s="54" t="s">
        <v>4032</v>
      </c>
      <c r="B34" s="54" t="s">
        <v>1583</v>
      </c>
      <c r="C34" s="54" t="s">
        <v>3474</v>
      </c>
      <c r="D34" s="54" t="s">
        <v>3947</v>
      </c>
      <c r="E34" s="55">
        <v>4.8624000000000001</v>
      </c>
      <c r="F34" s="55">
        <v>0.88529999999999998</v>
      </c>
      <c r="G34" s="55">
        <f t="shared" si="0"/>
        <v>3.98</v>
      </c>
      <c r="H34" s="59">
        <f t="shared" si="1"/>
        <v>18.2</v>
      </c>
      <c r="I34" s="54" t="s">
        <v>4033</v>
      </c>
      <c r="J34" s="54" t="s">
        <v>3954</v>
      </c>
      <c r="K34" s="54" t="s">
        <v>4017</v>
      </c>
      <c r="L34" s="54" t="s">
        <v>3939</v>
      </c>
      <c r="M34" s="54" t="s">
        <v>576</v>
      </c>
      <c r="N34" s="54" t="s">
        <v>576</v>
      </c>
      <c r="O34" s="54" t="s">
        <v>3495</v>
      </c>
      <c r="P34" s="54" t="s">
        <v>3052</v>
      </c>
      <c r="Q34" s="54">
        <v>266</v>
      </c>
      <c r="R34" s="54" t="s">
        <v>587</v>
      </c>
      <c r="S34" s="54" t="s">
        <v>3480</v>
      </c>
      <c r="T34" s="54" t="s">
        <v>3933</v>
      </c>
      <c r="U34" s="54" t="s">
        <v>3480</v>
      </c>
      <c r="V34" s="57" t="s">
        <v>495</v>
      </c>
    </row>
    <row r="35" spans="1:22" ht="15" customHeight="1" x14ac:dyDescent="0.25">
      <c r="A35" s="54" t="s">
        <v>4034</v>
      </c>
      <c r="B35" s="54" t="s">
        <v>898</v>
      </c>
      <c r="C35" s="54" t="s">
        <v>1673</v>
      </c>
      <c r="D35" s="54" t="s">
        <v>3947</v>
      </c>
      <c r="E35" s="55">
        <v>7.1670999999999996</v>
      </c>
      <c r="F35" s="55">
        <v>0.64370000000000005</v>
      </c>
      <c r="G35" s="55">
        <f t="shared" ref="G35:G66" si="2">ROUND(E35-F35,2)</f>
        <v>6.52</v>
      </c>
      <c r="H35" s="59">
        <f t="shared" ref="H35:H66" si="3">ROUND(F35/E35*100,1)</f>
        <v>9</v>
      </c>
      <c r="I35" s="54" t="s">
        <v>4035</v>
      </c>
      <c r="J35" s="54" t="s">
        <v>3982</v>
      </c>
      <c r="K35" s="54" t="s">
        <v>3949</v>
      </c>
      <c r="L35" s="54" t="s">
        <v>3939</v>
      </c>
      <c r="M35" s="54" t="s">
        <v>587</v>
      </c>
      <c r="N35" s="54" t="s">
        <v>576</v>
      </c>
      <c r="O35" s="54" t="s">
        <v>3956</v>
      </c>
      <c r="P35" s="54" t="s">
        <v>597</v>
      </c>
      <c r="Q35" s="54">
        <v>186</v>
      </c>
      <c r="R35" s="54" t="s">
        <v>587</v>
      </c>
      <c r="S35" s="54" t="s">
        <v>576</v>
      </c>
      <c r="T35" s="54" t="s">
        <v>3965</v>
      </c>
      <c r="U35" s="54" t="s">
        <v>3451</v>
      </c>
      <c r="V35" s="57" t="s">
        <v>495</v>
      </c>
    </row>
    <row r="36" spans="1:22" ht="15" customHeight="1" x14ac:dyDescent="0.25">
      <c r="A36" s="46" t="s">
        <v>4036</v>
      </c>
      <c r="B36" s="46" t="s">
        <v>1822</v>
      </c>
      <c r="C36" s="46" t="s">
        <v>1666</v>
      </c>
      <c r="D36" s="46" t="s">
        <v>4037</v>
      </c>
      <c r="E36" s="47">
        <v>8.4146999999999998</v>
      </c>
      <c r="F36" s="47">
        <v>5.4054000000000002</v>
      </c>
      <c r="G36" s="47">
        <f t="shared" si="2"/>
        <v>3.01</v>
      </c>
      <c r="H36" s="61">
        <f t="shared" si="3"/>
        <v>64.2</v>
      </c>
      <c r="I36" s="46" t="s">
        <v>4038</v>
      </c>
      <c r="J36" s="46" t="s">
        <v>4002</v>
      </c>
      <c r="K36" s="46" t="s">
        <v>3938</v>
      </c>
      <c r="L36" s="46" t="s">
        <v>134</v>
      </c>
      <c r="M36" s="46" t="s">
        <v>587</v>
      </c>
      <c r="N36" s="46" t="s">
        <v>576</v>
      </c>
      <c r="O36" s="46" t="s">
        <v>3512</v>
      </c>
      <c r="P36" s="46" t="s">
        <v>597</v>
      </c>
      <c r="Q36" s="46">
        <v>230</v>
      </c>
      <c r="R36" s="46" t="s">
        <v>576</v>
      </c>
      <c r="S36" s="46" t="s">
        <v>587</v>
      </c>
      <c r="T36" s="46" t="s">
        <v>3992</v>
      </c>
      <c r="U36" s="46" t="s">
        <v>3480</v>
      </c>
      <c r="V36" s="49" t="s">
        <v>321</v>
      </c>
    </row>
    <row r="37" spans="1:22" ht="15" customHeight="1" x14ac:dyDescent="0.25">
      <c r="A37" s="50" t="s">
        <v>4039</v>
      </c>
      <c r="B37" s="50" t="s">
        <v>1328</v>
      </c>
      <c r="C37" s="50" t="s">
        <v>3967</v>
      </c>
      <c r="D37" s="50" t="s">
        <v>3935</v>
      </c>
      <c r="E37" s="51">
        <v>6.2168999999999999</v>
      </c>
      <c r="F37" s="51">
        <v>4.0903999999999998</v>
      </c>
      <c r="G37" s="51">
        <f t="shared" si="2"/>
        <v>2.13</v>
      </c>
      <c r="H37" s="60">
        <f t="shared" si="3"/>
        <v>65.8</v>
      </c>
      <c r="I37" s="50" t="s">
        <v>4040</v>
      </c>
      <c r="J37" s="50" t="s">
        <v>617</v>
      </c>
      <c r="K37" s="50" t="s">
        <v>3932</v>
      </c>
      <c r="L37" s="50" t="s">
        <v>134</v>
      </c>
      <c r="M37" s="50" t="s">
        <v>587</v>
      </c>
      <c r="N37" s="50" t="s">
        <v>576</v>
      </c>
      <c r="O37" s="50" t="s">
        <v>3495</v>
      </c>
      <c r="P37" s="50" t="s">
        <v>597</v>
      </c>
      <c r="Q37" s="50">
        <v>265</v>
      </c>
      <c r="R37" s="50" t="s">
        <v>576</v>
      </c>
      <c r="S37" s="50" t="s">
        <v>576</v>
      </c>
      <c r="T37" s="50" t="s">
        <v>1652</v>
      </c>
      <c r="U37" s="50" t="s">
        <v>3451</v>
      </c>
      <c r="V37" s="53" t="s">
        <v>266</v>
      </c>
    </row>
    <row r="38" spans="1:22" ht="15" customHeight="1" x14ac:dyDescent="0.25">
      <c r="A38" s="46" t="s">
        <v>4041</v>
      </c>
      <c r="B38" s="46" t="s">
        <v>4042</v>
      </c>
      <c r="C38" s="46" t="s">
        <v>3970</v>
      </c>
      <c r="D38" s="46" t="s">
        <v>3935</v>
      </c>
      <c r="E38" s="47">
        <v>9.5145999999999997</v>
      </c>
      <c r="F38" s="47">
        <v>6.0537999999999998</v>
      </c>
      <c r="G38" s="47">
        <f t="shared" si="2"/>
        <v>3.46</v>
      </c>
      <c r="H38" s="61">
        <f t="shared" si="3"/>
        <v>63.6</v>
      </c>
      <c r="I38" s="46" t="s">
        <v>4043</v>
      </c>
      <c r="J38" s="46" t="s">
        <v>3954</v>
      </c>
      <c r="K38" s="46" t="s">
        <v>3964</v>
      </c>
      <c r="L38" s="46" t="s">
        <v>134</v>
      </c>
      <c r="M38" s="46" t="s">
        <v>576</v>
      </c>
      <c r="N38" s="46" t="s">
        <v>576</v>
      </c>
      <c r="O38" s="46" t="s">
        <v>3940</v>
      </c>
      <c r="P38" s="46" t="s">
        <v>688</v>
      </c>
      <c r="Q38" s="46">
        <v>232</v>
      </c>
      <c r="R38" s="46" t="s">
        <v>576</v>
      </c>
      <c r="S38" s="46" t="s">
        <v>587</v>
      </c>
      <c r="T38" s="46" t="s">
        <v>3965</v>
      </c>
      <c r="U38" s="46" t="s">
        <v>3480</v>
      </c>
      <c r="V38" s="49" t="s">
        <v>321</v>
      </c>
    </row>
    <row r="39" spans="1:22" ht="15" customHeight="1" x14ac:dyDescent="0.25">
      <c r="A39" s="54" t="s">
        <v>4044</v>
      </c>
      <c r="B39" s="54" t="s">
        <v>1740</v>
      </c>
      <c r="C39" s="54" t="s">
        <v>1666</v>
      </c>
      <c r="D39" s="54" t="s">
        <v>3930</v>
      </c>
      <c r="E39" s="55">
        <v>5.8695000000000004</v>
      </c>
      <c r="F39" s="55">
        <v>2.6067999999999998</v>
      </c>
      <c r="G39" s="55">
        <f t="shared" si="2"/>
        <v>3.26</v>
      </c>
      <c r="H39" s="59">
        <f t="shared" si="3"/>
        <v>44.4</v>
      </c>
      <c r="I39" s="54" t="s">
        <v>4045</v>
      </c>
      <c r="J39" s="54" t="s">
        <v>617</v>
      </c>
      <c r="K39" s="54" t="s">
        <v>3949</v>
      </c>
      <c r="L39" s="54" t="s">
        <v>3939</v>
      </c>
      <c r="M39" s="54" t="s">
        <v>576</v>
      </c>
      <c r="N39" s="54" t="s">
        <v>576</v>
      </c>
      <c r="O39" s="54" t="s">
        <v>3956</v>
      </c>
      <c r="P39" s="54" t="s">
        <v>3049</v>
      </c>
      <c r="Q39" s="54">
        <v>159</v>
      </c>
      <c r="R39" s="54" t="s">
        <v>587</v>
      </c>
      <c r="S39" s="54" t="s">
        <v>587</v>
      </c>
      <c r="T39" s="54" t="s">
        <v>3965</v>
      </c>
      <c r="U39" s="54" t="s">
        <v>3480</v>
      </c>
      <c r="V39" s="57" t="s">
        <v>495</v>
      </c>
    </row>
    <row r="40" spans="1:22" ht="15" customHeight="1" x14ac:dyDescent="0.25">
      <c r="A40" s="46" t="s">
        <v>4046</v>
      </c>
      <c r="B40" s="46" t="s">
        <v>1212</v>
      </c>
      <c r="C40" s="46" t="s">
        <v>3970</v>
      </c>
      <c r="D40" s="46" t="s">
        <v>3974</v>
      </c>
      <c r="E40" s="47">
        <v>9.7655999999999992</v>
      </c>
      <c r="F40" s="47">
        <v>5.5376000000000003</v>
      </c>
      <c r="G40" s="47">
        <f t="shared" si="2"/>
        <v>4.2300000000000004</v>
      </c>
      <c r="H40" s="61">
        <f t="shared" si="3"/>
        <v>56.7</v>
      </c>
      <c r="I40" s="46" t="s">
        <v>4047</v>
      </c>
      <c r="J40" s="46" t="s">
        <v>4002</v>
      </c>
      <c r="K40" s="46" t="s">
        <v>3964</v>
      </c>
      <c r="L40" s="46" t="s">
        <v>3944</v>
      </c>
      <c r="M40" s="46" t="s">
        <v>587</v>
      </c>
      <c r="N40" s="46" t="s">
        <v>587</v>
      </c>
      <c r="O40" s="46" t="s">
        <v>3983</v>
      </c>
      <c r="P40" s="46" t="s">
        <v>630</v>
      </c>
      <c r="Q40" s="46">
        <v>226</v>
      </c>
      <c r="R40" s="46" t="s">
        <v>576</v>
      </c>
      <c r="S40" s="46" t="s">
        <v>576</v>
      </c>
      <c r="T40" s="46" t="s">
        <v>3480</v>
      </c>
      <c r="U40" s="46" t="s">
        <v>3451</v>
      </c>
      <c r="V40" s="49" t="s">
        <v>321</v>
      </c>
    </row>
    <row r="41" spans="1:22" ht="25.5" customHeight="1" x14ac:dyDescent="0.25">
      <c r="A41" s="54" t="s">
        <v>4048</v>
      </c>
      <c r="B41" s="54" t="s">
        <v>1574</v>
      </c>
      <c r="C41" s="54" t="s">
        <v>3528</v>
      </c>
      <c r="D41" s="54" t="s">
        <v>3935</v>
      </c>
      <c r="E41" s="55">
        <v>5.1097000000000001</v>
      </c>
      <c r="F41" s="55">
        <v>1.2135</v>
      </c>
      <c r="G41" s="55">
        <f t="shared" si="2"/>
        <v>3.9</v>
      </c>
      <c r="H41" s="59">
        <f t="shared" si="3"/>
        <v>23.7</v>
      </c>
      <c r="I41" s="54" t="s">
        <v>4049</v>
      </c>
      <c r="J41" s="54" t="s">
        <v>3982</v>
      </c>
      <c r="K41" s="54" t="s">
        <v>3949</v>
      </c>
      <c r="L41" s="54" t="s">
        <v>134</v>
      </c>
      <c r="M41" s="54" t="s">
        <v>587</v>
      </c>
      <c r="N41" s="54" t="s">
        <v>576</v>
      </c>
      <c r="O41" s="54" t="s">
        <v>3961</v>
      </c>
      <c r="P41" s="54" t="s">
        <v>3052</v>
      </c>
      <c r="Q41" s="54">
        <v>347</v>
      </c>
      <c r="R41" s="54" t="s">
        <v>576</v>
      </c>
      <c r="S41" s="54" t="s">
        <v>3480</v>
      </c>
      <c r="T41" s="54" t="s">
        <v>3965</v>
      </c>
      <c r="U41" s="54" t="s">
        <v>1652</v>
      </c>
      <c r="V41" s="57" t="s">
        <v>495</v>
      </c>
    </row>
    <row r="42" spans="1:22" ht="15" customHeight="1" x14ac:dyDescent="0.25">
      <c r="A42" s="50" t="s">
        <v>4050</v>
      </c>
      <c r="B42" s="50" t="s">
        <v>4051</v>
      </c>
      <c r="C42" s="50" t="s">
        <v>3967</v>
      </c>
      <c r="D42" s="50" t="s">
        <v>3974</v>
      </c>
      <c r="E42" s="51">
        <v>9.6211000000000002</v>
      </c>
      <c r="F42" s="51">
        <v>7.1833</v>
      </c>
      <c r="G42" s="51">
        <f t="shared" si="2"/>
        <v>2.44</v>
      </c>
      <c r="H42" s="60">
        <f t="shared" si="3"/>
        <v>74.7</v>
      </c>
      <c r="I42" s="50" t="s">
        <v>4052</v>
      </c>
      <c r="J42" s="50" t="s">
        <v>3943</v>
      </c>
      <c r="K42" s="50" t="s">
        <v>3991</v>
      </c>
      <c r="L42" s="50" t="s">
        <v>99</v>
      </c>
      <c r="M42" s="50" t="s">
        <v>576</v>
      </c>
      <c r="N42" s="50" t="s">
        <v>587</v>
      </c>
      <c r="O42" s="50" t="s">
        <v>3961</v>
      </c>
      <c r="P42" s="50" t="s">
        <v>597</v>
      </c>
      <c r="Q42" s="50">
        <v>366</v>
      </c>
      <c r="R42" s="50" t="s">
        <v>587</v>
      </c>
      <c r="S42" s="50" t="s">
        <v>3480</v>
      </c>
      <c r="T42" s="50" t="s">
        <v>3992</v>
      </c>
      <c r="U42" s="50" t="s">
        <v>1652</v>
      </c>
      <c r="V42" s="53" t="s">
        <v>266</v>
      </c>
    </row>
    <row r="43" spans="1:22" ht="15" customHeight="1" x14ac:dyDescent="0.25">
      <c r="A43" s="50" t="s">
        <v>4053</v>
      </c>
      <c r="B43" s="50" t="s">
        <v>1342</v>
      </c>
      <c r="C43" s="50" t="s">
        <v>3474</v>
      </c>
      <c r="D43" s="50" t="s">
        <v>3987</v>
      </c>
      <c r="E43" s="51">
        <v>0.99570000000000003</v>
      </c>
      <c r="F43" s="51">
        <v>0.81559999999999999</v>
      </c>
      <c r="G43" s="51">
        <f t="shared" si="2"/>
        <v>0.18</v>
      </c>
      <c r="H43" s="60">
        <f t="shared" si="3"/>
        <v>81.900000000000006</v>
      </c>
      <c r="I43" s="50" t="s">
        <v>4054</v>
      </c>
      <c r="J43" s="50" t="s">
        <v>4002</v>
      </c>
      <c r="K43" s="50" t="s">
        <v>3938</v>
      </c>
      <c r="L43" s="50" t="s">
        <v>134</v>
      </c>
      <c r="M43" s="50" t="s">
        <v>576</v>
      </c>
      <c r="N43" s="50" t="s">
        <v>587</v>
      </c>
      <c r="O43" s="50" t="s">
        <v>3940</v>
      </c>
      <c r="P43" s="50" t="s">
        <v>656</v>
      </c>
      <c r="Q43" s="50">
        <v>243</v>
      </c>
      <c r="R43" s="50" t="s">
        <v>576</v>
      </c>
      <c r="S43" s="50" t="s">
        <v>587</v>
      </c>
      <c r="T43" s="50" t="s">
        <v>3933</v>
      </c>
      <c r="U43" s="50" t="s">
        <v>3451</v>
      </c>
      <c r="V43" s="53" t="s">
        <v>266</v>
      </c>
    </row>
    <row r="44" spans="1:22" ht="15" customHeight="1" x14ac:dyDescent="0.25">
      <c r="A44" s="54" t="s">
        <v>4055</v>
      </c>
      <c r="B44" s="54" t="s">
        <v>660</v>
      </c>
      <c r="C44" s="54" t="s">
        <v>3970</v>
      </c>
      <c r="D44" s="54" t="s">
        <v>3974</v>
      </c>
      <c r="E44" s="55">
        <v>1.8492</v>
      </c>
      <c r="F44" s="55">
        <v>0.29609999999999997</v>
      </c>
      <c r="G44" s="55">
        <f t="shared" si="2"/>
        <v>1.55</v>
      </c>
      <c r="H44" s="59">
        <f t="shared" si="3"/>
        <v>16</v>
      </c>
      <c r="I44" s="54" t="s">
        <v>4056</v>
      </c>
      <c r="J44" s="54" t="s">
        <v>617</v>
      </c>
      <c r="K44" s="54" t="s">
        <v>3938</v>
      </c>
      <c r="L44" s="54" t="s">
        <v>3939</v>
      </c>
      <c r="M44" s="54" t="s">
        <v>587</v>
      </c>
      <c r="N44" s="54" t="s">
        <v>576</v>
      </c>
      <c r="O44" s="54" t="s">
        <v>3512</v>
      </c>
      <c r="P44" s="54" t="s">
        <v>621</v>
      </c>
      <c r="Q44" s="54">
        <v>142</v>
      </c>
      <c r="R44" s="54" t="s">
        <v>576</v>
      </c>
      <c r="S44" s="54" t="s">
        <v>587</v>
      </c>
      <c r="T44" s="54" t="s">
        <v>1652</v>
      </c>
      <c r="U44" s="54" t="s">
        <v>3451</v>
      </c>
      <c r="V44" s="57" t="s">
        <v>495</v>
      </c>
    </row>
    <row r="45" spans="1:22" ht="15" customHeight="1" x14ac:dyDescent="0.25">
      <c r="A45" s="50" t="s">
        <v>4057</v>
      </c>
      <c r="B45" s="50" t="s">
        <v>3567</v>
      </c>
      <c r="C45" s="50" t="s">
        <v>3951</v>
      </c>
      <c r="D45" s="50" t="s">
        <v>3930</v>
      </c>
      <c r="E45" s="51">
        <v>9.4882000000000009</v>
      </c>
      <c r="F45" s="51">
        <v>8.1389999999999993</v>
      </c>
      <c r="G45" s="51">
        <f t="shared" si="2"/>
        <v>1.35</v>
      </c>
      <c r="H45" s="60">
        <f t="shared" si="3"/>
        <v>85.8</v>
      </c>
      <c r="I45" s="50" t="s">
        <v>4058</v>
      </c>
      <c r="J45" s="50" t="s">
        <v>617</v>
      </c>
      <c r="K45" s="50" t="s">
        <v>3960</v>
      </c>
      <c r="L45" s="50" t="s">
        <v>3944</v>
      </c>
      <c r="M45" s="50" t="s">
        <v>576</v>
      </c>
      <c r="N45" s="50" t="s">
        <v>587</v>
      </c>
      <c r="O45" s="50" t="s">
        <v>3983</v>
      </c>
      <c r="P45" s="50" t="s">
        <v>667</v>
      </c>
      <c r="Q45" s="50">
        <v>395</v>
      </c>
      <c r="R45" s="50" t="s">
        <v>587</v>
      </c>
      <c r="S45" s="50" t="s">
        <v>587</v>
      </c>
      <c r="T45" s="50" t="s">
        <v>3965</v>
      </c>
      <c r="U45" s="50" t="s">
        <v>3451</v>
      </c>
      <c r="V45" s="53" t="s">
        <v>266</v>
      </c>
    </row>
    <row r="46" spans="1:22" ht="25.5" customHeight="1" x14ac:dyDescent="0.25">
      <c r="A46" s="54" t="s">
        <v>4059</v>
      </c>
      <c r="B46" s="54" t="s">
        <v>4060</v>
      </c>
      <c r="C46" s="54" t="s">
        <v>3946</v>
      </c>
      <c r="D46" s="54" t="s">
        <v>3987</v>
      </c>
      <c r="E46" s="55">
        <v>8.1913</v>
      </c>
      <c r="F46" s="55">
        <v>1.909</v>
      </c>
      <c r="G46" s="55">
        <f t="shared" si="2"/>
        <v>6.28</v>
      </c>
      <c r="H46" s="59">
        <f t="shared" si="3"/>
        <v>23.3</v>
      </c>
      <c r="I46" s="54" t="s">
        <v>4061</v>
      </c>
      <c r="J46" s="54" t="s">
        <v>3937</v>
      </c>
      <c r="K46" s="54" t="s">
        <v>3932</v>
      </c>
      <c r="L46" s="54" t="s">
        <v>141</v>
      </c>
      <c r="M46" s="54" t="s">
        <v>576</v>
      </c>
      <c r="N46" s="54" t="s">
        <v>576</v>
      </c>
      <c r="O46" s="54" t="s">
        <v>3961</v>
      </c>
      <c r="P46" s="54" t="s">
        <v>649</v>
      </c>
      <c r="Q46" s="54">
        <v>152</v>
      </c>
      <c r="R46" s="54" t="s">
        <v>576</v>
      </c>
      <c r="S46" s="54" t="s">
        <v>576</v>
      </c>
      <c r="T46" s="54" t="s">
        <v>1652</v>
      </c>
      <c r="U46" s="54" t="s">
        <v>1652</v>
      </c>
      <c r="V46" s="57" t="s">
        <v>495</v>
      </c>
    </row>
    <row r="47" spans="1:22" ht="15" customHeight="1" x14ac:dyDescent="0.25">
      <c r="A47" s="46" t="s">
        <v>4062</v>
      </c>
      <c r="B47" s="46" t="s">
        <v>963</v>
      </c>
      <c r="C47" s="46" t="s">
        <v>3951</v>
      </c>
      <c r="D47" s="46" t="s">
        <v>3930</v>
      </c>
      <c r="E47" s="47">
        <v>5.7938999999999998</v>
      </c>
      <c r="F47" s="47">
        <v>3.6573000000000002</v>
      </c>
      <c r="G47" s="47">
        <f t="shared" si="2"/>
        <v>2.14</v>
      </c>
      <c r="H47" s="61">
        <f t="shared" si="3"/>
        <v>63.1</v>
      </c>
      <c r="I47" s="46" t="s">
        <v>4063</v>
      </c>
      <c r="J47" s="46" t="s">
        <v>3943</v>
      </c>
      <c r="K47" s="46" t="s">
        <v>3955</v>
      </c>
      <c r="L47" s="46" t="s">
        <v>141</v>
      </c>
      <c r="M47" s="46" t="s">
        <v>576</v>
      </c>
      <c r="N47" s="46" t="s">
        <v>587</v>
      </c>
      <c r="O47" s="46" t="s">
        <v>3940</v>
      </c>
      <c r="P47" s="46" t="s">
        <v>621</v>
      </c>
      <c r="Q47" s="46">
        <v>240</v>
      </c>
      <c r="R47" s="46" t="s">
        <v>576</v>
      </c>
      <c r="S47" s="46" t="s">
        <v>3480</v>
      </c>
      <c r="T47" s="46" t="s">
        <v>3965</v>
      </c>
      <c r="U47" s="46" t="s">
        <v>3451</v>
      </c>
      <c r="V47" s="49" t="s">
        <v>321</v>
      </c>
    </row>
    <row r="48" spans="1:22" ht="25.5" customHeight="1" x14ac:dyDescent="0.25">
      <c r="A48" s="50" t="s">
        <v>4064</v>
      </c>
      <c r="B48" s="50" t="s">
        <v>1478</v>
      </c>
      <c r="C48" s="50" t="s">
        <v>3929</v>
      </c>
      <c r="D48" s="50" t="s">
        <v>3958</v>
      </c>
      <c r="E48" s="51">
        <v>0.1148</v>
      </c>
      <c r="F48" s="51">
        <v>0.10879999999999999</v>
      </c>
      <c r="G48" s="51">
        <f t="shared" si="2"/>
        <v>0.01</v>
      </c>
      <c r="H48" s="60">
        <f t="shared" si="3"/>
        <v>94.8</v>
      </c>
      <c r="I48" s="50" t="s">
        <v>4065</v>
      </c>
      <c r="J48" s="50" t="s">
        <v>3954</v>
      </c>
      <c r="K48" s="50" t="s">
        <v>3932</v>
      </c>
      <c r="L48" s="50" t="s">
        <v>99</v>
      </c>
      <c r="M48" s="50" t="s">
        <v>576</v>
      </c>
      <c r="N48" s="50" t="s">
        <v>576</v>
      </c>
      <c r="O48" s="50" t="s">
        <v>3956</v>
      </c>
      <c r="P48" s="50" t="s">
        <v>661</v>
      </c>
      <c r="Q48" s="50">
        <v>353</v>
      </c>
      <c r="R48" s="50" t="s">
        <v>576</v>
      </c>
      <c r="S48" s="50" t="s">
        <v>587</v>
      </c>
      <c r="T48" s="50" t="s">
        <v>3480</v>
      </c>
      <c r="U48" s="50" t="s">
        <v>3480</v>
      </c>
      <c r="V48" s="53" t="s">
        <v>266</v>
      </c>
    </row>
    <row r="49" spans="1:22" ht="25.5" customHeight="1" x14ac:dyDescent="0.25">
      <c r="A49" s="54" t="s">
        <v>4066</v>
      </c>
      <c r="B49" s="54" t="s">
        <v>709</v>
      </c>
      <c r="C49" s="54" t="s">
        <v>1673</v>
      </c>
      <c r="D49" s="54" t="s">
        <v>3958</v>
      </c>
      <c r="E49" s="55">
        <v>9.0065000000000008</v>
      </c>
      <c r="F49" s="55">
        <v>2.1425000000000001</v>
      </c>
      <c r="G49" s="55">
        <f t="shared" si="2"/>
        <v>6.86</v>
      </c>
      <c r="H49" s="59">
        <f t="shared" si="3"/>
        <v>23.8</v>
      </c>
      <c r="I49" s="54" t="s">
        <v>4067</v>
      </c>
      <c r="J49" s="54" t="s">
        <v>3937</v>
      </c>
      <c r="K49" s="54" t="s">
        <v>3964</v>
      </c>
      <c r="L49" s="54" t="s">
        <v>3944</v>
      </c>
      <c r="M49" s="54" t="s">
        <v>587</v>
      </c>
      <c r="N49" s="54" t="s">
        <v>587</v>
      </c>
      <c r="O49" s="54" t="s">
        <v>3961</v>
      </c>
      <c r="P49" s="54" t="s">
        <v>3052</v>
      </c>
      <c r="Q49" s="54">
        <v>13</v>
      </c>
      <c r="R49" s="54" t="s">
        <v>576</v>
      </c>
      <c r="S49" s="54" t="s">
        <v>587</v>
      </c>
      <c r="T49" s="54" t="s">
        <v>3965</v>
      </c>
      <c r="U49" s="54" t="s">
        <v>3480</v>
      </c>
      <c r="V49" s="57" t="s">
        <v>495</v>
      </c>
    </row>
    <row r="50" spans="1:22" ht="15" customHeight="1" x14ac:dyDescent="0.25">
      <c r="A50" s="54" t="s">
        <v>4068</v>
      </c>
      <c r="B50" s="54" t="s">
        <v>2942</v>
      </c>
      <c r="C50" s="54" t="s">
        <v>3951</v>
      </c>
      <c r="D50" s="54" t="s">
        <v>4037</v>
      </c>
      <c r="E50" s="55">
        <v>6.3930999999999996</v>
      </c>
      <c r="F50" s="55">
        <v>1.9081999999999999</v>
      </c>
      <c r="G50" s="55">
        <f t="shared" si="2"/>
        <v>4.4800000000000004</v>
      </c>
      <c r="H50" s="59">
        <f t="shared" si="3"/>
        <v>29.8</v>
      </c>
      <c r="I50" s="54" t="s">
        <v>4069</v>
      </c>
      <c r="J50" s="54" t="s">
        <v>4002</v>
      </c>
      <c r="K50" s="54" t="s">
        <v>3932</v>
      </c>
      <c r="L50" s="54" t="s">
        <v>134</v>
      </c>
      <c r="M50" s="54" t="s">
        <v>576</v>
      </c>
      <c r="N50" s="54" t="s">
        <v>576</v>
      </c>
      <c r="O50" s="54" t="s">
        <v>3956</v>
      </c>
      <c r="P50" s="54" t="s">
        <v>667</v>
      </c>
      <c r="Q50" s="54">
        <v>184</v>
      </c>
      <c r="R50" s="54" t="s">
        <v>576</v>
      </c>
      <c r="S50" s="54" t="s">
        <v>587</v>
      </c>
      <c r="T50" s="54" t="s">
        <v>3933</v>
      </c>
      <c r="U50" s="54" t="s">
        <v>3451</v>
      </c>
      <c r="V50" s="57" t="s">
        <v>495</v>
      </c>
    </row>
    <row r="51" spans="1:22" ht="15" customHeight="1" x14ac:dyDescent="0.25">
      <c r="A51" s="50" t="s">
        <v>4070</v>
      </c>
      <c r="B51" s="50" t="s">
        <v>797</v>
      </c>
      <c r="C51" s="50" t="s">
        <v>3929</v>
      </c>
      <c r="D51" s="50" t="s">
        <v>3987</v>
      </c>
      <c r="E51" s="51">
        <v>1.4871000000000001</v>
      </c>
      <c r="F51" s="51">
        <v>1.1571</v>
      </c>
      <c r="G51" s="51">
        <f t="shared" si="2"/>
        <v>0.33</v>
      </c>
      <c r="H51" s="60">
        <f t="shared" si="3"/>
        <v>77.8</v>
      </c>
      <c r="I51" s="50" t="s">
        <v>4071</v>
      </c>
      <c r="J51" s="50" t="s">
        <v>4002</v>
      </c>
      <c r="K51" s="50" t="s">
        <v>4017</v>
      </c>
      <c r="L51" s="50" t="s">
        <v>99</v>
      </c>
      <c r="M51" s="50" t="s">
        <v>587</v>
      </c>
      <c r="N51" s="50" t="s">
        <v>576</v>
      </c>
      <c r="O51" s="50" t="s">
        <v>3940</v>
      </c>
      <c r="P51" s="50" t="s">
        <v>667</v>
      </c>
      <c r="Q51" s="50">
        <v>39</v>
      </c>
      <c r="R51" s="50" t="s">
        <v>587</v>
      </c>
      <c r="S51" s="50" t="s">
        <v>3480</v>
      </c>
      <c r="T51" s="50" t="s">
        <v>3965</v>
      </c>
      <c r="U51" s="50" t="s">
        <v>3480</v>
      </c>
      <c r="V51" s="53" t="s">
        <v>266</v>
      </c>
    </row>
    <row r="52" spans="1:22" ht="25.5" customHeight="1" x14ac:dyDescent="0.25">
      <c r="A52" s="54" t="s">
        <v>4072</v>
      </c>
      <c r="B52" s="54" t="s">
        <v>1754</v>
      </c>
      <c r="C52" s="54" t="s">
        <v>3951</v>
      </c>
      <c r="D52" s="54" t="s">
        <v>3952</v>
      </c>
      <c r="E52" s="55">
        <v>5.8681999999999999</v>
      </c>
      <c r="F52" s="55">
        <v>1.1275999999999999</v>
      </c>
      <c r="G52" s="55">
        <f t="shared" si="2"/>
        <v>4.74</v>
      </c>
      <c r="H52" s="59">
        <f t="shared" si="3"/>
        <v>19.2</v>
      </c>
      <c r="I52" s="54" t="s">
        <v>4073</v>
      </c>
      <c r="J52" s="54" t="s">
        <v>3937</v>
      </c>
      <c r="K52" s="54" t="s">
        <v>3949</v>
      </c>
      <c r="L52" s="54" t="s">
        <v>3944</v>
      </c>
      <c r="M52" s="54" t="s">
        <v>587</v>
      </c>
      <c r="N52" s="54" t="s">
        <v>576</v>
      </c>
      <c r="O52" s="54" t="s">
        <v>3495</v>
      </c>
      <c r="P52" s="54" t="s">
        <v>3076</v>
      </c>
      <c r="Q52" s="54">
        <v>28</v>
      </c>
      <c r="R52" s="54" t="s">
        <v>576</v>
      </c>
      <c r="S52" s="54" t="s">
        <v>576</v>
      </c>
      <c r="T52" s="54" t="s">
        <v>3480</v>
      </c>
      <c r="U52" s="54" t="s">
        <v>3451</v>
      </c>
      <c r="V52" s="57" t="s">
        <v>495</v>
      </c>
    </row>
    <row r="53" spans="1:22" ht="15" customHeight="1" x14ac:dyDescent="0.25">
      <c r="A53" s="50" t="s">
        <v>4074</v>
      </c>
      <c r="B53" s="50" t="s">
        <v>2887</v>
      </c>
      <c r="C53" s="50" t="s">
        <v>3474</v>
      </c>
      <c r="D53" s="50" t="s">
        <v>3952</v>
      </c>
      <c r="E53" s="51">
        <v>3.4984000000000002</v>
      </c>
      <c r="F53" s="51">
        <v>2.4689999999999999</v>
      </c>
      <c r="G53" s="51">
        <f t="shared" si="2"/>
        <v>1.03</v>
      </c>
      <c r="H53" s="60">
        <f t="shared" si="3"/>
        <v>70.599999999999994</v>
      </c>
      <c r="I53" s="50" t="s">
        <v>4075</v>
      </c>
      <c r="J53" s="50" t="s">
        <v>3982</v>
      </c>
      <c r="K53" s="50" t="s">
        <v>3932</v>
      </c>
      <c r="L53" s="50" t="s">
        <v>134</v>
      </c>
      <c r="M53" s="50" t="s">
        <v>587</v>
      </c>
      <c r="N53" s="50" t="s">
        <v>587</v>
      </c>
      <c r="O53" s="50" t="s">
        <v>3956</v>
      </c>
      <c r="P53" s="50" t="s">
        <v>661</v>
      </c>
      <c r="Q53" s="50">
        <v>278</v>
      </c>
      <c r="R53" s="50" t="s">
        <v>576</v>
      </c>
      <c r="S53" s="50" t="s">
        <v>3480</v>
      </c>
      <c r="T53" s="50" t="s">
        <v>1652</v>
      </c>
      <c r="U53" s="50" t="s">
        <v>3451</v>
      </c>
      <c r="V53" s="53" t="s">
        <v>266</v>
      </c>
    </row>
    <row r="54" spans="1:22" ht="15" customHeight="1" x14ac:dyDescent="0.25">
      <c r="A54" s="50" t="s">
        <v>4076</v>
      </c>
      <c r="B54" s="50" t="s">
        <v>1894</v>
      </c>
      <c r="C54" s="50" t="s">
        <v>3528</v>
      </c>
      <c r="D54" s="50" t="s">
        <v>3947</v>
      </c>
      <c r="E54" s="51">
        <v>0.75439999999999996</v>
      </c>
      <c r="F54" s="51">
        <v>0.66590000000000005</v>
      </c>
      <c r="G54" s="51">
        <f t="shared" si="2"/>
        <v>0.09</v>
      </c>
      <c r="H54" s="60">
        <f t="shared" si="3"/>
        <v>88.3</v>
      </c>
      <c r="I54" s="50" t="s">
        <v>4077</v>
      </c>
      <c r="J54" s="50" t="s">
        <v>3937</v>
      </c>
      <c r="K54" s="50" t="s">
        <v>3960</v>
      </c>
      <c r="L54" s="50" t="s">
        <v>134</v>
      </c>
      <c r="M54" s="50" t="s">
        <v>587</v>
      </c>
      <c r="N54" s="50" t="s">
        <v>587</v>
      </c>
      <c r="O54" s="50" t="s">
        <v>3961</v>
      </c>
      <c r="P54" s="50" t="s">
        <v>667</v>
      </c>
      <c r="Q54" s="50">
        <v>81</v>
      </c>
      <c r="R54" s="50" t="s">
        <v>587</v>
      </c>
      <c r="S54" s="50" t="s">
        <v>576</v>
      </c>
      <c r="T54" s="50" t="s">
        <v>1652</v>
      </c>
      <c r="U54" s="50" t="s">
        <v>3451</v>
      </c>
      <c r="V54" s="53" t="s">
        <v>266</v>
      </c>
    </row>
    <row r="55" spans="1:22" ht="15" customHeight="1" x14ac:dyDescent="0.25">
      <c r="A55" s="46" t="s">
        <v>4078</v>
      </c>
      <c r="B55" s="46" t="s">
        <v>1788</v>
      </c>
      <c r="C55" s="46" t="s">
        <v>4007</v>
      </c>
      <c r="D55" s="46" t="s">
        <v>4004</v>
      </c>
      <c r="E55" s="47">
        <v>5.2188999999999997</v>
      </c>
      <c r="F55" s="47">
        <v>3.0305</v>
      </c>
      <c r="G55" s="47">
        <f t="shared" si="2"/>
        <v>2.19</v>
      </c>
      <c r="H55" s="61">
        <f t="shared" si="3"/>
        <v>58.1</v>
      </c>
      <c r="I55" s="46" t="s">
        <v>4079</v>
      </c>
      <c r="J55" s="46" t="s">
        <v>3954</v>
      </c>
      <c r="K55" s="46" t="s">
        <v>3960</v>
      </c>
      <c r="L55" s="46" t="s">
        <v>99</v>
      </c>
      <c r="M55" s="46" t="s">
        <v>576</v>
      </c>
      <c r="N55" s="46" t="s">
        <v>587</v>
      </c>
      <c r="O55" s="46" t="s">
        <v>3983</v>
      </c>
      <c r="P55" s="46" t="s">
        <v>3076</v>
      </c>
      <c r="Q55" s="46">
        <v>169</v>
      </c>
      <c r="R55" s="46" t="s">
        <v>587</v>
      </c>
      <c r="S55" s="46" t="s">
        <v>576</v>
      </c>
      <c r="T55" s="46" t="s">
        <v>3965</v>
      </c>
      <c r="U55" s="46" t="s">
        <v>3451</v>
      </c>
      <c r="V55" s="49" t="s">
        <v>321</v>
      </c>
    </row>
    <row r="56" spans="1:22" ht="15" customHeight="1" x14ac:dyDescent="0.25">
      <c r="A56" s="54" t="s">
        <v>4080</v>
      </c>
      <c r="B56" s="54" t="s">
        <v>2699</v>
      </c>
      <c r="C56" s="54" t="s">
        <v>3929</v>
      </c>
      <c r="D56" s="54" t="s">
        <v>3974</v>
      </c>
      <c r="E56" s="55">
        <v>1.0381</v>
      </c>
      <c r="F56" s="55">
        <v>0.23350000000000001</v>
      </c>
      <c r="G56" s="55">
        <f t="shared" si="2"/>
        <v>0.8</v>
      </c>
      <c r="H56" s="59">
        <f t="shared" si="3"/>
        <v>22.5</v>
      </c>
      <c r="I56" s="54" t="s">
        <v>4081</v>
      </c>
      <c r="J56" s="54" t="s">
        <v>3982</v>
      </c>
      <c r="K56" s="54" t="s">
        <v>3991</v>
      </c>
      <c r="L56" s="54" t="s">
        <v>141</v>
      </c>
      <c r="M56" s="54" t="s">
        <v>576</v>
      </c>
      <c r="N56" s="54" t="s">
        <v>587</v>
      </c>
      <c r="O56" s="54" t="s">
        <v>3956</v>
      </c>
      <c r="P56" s="54" t="s">
        <v>630</v>
      </c>
      <c r="Q56" s="54">
        <v>164</v>
      </c>
      <c r="R56" s="54" t="s">
        <v>576</v>
      </c>
      <c r="S56" s="54" t="s">
        <v>3480</v>
      </c>
      <c r="T56" s="54" t="s">
        <v>1652</v>
      </c>
      <c r="U56" s="54" t="s">
        <v>3451</v>
      </c>
      <c r="V56" s="57" t="s">
        <v>495</v>
      </c>
    </row>
    <row r="57" spans="1:22" ht="15" customHeight="1" x14ac:dyDescent="0.25">
      <c r="A57" s="54" t="s">
        <v>4082</v>
      </c>
      <c r="B57" s="54" t="s">
        <v>2198</v>
      </c>
      <c r="C57" s="54" t="s">
        <v>1666</v>
      </c>
      <c r="D57" s="54" t="s">
        <v>3987</v>
      </c>
      <c r="E57" s="55">
        <v>2.3654999999999999</v>
      </c>
      <c r="F57" s="55">
        <v>1.1431</v>
      </c>
      <c r="G57" s="55">
        <f t="shared" si="2"/>
        <v>1.22</v>
      </c>
      <c r="H57" s="59">
        <f t="shared" si="3"/>
        <v>48.3</v>
      </c>
      <c r="I57" s="54" t="s">
        <v>4083</v>
      </c>
      <c r="J57" s="54" t="s">
        <v>3954</v>
      </c>
      <c r="K57" s="54" t="s">
        <v>3960</v>
      </c>
      <c r="L57" s="54" t="s">
        <v>141</v>
      </c>
      <c r="M57" s="54" t="s">
        <v>587</v>
      </c>
      <c r="N57" s="54" t="s">
        <v>576</v>
      </c>
      <c r="O57" s="54" t="s">
        <v>3961</v>
      </c>
      <c r="P57" s="54" t="s">
        <v>621</v>
      </c>
      <c r="Q57" s="54">
        <v>54</v>
      </c>
      <c r="R57" s="54" t="s">
        <v>576</v>
      </c>
      <c r="S57" s="54" t="s">
        <v>3480</v>
      </c>
      <c r="T57" s="54" t="s">
        <v>3965</v>
      </c>
      <c r="U57" s="54" t="s">
        <v>3480</v>
      </c>
      <c r="V57" s="57" t="s">
        <v>495</v>
      </c>
    </row>
    <row r="58" spans="1:22" ht="15" customHeight="1" x14ac:dyDescent="0.25">
      <c r="A58" s="54" t="s">
        <v>4084</v>
      </c>
      <c r="B58" s="54" t="s">
        <v>1707</v>
      </c>
      <c r="C58" s="54" t="s">
        <v>3951</v>
      </c>
      <c r="D58" s="54" t="s">
        <v>3974</v>
      </c>
      <c r="E58" s="55">
        <v>3.0817999999999999</v>
      </c>
      <c r="F58" s="55">
        <v>1.0711999999999999</v>
      </c>
      <c r="G58" s="55">
        <f t="shared" si="2"/>
        <v>2.0099999999999998</v>
      </c>
      <c r="H58" s="59">
        <f t="shared" si="3"/>
        <v>34.799999999999997</v>
      </c>
      <c r="I58" s="54" t="s">
        <v>4085</v>
      </c>
      <c r="J58" s="54" t="s">
        <v>4002</v>
      </c>
      <c r="K58" s="54" t="s">
        <v>4017</v>
      </c>
      <c r="L58" s="54" t="s">
        <v>3939</v>
      </c>
      <c r="M58" s="54" t="s">
        <v>576</v>
      </c>
      <c r="N58" s="54" t="s">
        <v>576</v>
      </c>
      <c r="O58" s="54" t="s">
        <v>3940</v>
      </c>
      <c r="P58" s="54" t="s">
        <v>3076</v>
      </c>
      <c r="Q58" s="54">
        <v>341</v>
      </c>
      <c r="R58" s="54" t="s">
        <v>576</v>
      </c>
      <c r="S58" s="54" t="s">
        <v>576</v>
      </c>
      <c r="T58" s="54" t="s">
        <v>1652</v>
      </c>
      <c r="U58" s="54" t="s">
        <v>3451</v>
      </c>
      <c r="V58" s="57" t="s">
        <v>495</v>
      </c>
    </row>
    <row r="59" spans="1:22" ht="15" customHeight="1" x14ac:dyDescent="0.25">
      <c r="A59" s="54" t="s">
        <v>4086</v>
      </c>
      <c r="B59" s="54" t="s">
        <v>1440</v>
      </c>
      <c r="C59" s="54" t="s">
        <v>3474</v>
      </c>
      <c r="D59" s="54" t="s">
        <v>3947</v>
      </c>
      <c r="E59" s="55">
        <v>0.22120000000000001</v>
      </c>
      <c r="F59" s="55">
        <v>1.77E-2</v>
      </c>
      <c r="G59" s="55">
        <f t="shared" si="2"/>
        <v>0.2</v>
      </c>
      <c r="H59" s="59">
        <f t="shared" si="3"/>
        <v>8</v>
      </c>
      <c r="I59" s="54" t="s">
        <v>4087</v>
      </c>
      <c r="J59" s="54" t="s">
        <v>3954</v>
      </c>
      <c r="K59" s="54" t="s">
        <v>3991</v>
      </c>
      <c r="L59" s="54" t="s">
        <v>99</v>
      </c>
      <c r="M59" s="54" t="s">
        <v>587</v>
      </c>
      <c r="N59" s="54" t="s">
        <v>587</v>
      </c>
      <c r="O59" s="54" t="s">
        <v>3512</v>
      </c>
      <c r="P59" s="54" t="s">
        <v>3052</v>
      </c>
      <c r="Q59" s="54">
        <v>176</v>
      </c>
      <c r="R59" s="54" t="s">
        <v>576</v>
      </c>
      <c r="S59" s="54" t="s">
        <v>3480</v>
      </c>
      <c r="T59" s="54" t="s">
        <v>3933</v>
      </c>
      <c r="U59" s="54" t="s">
        <v>1652</v>
      </c>
      <c r="V59" s="57" t="s">
        <v>495</v>
      </c>
    </row>
    <row r="60" spans="1:22" ht="15" customHeight="1" x14ac:dyDescent="0.25">
      <c r="A60" s="50" t="s">
        <v>4088</v>
      </c>
      <c r="B60" s="50" t="s">
        <v>1764</v>
      </c>
      <c r="C60" s="50" t="s">
        <v>3970</v>
      </c>
      <c r="D60" s="50" t="s">
        <v>3958</v>
      </c>
      <c r="E60" s="51">
        <v>1.0488</v>
      </c>
      <c r="F60" s="51">
        <v>0.79649999999999999</v>
      </c>
      <c r="G60" s="51">
        <f t="shared" si="2"/>
        <v>0.25</v>
      </c>
      <c r="H60" s="60">
        <f t="shared" si="3"/>
        <v>75.900000000000006</v>
      </c>
      <c r="I60" s="50" t="s">
        <v>4089</v>
      </c>
      <c r="J60" s="50" t="s">
        <v>3937</v>
      </c>
      <c r="K60" s="50" t="s">
        <v>4017</v>
      </c>
      <c r="L60" s="50" t="s">
        <v>3944</v>
      </c>
      <c r="M60" s="50" t="s">
        <v>576</v>
      </c>
      <c r="N60" s="50" t="s">
        <v>576</v>
      </c>
      <c r="O60" s="50" t="s">
        <v>3495</v>
      </c>
      <c r="P60" s="50" t="s">
        <v>630</v>
      </c>
      <c r="Q60" s="50">
        <v>136</v>
      </c>
      <c r="R60" s="50" t="s">
        <v>587</v>
      </c>
      <c r="S60" s="50" t="s">
        <v>3480</v>
      </c>
      <c r="T60" s="50" t="s">
        <v>3480</v>
      </c>
      <c r="U60" s="50" t="s">
        <v>3480</v>
      </c>
      <c r="V60" s="53" t="s">
        <v>266</v>
      </c>
    </row>
    <row r="61" spans="1:22" ht="25.5" customHeight="1" x14ac:dyDescent="0.25">
      <c r="A61" s="54" t="s">
        <v>4090</v>
      </c>
      <c r="B61" s="54" t="s">
        <v>2589</v>
      </c>
      <c r="C61" s="54" t="s">
        <v>1673</v>
      </c>
      <c r="D61" s="54" t="s">
        <v>3958</v>
      </c>
      <c r="E61" s="55">
        <v>9.8327000000000009</v>
      </c>
      <c r="F61" s="55">
        <v>4.0472999999999999</v>
      </c>
      <c r="G61" s="55">
        <f t="shared" si="2"/>
        <v>5.79</v>
      </c>
      <c r="H61" s="59">
        <f t="shared" si="3"/>
        <v>41.2</v>
      </c>
      <c r="I61" s="54" t="s">
        <v>4091</v>
      </c>
      <c r="J61" s="54" t="s">
        <v>3954</v>
      </c>
      <c r="K61" s="54" t="s">
        <v>3955</v>
      </c>
      <c r="L61" s="54" t="s">
        <v>99</v>
      </c>
      <c r="M61" s="54" t="s">
        <v>576</v>
      </c>
      <c r="N61" s="54" t="s">
        <v>576</v>
      </c>
      <c r="O61" s="54" t="s">
        <v>3495</v>
      </c>
      <c r="P61" s="54" t="s">
        <v>656</v>
      </c>
      <c r="Q61" s="54">
        <v>21</v>
      </c>
      <c r="R61" s="54" t="s">
        <v>587</v>
      </c>
      <c r="S61" s="54" t="s">
        <v>576</v>
      </c>
      <c r="T61" s="54" t="s">
        <v>3480</v>
      </c>
      <c r="U61" s="54" t="s">
        <v>1652</v>
      </c>
      <c r="V61" s="57" t="s">
        <v>495</v>
      </c>
    </row>
    <row r="62" spans="1:22" ht="25.5" customHeight="1" x14ac:dyDescent="0.25">
      <c r="A62" s="54" t="s">
        <v>4092</v>
      </c>
      <c r="B62" s="54" t="s">
        <v>2940</v>
      </c>
      <c r="C62" s="54" t="s">
        <v>3474</v>
      </c>
      <c r="D62" s="54" t="s">
        <v>3930</v>
      </c>
      <c r="E62" s="55">
        <v>3.7871000000000001</v>
      </c>
      <c r="F62" s="55">
        <v>0.66600000000000004</v>
      </c>
      <c r="G62" s="55">
        <f t="shared" si="2"/>
        <v>3.12</v>
      </c>
      <c r="H62" s="59">
        <f t="shared" si="3"/>
        <v>17.600000000000001</v>
      </c>
      <c r="I62" s="54" t="s">
        <v>4093</v>
      </c>
      <c r="J62" s="54" t="s">
        <v>4002</v>
      </c>
      <c r="K62" s="54" t="s">
        <v>3991</v>
      </c>
      <c r="L62" s="54" t="s">
        <v>141</v>
      </c>
      <c r="M62" s="54" t="s">
        <v>576</v>
      </c>
      <c r="N62" s="54" t="s">
        <v>576</v>
      </c>
      <c r="O62" s="54" t="s">
        <v>3495</v>
      </c>
      <c r="P62" s="54" t="s">
        <v>688</v>
      </c>
      <c r="Q62" s="54">
        <v>162</v>
      </c>
      <c r="R62" s="54" t="s">
        <v>576</v>
      </c>
      <c r="S62" s="54" t="s">
        <v>576</v>
      </c>
      <c r="T62" s="54" t="s">
        <v>3480</v>
      </c>
      <c r="U62" s="54" t="s">
        <v>1652</v>
      </c>
      <c r="V62" s="57" t="s">
        <v>495</v>
      </c>
    </row>
    <row r="63" spans="1:22" ht="25.5" customHeight="1" x14ac:dyDescent="0.25">
      <c r="A63" s="46" t="s">
        <v>4094</v>
      </c>
      <c r="B63" s="46" t="s">
        <v>1576</v>
      </c>
      <c r="C63" s="46" t="s">
        <v>3528</v>
      </c>
      <c r="D63" s="46" t="s">
        <v>4037</v>
      </c>
      <c r="E63" s="47">
        <v>3.6998000000000002</v>
      </c>
      <c r="F63" s="47">
        <v>1.9066000000000001</v>
      </c>
      <c r="G63" s="47">
        <f t="shared" si="2"/>
        <v>1.79</v>
      </c>
      <c r="H63" s="61">
        <f t="shared" si="3"/>
        <v>51.5</v>
      </c>
      <c r="I63" s="46" t="s">
        <v>4095</v>
      </c>
      <c r="J63" s="46" t="s">
        <v>3954</v>
      </c>
      <c r="K63" s="46" t="s">
        <v>3955</v>
      </c>
      <c r="L63" s="46" t="s">
        <v>99</v>
      </c>
      <c r="M63" s="46" t="s">
        <v>587</v>
      </c>
      <c r="N63" s="46" t="s">
        <v>587</v>
      </c>
      <c r="O63" s="46" t="s">
        <v>3940</v>
      </c>
      <c r="P63" s="46" t="s">
        <v>3049</v>
      </c>
      <c r="Q63" s="46">
        <v>150</v>
      </c>
      <c r="R63" s="46" t="s">
        <v>587</v>
      </c>
      <c r="S63" s="46" t="s">
        <v>576</v>
      </c>
      <c r="T63" s="46" t="s">
        <v>3992</v>
      </c>
      <c r="U63" s="46" t="s">
        <v>3451</v>
      </c>
      <c r="V63" s="49" t="s">
        <v>321</v>
      </c>
    </row>
    <row r="64" spans="1:22" ht="15" customHeight="1" x14ac:dyDescent="0.25">
      <c r="A64" s="50" t="s">
        <v>4096</v>
      </c>
      <c r="B64" s="50" t="s">
        <v>3537</v>
      </c>
      <c r="C64" s="50" t="s">
        <v>3967</v>
      </c>
      <c r="D64" s="50" t="s">
        <v>3974</v>
      </c>
      <c r="E64" s="51">
        <v>3.0541999999999998</v>
      </c>
      <c r="F64" s="51">
        <v>2.3632</v>
      </c>
      <c r="G64" s="51">
        <f t="shared" si="2"/>
        <v>0.69</v>
      </c>
      <c r="H64" s="60">
        <f t="shared" si="3"/>
        <v>77.400000000000006</v>
      </c>
      <c r="I64" s="50" t="s">
        <v>4097</v>
      </c>
      <c r="J64" s="50" t="s">
        <v>3937</v>
      </c>
      <c r="K64" s="50" t="s">
        <v>4017</v>
      </c>
      <c r="L64" s="50" t="s">
        <v>141</v>
      </c>
      <c r="M64" s="50" t="s">
        <v>576</v>
      </c>
      <c r="N64" s="50" t="s">
        <v>587</v>
      </c>
      <c r="O64" s="50" t="s">
        <v>3961</v>
      </c>
      <c r="P64" s="50" t="s">
        <v>688</v>
      </c>
      <c r="Q64" s="50">
        <v>225</v>
      </c>
      <c r="R64" s="50" t="s">
        <v>587</v>
      </c>
      <c r="S64" s="50" t="s">
        <v>576</v>
      </c>
      <c r="T64" s="50" t="s">
        <v>3933</v>
      </c>
      <c r="U64" s="50" t="s">
        <v>1652</v>
      </c>
      <c r="V64" s="53" t="s">
        <v>266</v>
      </c>
    </row>
    <row r="65" spans="1:22" ht="25.5" customHeight="1" x14ac:dyDescent="0.25">
      <c r="A65" s="50" t="s">
        <v>4098</v>
      </c>
      <c r="B65" s="50" t="s">
        <v>2796</v>
      </c>
      <c r="C65" s="50" t="s">
        <v>3946</v>
      </c>
      <c r="D65" s="50" t="s">
        <v>3952</v>
      </c>
      <c r="E65" s="51">
        <v>2.5503999999999998</v>
      </c>
      <c r="F65" s="51">
        <v>1.8499000000000001</v>
      </c>
      <c r="G65" s="51">
        <f t="shared" si="2"/>
        <v>0.7</v>
      </c>
      <c r="H65" s="60">
        <f t="shared" si="3"/>
        <v>72.5</v>
      </c>
      <c r="I65" s="50" t="s">
        <v>4099</v>
      </c>
      <c r="J65" s="50" t="s">
        <v>3943</v>
      </c>
      <c r="K65" s="50" t="s">
        <v>3949</v>
      </c>
      <c r="L65" s="50" t="s">
        <v>99</v>
      </c>
      <c r="M65" s="50" t="s">
        <v>587</v>
      </c>
      <c r="N65" s="50" t="s">
        <v>587</v>
      </c>
      <c r="O65" s="50" t="s">
        <v>3956</v>
      </c>
      <c r="P65" s="50" t="s">
        <v>3076</v>
      </c>
      <c r="Q65" s="50">
        <v>246</v>
      </c>
      <c r="R65" s="50" t="s">
        <v>576</v>
      </c>
      <c r="S65" s="50" t="s">
        <v>587</v>
      </c>
      <c r="T65" s="50" t="s">
        <v>3965</v>
      </c>
      <c r="U65" s="50" t="s">
        <v>1652</v>
      </c>
      <c r="V65" s="53" t="s">
        <v>266</v>
      </c>
    </row>
    <row r="66" spans="1:22" ht="15" customHeight="1" x14ac:dyDescent="0.25">
      <c r="A66" s="54" t="s">
        <v>4100</v>
      </c>
      <c r="B66" s="54" t="s">
        <v>1022</v>
      </c>
      <c r="C66" s="54" t="s">
        <v>3474</v>
      </c>
      <c r="D66" s="54" t="s">
        <v>3974</v>
      </c>
      <c r="E66" s="55">
        <v>9.8201999999999998</v>
      </c>
      <c r="F66" s="55">
        <v>4.0640999999999998</v>
      </c>
      <c r="G66" s="55">
        <f t="shared" si="2"/>
        <v>5.76</v>
      </c>
      <c r="H66" s="59">
        <f t="shared" si="3"/>
        <v>41.4</v>
      </c>
      <c r="I66" s="54" t="s">
        <v>4101</v>
      </c>
      <c r="J66" s="54" t="s">
        <v>617</v>
      </c>
      <c r="K66" s="54" t="s">
        <v>3960</v>
      </c>
      <c r="L66" s="54" t="s">
        <v>134</v>
      </c>
      <c r="M66" s="54" t="s">
        <v>587</v>
      </c>
      <c r="N66" s="54" t="s">
        <v>587</v>
      </c>
      <c r="O66" s="54" t="s">
        <v>3956</v>
      </c>
      <c r="P66" s="54" t="s">
        <v>597</v>
      </c>
      <c r="Q66" s="54">
        <v>131</v>
      </c>
      <c r="R66" s="54" t="s">
        <v>576</v>
      </c>
      <c r="S66" s="54" t="s">
        <v>3480</v>
      </c>
      <c r="T66" s="54" t="s">
        <v>3965</v>
      </c>
      <c r="U66" s="54" t="s">
        <v>3451</v>
      </c>
      <c r="V66" s="57" t="s">
        <v>495</v>
      </c>
    </row>
    <row r="67" spans="1:22" ht="25.5" customHeight="1" x14ac:dyDescent="0.25">
      <c r="A67" s="50" t="s">
        <v>4102</v>
      </c>
      <c r="B67" s="50" t="s">
        <v>2856</v>
      </c>
      <c r="C67" s="50" t="s">
        <v>1666</v>
      </c>
      <c r="D67" s="50" t="s">
        <v>3987</v>
      </c>
      <c r="E67" s="51">
        <v>4.7801</v>
      </c>
      <c r="F67" s="51">
        <v>4.5092999999999996</v>
      </c>
      <c r="G67" s="51">
        <f t="shared" ref="G67:G98" si="4">ROUND(E67-F67,2)</f>
        <v>0.27</v>
      </c>
      <c r="H67" s="60">
        <f t="shared" ref="H67:H98" si="5">ROUND(F67/E67*100,1)</f>
        <v>94.3</v>
      </c>
      <c r="I67" s="50" t="s">
        <v>4103</v>
      </c>
      <c r="J67" s="50" t="s">
        <v>3954</v>
      </c>
      <c r="K67" s="50" t="s">
        <v>4017</v>
      </c>
      <c r="L67" s="50" t="s">
        <v>3939</v>
      </c>
      <c r="M67" s="50" t="s">
        <v>587</v>
      </c>
      <c r="N67" s="50" t="s">
        <v>576</v>
      </c>
      <c r="O67" s="50" t="s">
        <v>3495</v>
      </c>
      <c r="P67" s="50" t="s">
        <v>621</v>
      </c>
      <c r="Q67" s="50">
        <v>143</v>
      </c>
      <c r="R67" s="50" t="s">
        <v>587</v>
      </c>
      <c r="S67" s="50" t="s">
        <v>587</v>
      </c>
      <c r="T67" s="50" t="s">
        <v>3933</v>
      </c>
      <c r="U67" s="50" t="s">
        <v>3480</v>
      </c>
      <c r="V67" s="53" t="s">
        <v>266</v>
      </c>
    </row>
    <row r="68" spans="1:22" ht="15" customHeight="1" x14ac:dyDescent="0.25">
      <c r="A68" s="50" t="s">
        <v>4104</v>
      </c>
      <c r="B68" s="50" t="s">
        <v>4105</v>
      </c>
      <c r="C68" s="50" t="s">
        <v>3951</v>
      </c>
      <c r="D68" s="50" t="s">
        <v>3947</v>
      </c>
      <c r="E68" s="51">
        <v>5.6558000000000002</v>
      </c>
      <c r="F68" s="51">
        <v>3.8395000000000001</v>
      </c>
      <c r="G68" s="51">
        <f t="shared" si="4"/>
        <v>1.82</v>
      </c>
      <c r="H68" s="60">
        <f t="shared" si="5"/>
        <v>67.900000000000006</v>
      </c>
      <c r="I68" s="50" t="s">
        <v>4106</v>
      </c>
      <c r="J68" s="50" t="s">
        <v>3954</v>
      </c>
      <c r="K68" s="50" t="s">
        <v>3938</v>
      </c>
      <c r="L68" s="50" t="s">
        <v>99</v>
      </c>
      <c r="M68" s="50" t="s">
        <v>576</v>
      </c>
      <c r="N68" s="50" t="s">
        <v>587</v>
      </c>
      <c r="O68" s="50" t="s">
        <v>3956</v>
      </c>
      <c r="P68" s="50" t="s">
        <v>3052</v>
      </c>
      <c r="Q68" s="50">
        <v>391</v>
      </c>
      <c r="R68" s="50" t="s">
        <v>587</v>
      </c>
      <c r="S68" s="50" t="s">
        <v>587</v>
      </c>
      <c r="T68" s="50" t="s">
        <v>3480</v>
      </c>
      <c r="U68" s="50" t="s">
        <v>1652</v>
      </c>
      <c r="V68" s="53" t="s">
        <v>266</v>
      </c>
    </row>
    <row r="69" spans="1:22" ht="25.5" customHeight="1" x14ac:dyDescent="0.25">
      <c r="A69" s="54" t="s">
        <v>4107</v>
      </c>
      <c r="B69" s="54" t="s">
        <v>1472</v>
      </c>
      <c r="C69" s="54" t="s">
        <v>1666</v>
      </c>
      <c r="D69" s="54" t="s">
        <v>3952</v>
      </c>
      <c r="E69" s="55">
        <v>4.8007</v>
      </c>
      <c r="F69" s="55">
        <v>0.91690000000000005</v>
      </c>
      <c r="G69" s="55">
        <f t="shared" si="4"/>
        <v>3.88</v>
      </c>
      <c r="H69" s="59">
        <f t="shared" si="5"/>
        <v>19.100000000000001</v>
      </c>
      <c r="I69" s="54" t="s">
        <v>4108</v>
      </c>
      <c r="J69" s="54" t="s">
        <v>3943</v>
      </c>
      <c r="K69" s="54" t="s">
        <v>4017</v>
      </c>
      <c r="L69" s="54" t="s">
        <v>99</v>
      </c>
      <c r="M69" s="54" t="s">
        <v>576</v>
      </c>
      <c r="N69" s="54" t="s">
        <v>587</v>
      </c>
      <c r="O69" s="54" t="s">
        <v>3495</v>
      </c>
      <c r="P69" s="54" t="s">
        <v>667</v>
      </c>
      <c r="Q69" s="54">
        <v>342</v>
      </c>
      <c r="R69" s="54" t="s">
        <v>587</v>
      </c>
      <c r="S69" s="54" t="s">
        <v>587</v>
      </c>
      <c r="T69" s="54" t="s">
        <v>3480</v>
      </c>
      <c r="U69" s="54" t="s">
        <v>3451</v>
      </c>
      <c r="V69" s="57" t="s">
        <v>495</v>
      </c>
    </row>
    <row r="70" spans="1:22" ht="25.5" customHeight="1" x14ac:dyDescent="0.25">
      <c r="A70" s="54" t="s">
        <v>4109</v>
      </c>
      <c r="B70" s="54" t="s">
        <v>986</v>
      </c>
      <c r="C70" s="54" t="s">
        <v>3929</v>
      </c>
      <c r="D70" s="54" t="s">
        <v>3947</v>
      </c>
      <c r="E70" s="55">
        <v>6.7206999999999999</v>
      </c>
      <c r="F70" s="55">
        <v>0.49409999999999998</v>
      </c>
      <c r="G70" s="55">
        <f t="shared" si="4"/>
        <v>6.23</v>
      </c>
      <c r="H70" s="59">
        <f t="shared" si="5"/>
        <v>7.4</v>
      </c>
      <c r="I70" s="54" t="s">
        <v>4110</v>
      </c>
      <c r="J70" s="54" t="s">
        <v>3937</v>
      </c>
      <c r="K70" s="54" t="s">
        <v>3955</v>
      </c>
      <c r="L70" s="54" t="s">
        <v>134</v>
      </c>
      <c r="M70" s="54" t="s">
        <v>587</v>
      </c>
      <c r="N70" s="54" t="s">
        <v>576</v>
      </c>
      <c r="O70" s="54" t="s">
        <v>3961</v>
      </c>
      <c r="P70" s="54" t="s">
        <v>3076</v>
      </c>
      <c r="Q70" s="54">
        <v>390</v>
      </c>
      <c r="R70" s="54" t="s">
        <v>576</v>
      </c>
      <c r="S70" s="54" t="s">
        <v>587</v>
      </c>
      <c r="T70" s="54" t="s">
        <v>1652</v>
      </c>
      <c r="U70" s="54" t="s">
        <v>3451</v>
      </c>
      <c r="V70" s="57" t="s">
        <v>495</v>
      </c>
    </row>
    <row r="71" spans="1:22" ht="25.5" customHeight="1" x14ac:dyDescent="0.25">
      <c r="A71" s="50" t="s">
        <v>4111</v>
      </c>
      <c r="B71" s="50" t="s">
        <v>758</v>
      </c>
      <c r="C71" s="50" t="s">
        <v>3967</v>
      </c>
      <c r="D71" s="50" t="s">
        <v>3958</v>
      </c>
      <c r="E71" s="51">
        <v>1.1049</v>
      </c>
      <c r="F71" s="51">
        <v>0.94720000000000004</v>
      </c>
      <c r="G71" s="51">
        <f t="shared" si="4"/>
        <v>0.16</v>
      </c>
      <c r="H71" s="60">
        <f t="shared" si="5"/>
        <v>85.7</v>
      </c>
      <c r="I71" s="50" t="s">
        <v>4112</v>
      </c>
      <c r="J71" s="50" t="s">
        <v>3943</v>
      </c>
      <c r="K71" s="50" t="s">
        <v>3964</v>
      </c>
      <c r="L71" s="50" t="s">
        <v>3944</v>
      </c>
      <c r="M71" s="50" t="s">
        <v>576</v>
      </c>
      <c r="N71" s="50" t="s">
        <v>576</v>
      </c>
      <c r="O71" s="50" t="s">
        <v>3956</v>
      </c>
      <c r="P71" s="50" t="s">
        <v>656</v>
      </c>
      <c r="Q71" s="50">
        <v>259</v>
      </c>
      <c r="R71" s="50" t="s">
        <v>576</v>
      </c>
      <c r="S71" s="50" t="s">
        <v>587</v>
      </c>
      <c r="T71" s="50" t="s">
        <v>3992</v>
      </c>
      <c r="U71" s="50" t="s">
        <v>3451</v>
      </c>
      <c r="V71" s="53" t="s">
        <v>266</v>
      </c>
    </row>
    <row r="72" spans="1:22" ht="15" customHeight="1" x14ac:dyDescent="0.25">
      <c r="A72" s="50" t="s">
        <v>4113</v>
      </c>
      <c r="B72" s="50" t="s">
        <v>2102</v>
      </c>
      <c r="C72" s="50" t="s">
        <v>4007</v>
      </c>
      <c r="D72" s="50" t="s">
        <v>4037</v>
      </c>
      <c r="E72" s="51">
        <v>7.7727000000000004</v>
      </c>
      <c r="F72" s="51">
        <v>5.798</v>
      </c>
      <c r="G72" s="51">
        <f t="shared" si="4"/>
        <v>1.97</v>
      </c>
      <c r="H72" s="60">
        <f t="shared" si="5"/>
        <v>74.599999999999994</v>
      </c>
      <c r="I72" s="50" t="s">
        <v>4114</v>
      </c>
      <c r="J72" s="50" t="s">
        <v>3982</v>
      </c>
      <c r="K72" s="50" t="s">
        <v>4017</v>
      </c>
      <c r="L72" s="50" t="s">
        <v>3944</v>
      </c>
      <c r="M72" s="50" t="s">
        <v>576</v>
      </c>
      <c r="N72" s="50" t="s">
        <v>576</v>
      </c>
      <c r="O72" s="50" t="s">
        <v>3940</v>
      </c>
      <c r="P72" s="50" t="s">
        <v>3052</v>
      </c>
      <c r="Q72" s="50">
        <v>145</v>
      </c>
      <c r="R72" s="50" t="s">
        <v>576</v>
      </c>
      <c r="S72" s="50" t="s">
        <v>576</v>
      </c>
      <c r="T72" s="50" t="s">
        <v>3992</v>
      </c>
      <c r="U72" s="50" t="s">
        <v>1652</v>
      </c>
      <c r="V72" s="53" t="s">
        <v>266</v>
      </c>
    </row>
    <row r="73" spans="1:22" ht="15" customHeight="1" x14ac:dyDescent="0.25">
      <c r="A73" s="54" t="s">
        <v>4115</v>
      </c>
      <c r="B73" s="54" t="s">
        <v>1372</v>
      </c>
      <c r="C73" s="54" t="s">
        <v>3929</v>
      </c>
      <c r="D73" s="54" t="s">
        <v>3947</v>
      </c>
      <c r="E73" s="55">
        <v>5.9622999999999999</v>
      </c>
      <c r="F73" s="55">
        <v>1.8964000000000001</v>
      </c>
      <c r="G73" s="55">
        <f t="shared" si="4"/>
        <v>4.07</v>
      </c>
      <c r="H73" s="59">
        <f t="shared" si="5"/>
        <v>31.8</v>
      </c>
      <c r="I73" s="54" t="s">
        <v>4116</v>
      </c>
      <c r="J73" s="54" t="s">
        <v>3937</v>
      </c>
      <c r="K73" s="54" t="s">
        <v>3955</v>
      </c>
      <c r="L73" s="54" t="s">
        <v>134</v>
      </c>
      <c r="M73" s="54" t="s">
        <v>587</v>
      </c>
      <c r="N73" s="54" t="s">
        <v>576</v>
      </c>
      <c r="O73" s="54" t="s">
        <v>3512</v>
      </c>
      <c r="P73" s="54" t="s">
        <v>3076</v>
      </c>
      <c r="Q73" s="54">
        <v>329</v>
      </c>
      <c r="R73" s="54" t="s">
        <v>576</v>
      </c>
      <c r="S73" s="54" t="s">
        <v>587</v>
      </c>
      <c r="T73" s="54" t="s">
        <v>3933</v>
      </c>
      <c r="U73" s="54" t="s">
        <v>3451</v>
      </c>
      <c r="V73" s="57" t="s">
        <v>495</v>
      </c>
    </row>
    <row r="74" spans="1:22" ht="15" customHeight="1" x14ac:dyDescent="0.25">
      <c r="A74" s="54" t="s">
        <v>4117</v>
      </c>
      <c r="B74" s="54" t="s">
        <v>1525</v>
      </c>
      <c r="C74" s="54" t="s">
        <v>3528</v>
      </c>
      <c r="D74" s="54" t="s">
        <v>3947</v>
      </c>
      <c r="E74" s="55">
        <v>6.0186999999999999</v>
      </c>
      <c r="F74" s="55">
        <v>2.7927</v>
      </c>
      <c r="G74" s="55">
        <f t="shared" si="4"/>
        <v>3.23</v>
      </c>
      <c r="H74" s="59">
        <f t="shared" si="5"/>
        <v>46.4</v>
      </c>
      <c r="I74" s="54" t="s">
        <v>4118</v>
      </c>
      <c r="J74" s="54" t="s">
        <v>617</v>
      </c>
      <c r="K74" s="54" t="s">
        <v>3932</v>
      </c>
      <c r="L74" s="54" t="s">
        <v>141</v>
      </c>
      <c r="M74" s="54" t="s">
        <v>576</v>
      </c>
      <c r="N74" s="54" t="s">
        <v>587</v>
      </c>
      <c r="O74" s="54" t="s">
        <v>3961</v>
      </c>
      <c r="P74" s="54" t="s">
        <v>578</v>
      </c>
      <c r="Q74" s="54">
        <v>263</v>
      </c>
      <c r="R74" s="54" t="s">
        <v>576</v>
      </c>
      <c r="S74" s="54" t="s">
        <v>3480</v>
      </c>
      <c r="T74" s="54" t="s">
        <v>1652</v>
      </c>
      <c r="U74" s="54" t="s">
        <v>1652</v>
      </c>
      <c r="V74" s="57" t="s">
        <v>495</v>
      </c>
    </row>
    <row r="75" spans="1:22" ht="15" customHeight="1" x14ac:dyDescent="0.25">
      <c r="A75" s="46" t="s">
        <v>4119</v>
      </c>
      <c r="B75" s="46" t="s">
        <v>974</v>
      </c>
      <c r="C75" s="46" t="s">
        <v>3929</v>
      </c>
      <c r="D75" s="46" t="s">
        <v>3974</v>
      </c>
      <c r="E75" s="47">
        <v>7.2141999999999999</v>
      </c>
      <c r="F75" s="47">
        <v>4.0430999999999999</v>
      </c>
      <c r="G75" s="47">
        <f t="shared" si="4"/>
        <v>3.17</v>
      </c>
      <c r="H75" s="61">
        <f t="shared" si="5"/>
        <v>56</v>
      </c>
      <c r="I75" s="46" t="s">
        <v>4120</v>
      </c>
      <c r="J75" s="46" t="s">
        <v>617</v>
      </c>
      <c r="K75" s="46" t="s">
        <v>4017</v>
      </c>
      <c r="L75" s="46" t="s">
        <v>3944</v>
      </c>
      <c r="M75" s="46" t="s">
        <v>576</v>
      </c>
      <c r="N75" s="46" t="s">
        <v>587</v>
      </c>
      <c r="O75" s="46" t="s">
        <v>3512</v>
      </c>
      <c r="P75" s="46" t="s">
        <v>688</v>
      </c>
      <c r="Q75" s="46">
        <v>119</v>
      </c>
      <c r="R75" s="46" t="s">
        <v>576</v>
      </c>
      <c r="S75" s="46" t="s">
        <v>587</v>
      </c>
      <c r="T75" s="46" t="s">
        <v>3992</v>
      </c>
      <c r="U75" s="46" t="s">
        <v>3480</v>
      </c>
      <c r="V75" s="49" t="s">
        <v>321</v>
      </c>
    </row>
    <row r="76" spans="1:22" ht="15" customHeight="1" x14ac:dyDescent="0.25">
      <c r="A76" s="54" t="s">
        <v>4121</v>
      </c>
      <c r="B76" s="54" t="s">
        <v>717</v>
      </c>
      <c r="C76" s="54" t="s">
        <v>1673</v>
      </c>
      <c r="D76" s="54" t="s">
        <v>3958</v>
      </c>
      <c r="E76" s="55">
        <v>9.5637000000000008</v>
      </c>
      <c r="F76" s="55">
        <v>1.4029</v>
      </c>
      <c r="G76" s="55">
        <f t="shared" si="4"/>
        <v>8.16</v>
      </c>
      <c r="H76" s="59">
        <f t="shared" si="5"/>
        <v>14.7</v>
      </c>
      <c r="I76" s="54" t="s">
        <v>4122</v>
      </c>
      <c r="J76" s="54" t="s">
        <v>617</v>
      </c>
      <c r="K76" s="54" t="s">
        <v>3991</v>
      </c>
      <c r="L76" s="54" t="s">
        <v>141</v>
      </c>
      <c r="M76" s="54" t="s">
        <v>587</v>
      </c>
      <c r="N76" s="54" t="s">
        <v>576</v>
      </c>
      <c r="O76" s="54" t="s">
        <v>3961</v>
      </c>
      <c r="P76" s="54" t="s">
        <v>3076</v>
      </c>
      <c r="Q76" s="54">
        <v>144</v>
      </c>
      <c r="R76" s="54" t="s">
        <v>576</v>
      </c>
      <c r="S76" s="54" t="s">
        <v>576</v>
      </c>
      <c r="T76" s="54" t="s">
        <v>3992</v>
      </c>
      <c r="U76" s="54" t="s">
        <v>1652</v>
      </c>
      <c r="V76" s="57" t="s">
        <v>495</v>
      </c>
    </row>
    <row r="77" spans="1:22" ht="15" customHeight="1" x14ac:dyDescent="0.25">
      <c r="A77" s="50" t="s">
        <v>4123</v>
      </c>
      <c r="B77" s="50" t="s">
        <v>1215</v>
      </c>
      <c r="C77" s="50" t="s">
        <v>3970</v>
      </c>
      <c r="D77" s="50" t="s">
        <v>3987</v>
      </c>
      <c r="E77" s="51">
        <v>2.2328999999999999</v>
      </c>
      <c r="F77" s="51">
        <v>1.9557</v>
      </c>
      <c r="G77" s="51">
        <f t="shared" si="4"/>
        <v>0.28000000000000003</v>
      </c>
      <c r="H77" s="60">
        <f t="shared" si="5"/>
        <v>87.6</v>
      </c>
      <c r="I77" s="50" t="s">
        <v>4124</v>
      </c>
      <c r="J77" s="50" t="s">
        <v>3937</v>
      </c>
      <c r="K77" s="50" t="s">
        <v>3964</v>
      </c>
      <c r="L77" s="50" t="s">
        <v>134</v>
      </c>
      <c r="M77" s="50" t="s">
        <v>576</v>
      </c>
      <c r="N77" s="50" t="s">
        <v>587</v>
      </c>
      <c r="O77" s="50" t="s">
        <v>3983</v>
      </c>
      <c r="P77" s="50" t="s">
        <v>3076</v>
      </c>
      <c r="Q77" s="50">
        <v>284</v>
      </c>
      <c r="R77" s="50" t="s">
        <v>587</v>
      </c>
      <c r="S77" s="50" t="s">
        <v>576</v>
      </c>
      <c r="T77" s="50" t="s">
        <v>1652</v>
      </c>
      <c r="U77" s="50" t="s">
        <v>1652</v>
      </c>
      <c r="V77" s="53" t="s">
        <v>266</v>
      </c>
    </row>
    <row r="78" spans="1:22" ht="15" customHeight="1" x14ac:dyDescent="0.25">
      <c r="A78" s="54" t="s">
        <v>4125</v>
      </c>
      <c r="B78" s="54" t="s">
        <v>1366</v>
      </c>
      <c r="C78" s="54" t="s">
        <v>4007</v>
      </c>
      <c r="D78" s="54" t="s">
        <v>3977</v>
      </c>
      <c r="E78" s="55">
        <v>2.2435</v>
      </c>
      <c r="F78" s="55">
        <v>0.26140000000000002</v>
      </c>
      <c r="G78" s="55">
        <f t="shared" si="4"/>
        <v>1.98</v>
      </c>
      <c r="H78" s="59">
        <f t="shared" si="5"/>
        <v>11.7</v>
      </c>
      <c r="I78" s="54" t="s">
        <v>4126</v>
      </c>
      <c r="J78" s="54" t="s">
        <v>617</v>
      </c>
      <c r="K78" s="54" t="s">
        <v>3960</v>
      </c>
      <c r="L78" s="54" t="s">
        <v>141</v>
      </c>
      <c r="M78" s="54" t="s">
        <v>587</v>
      </c>
      <c r="N78" s="54" t="s">
        <v>576</v>
      </c>
      <c r="O78" s="54" t="s">
        <v>3495</v>
      </c>
      <c r="P78" s="54" t="s">
        <v>3076</v>
      </c>
      <c r="Q78" s="54">
        <v>340</v>
      </c>
      <c r="R78" s="54" t="s">
        <v>576</v>
      </c>
      <c r="S78" s="54" t="s">
        <v>576</v>
      </c>
      <c r="T78" s="54" t="s">
        <v>1652</v>
      </c>
      <c r="U78" s="54" t="s">
        <v>3451</v>
      </c>
      <c r="V78" s="57" t="s">
        <v>495</v>
      </c>
    </row>
    <row r="79" spans="1:22" ht="15" customHeight="1" x14ac:dyDescent="0.25">
      <c r="A79" s="46" t="s">
        <v>4127</v>
      </c>
      <c r="B79" s="46" t="s">
        <v>1076</v>
      </c>
      <c r="C79" s="46" t="s">
        <v>3474</v>
      </c>
      <c r="D79" s="46" t="s">
        <v>3930</v>
      </c>
      <c r="E79" s="47">
        <v>1.5902000000000001</v>
      </c>
      <c r="F79" s="47">
        <v>0.88360000000000005</v>
      </c>
      <c r="G79" s="47">
        <f t="shared" si="4"/>
        <v>0.71</v>
      </c>
      <c r="H79" s="61">
        <f t="shared" si="5"/>
        <v>55.6</v>
      </c>
      <c r="I79" s="46" t="s">
        <v>4128</v>
      </c>
      <c r="J79" s="46" t="s">
        <v>3937</v>
      </c>
      <c r="K79" s="46" t="s">
        <v>3960</v>
      </c>
      <c r="L79" s="46" t="s">
        <v>3944</v>
      </c>
      <c r="M79" s="46" t="s">
        <v>576</v>
      </c>
      <c r="N79" s="46" t="s">
        <v>576</v>
      </c>
      <c r="O79" s="46" t="s">
        <v>3961</v>
      </c>
      <c r="P79" s="46" t="s">
        <v>3076</v>
      </c>
      <c r="Q79" s="46">
        <v>25</v>
      </c>
      <c r="R79" s="46" t="s">
        <v>576</v>
      </c>
      <c r="S79" s="46" t="s">
        <v>587</v>
      </c>
      <c r="T79" s="46" t="s">
        <v>3992</v>
      </c>
      <c r="U79" s="46" t="s">
        <v>1652</v>
      </c>
      <c r="V79" s="49" t="s">
        <v>321</v>
      </c>
    </row>
    <row r="80" spans="1:22" ht="15" customHeight="1" x14ac:dyDescent="0.25">
      <c r="A80" s="50" t="s">
        <v>4129</v>
      </c>
      <c r="B80" s="50" t="s">
        <v>1536</v>
      </c>
      <c r="C80" s="50" t="s">
        <v>3970</v>
      </c>
      <c r="D80" s="50" t="s">
        <v>4004</v>
      </c>
      <c r="E80" s="51">
        <v>8.9636999999999993</v>
      </c>
      <c r="F80" s="51">
        <v>7.9874000000000001</v>
      </c>
      <c r="G80" s="51">
        <f t="shared" si="4"/>
        <v>0.98</v>
      </c>
      <c r="H80" s="60">
        <f t="shared" si="5"/>
        <v>89.1</v>
      </c>
      <c r="I80" s="50" t="s">
        <v>4130</v>
      </c>
      <c r="J80" s="50" t="s">
        <v>617</v>
      </c>
      <c r="K80" s="50" t="s">
        <v>3932</v>
      </c>
      <c r="L80" s="50" t="s">
        <v>99</v>
      </c>
      <c r="M80" s="50" t="s">
        <v>576</v>
      </c>
      <c r="N80" s="50" t="s">
        <v>576</v>
      </c>
      <c r="O80" s="50" t="s">
        <v>3495</v>
      </c>
      <c r="P80" s="50" t="s">
        <v>667</v>
      </c>
      <c r="Q80" s="50">
        <v>43</v>
      </c>
      <c r="R80" s="50" t="s">
        <v>587</v>
      </c>
      <c r="S80" s="50" t="s">
        <v>576</v>
      </c>
      <c r="T80" s="50" t="s">
        <v>3965</v>
      </c>
      <c r="U80" s="50" t="s">
        <v>3480</v>
      </c>
      <c r="V80" s="53" t="s">
        <v>266</v>
      </c>
    </row>
    <row r="81" spans="1:22" ht="15" customHeight="1" x14ac:dyDescent="0.25">
      <c r="A81" s="50" t="s">
        <v>4131</v>
      </c>
      <c r="B81" s="50" t="s">
        <v>1797</v>
      </c>
      <c r="C81" s="50" t="s">
        <v>1666</v>
      </c>
      <c r="D81" s="50" t="s">
        <v>3935</v>
      </c>
      <c r="E81" s="51">
        <v>8.3895999999999997</v>
      </c>
      <c r="F81" s="51">
        <v>7.4276</v>
      </c>
      <c r="G81" s="51">
        <f t="shared" si="4"/>
        <v>0.96</v>
      </c>
      <c r="H81" s="60">
        <f t="shared" si="5"/>
        <v>88.5</v>
      </c>
      <c r="I81" s="50" t="s">
        <v>4132</v>
      </c>
      <c r="J81" s="50" t="s">
        <v>3954</v>
      </c>
      <c r="K81" s="50" t="s">
        <v>4017</v>
      </c>
      <c r="L81" s="50" t="s">
        <v>141</v>
      </c>
      <c r="M81" s="50" t="s">
        <v>576</v>
      </c>
      <c r="N81" s="50" t="s">
        <v>587</v>
      </c>
      <c r="O81" s="50" t="s">
        <v>3940</v>
      </c>
      <c r="P81" s="50" t="s">
        <v>630</v>
      </c>
      <c r="Q81" s="50">
        <v>364</v>
      </c>
      <c r="R81" s="50" t="s">
        <v>576</v>
      </c>
      <c r="S81" s="50" t="s">
        <v>587</v>
      </c>
      <c r="T81" s="50" t="s">
        <v>1652</v>
      </c>
      <c r="U81" s="50" t="s">
        <v>1652</v>
      </c>
      <c r="V81" s="53" t="s">
        <v>266</v>
      </c>
    </row>
    <row r="82" spans="1:22" ht="25.5" customHeight="1" x14ac:dyDescent="0.25">
      <c r="A82" s="50" t="s">
        <v>4133</v>
      </c>
      <c r="B82" s="50" t="s">
        <v>1540</v>
      </c>
      <c r="C82" s="50" t="s">
        <v>1666</v>
      </c>
      <c r="D82" s="50" t="s">
        <v>3977</v>
      </c>
      <c r="E82" s="51">
        <v>6.8502999999999998</v>
      </c>
      <c r="F82" s="51">
        <v>6.0529000000000002</v>
      </c>
      <c r="G82" s="51">
        <f t="shared" si="4"/>
        <v>0.8</v>
      </c>
      <c r="H82" s="60">
        <f t="shared" si="5"/>
        <v>88.4</v>
      </c>
      <c r="I82" s="50" t="s">
        <v>4134</v>
      </c>
      <c r="J82" s="50" t="s">
        <v>3954</v>
      </c>
      <c r="K82" s="50" t="s">
        <v>3932</v>
      </c>
      <c r="L82" s="50" t="s">
        <v>3944</v>
      </c>
      <c r="M82" s="50" t="s">
        <v>576</v>
      </c>
      <c r="N82" s="50" t="s">
        <v>576</v>
      </c>
      <c r="O82" s="50" t="s">
        <v>3961</v>
      </c>
      <c r="P82" s="50" t="s">
        <v>688</v>
      </c>
      <c r="Q82" s="50">
        <v>340</v>
      </c>
      <c r="R82" s="50" t="s">
        <v>576</v>
      </c>
      <c r="S82" s="50" t="s">
        <v>587</v>
      </c>
      <c r="T82" s="50" t="s">
        <v>1652</v>
      </c>
      <c r="U82" s="50" t="s">
        <v>1652</v>
      </c>
      <c r="V82" s="53" t="s">
        <v>266</v>
      </c>
    </row>
    <row r="83" spans="1:22" ht="15" customHeight="1" x14ac:dyDescent="0.25">
      <c r="A83" s="54" t="s">
        <v>4135</v>
      </c>
      <c r="B83" s="54" t="s">
        <v>4136</v>
      </c>
      <c r="C83" s="54" t="s">
        <v>3967</v>
      </c>
      <c r="D83" s="54" t="s">
        <v>3935</v>
      </c>
      <c r="E83" s="55">
        <v>8.5257000000000005</v>
      </c>
      <c r="F83" s="55">
        <v>2.7210999999999999</v>
      </c>
      <c r="G83" s="55">
        <f t="shared" si="4"/>
        <v>5.8</v>
      </c>
      <c r="H83" s="59">
        <f t="shared" si="5"/>
        <v>31.9</v>
      </c>
      <c r="I83" s="54" t="s">
        <v>4137</v>
      </c>
      <c r="J83" s="54" t="s">
        <v>3937</v>
      </c>
      <c r="K83" s="54" t="s">
        <v>3960</v>
      </c>
      <c r="L83" s="54" t="s">
        <v>3939</v>
      </c>
      <c r="M83" s="54" t="s">
        <v>576</v>
      </c>
      <c r="N83" s="54" t="s">
        <v>587</v>
      </c>
      <c r="O83" s="54" t="s">
        <v>3940</v>
      </c>
      <c r="P83" s="54" t="s">
        <v>688</v>
      </c>
      <c r="Q83" s="54">
        <v>193</v>
      </c>
      <c r="R83" s="54" t="s">
        <v>587</v>
      </c>
      <c r="S83" s="54" t="s">
        <v>587</v>
      </c>
      <c r="T83" s="54" t="s">
        <v>3933</v>
      </c>
      <c r="U83" s="54" t="s">
        <v>3451</v>
      </c>
      <c r="V83" s="57" t="s">
        <v>495</v>
      </c>
    </row>
    <row r="84" spans="1:22" ht="15" customHeight="1" x14ac:dyDescent="0.25">
      <c r="A84" s="50" t="s">
        <v>4138</v>
      </c>
      <c r="B84" s="50" t="s">
        <v>1645</v>
      </c>
      <c r="C84" s="50" t="s">
        <v>3946</v>
      </c>
      <c r="D84" s="50" t="s">
        <v>3958</v>
      </c>
      <c r="E84" s="51">
        <v>2.4645000000000001</v>
      </c>
      <c r="F84" s="51">
        <v>1.8724000000000001</v>
      </c>
      <c r="G84" s="51">
        <f t="shared" si="4"/>
        <v>0.59</v>
      </c>
      <c r="H84" s="60">
        <f t="shared" si="5"/>
        <v>76</v>
      </c>
      <c r="I84" s="50" t="s">
        <v>4139</v>
      </c>
      <c r="J84" s="50" t="s">
        <v>4002</v>
      </c>
      <c r="K84" s="50" t="s">
        <v>3949</v>
      </c>
      <c r="L84" s="50" t="s">
        <v>134</v>
      </c>
      <c r="M84" s="50" t="s">
        <v>576</v>
      </c>
      <c r="N84" s="50" t="s">
        <v>587</v>
      </c>
      <c r="O84" s="50" t="s">
        <v>3983</v>
      </c>
      <c r="P84" s="50" t="s">
        <v>3076</v>
      </c>
      <c r="Q84" s="50">
        <v>151</v>
      </c>
      <c r="R84" s="50" t="s">
        <v>576</v>
      </c>
      <c r="S84" s="50" t="s">
        <v>576</v>
      </c>
      <c r="T84" s="50" t="s">
        <v>3992</v>
      </c>
      <c r="U84" s="50" t="s">
        <v>1652</v>
      </c>
      <c r="V84" s="53" t="s">
        <v>266</v>
      </c>
    </row>
    <row r="85" spans="1:22" ht="15" customHeight="1" x14ac:dyDescent="0.25">
      <c r="A85" s="54" t="s">
        <v>4140</v>
      </c>
      <c r="B85" s="54" t="s">
        <v>2411</v>
      </c>
      <c r="C85" s="54" t="s">
        <v>3970</v>
      </c>
      <c r="D85" s="54" t="s">
        <v>3930</v>
      </c>
      <c r="E85" s="55">
        <v>0.85370000000000001</v>
      </c>
      <c r="F85" s="55">
        <v>0.22509999999999999</v>
      </c>
      <c r="G85" s="55">
        <f t="shared" si="4"/>
        <v>0.63</v>
      </c>
      <c r="H85" s="59">
        <f t="shared" si="5"/>
        <v>26.4</v>
      </c>
      <c r="I85" s="54" t="s">
        <v>4141</v>
      </c>
      <c r="J85" s="54" t="s">
        <v>3954</v>
      </c>
      <c r="K85" s="54" t="s">
        <v>3938</v>
      </c>
      <c r="L85" s="54" t="s">
        <v>141</v>
      </c>
      <c r="M85" s="54" t="s">
        <v>587</v>
      </c>
      <c r="N85" s="54" t="s">
        <v>587</v>
      </c>
      <c r="O85" s="54" t="s">
        <v>3512</v>
      </c>
      <c r="P85" s="54" t="s">
        <v>661</v>
      </c>
      <c r="Q85" s="54">
        <v>203</v>
      </c>
      <c r="R85" s="54" t="s">
        <v>576</v>
      </c>
      <c r="S85" s="54" t="s">
        <v>587</v>
      </c>
      <c r="T85" s="54" t="s">
        <v>3480</v>
      </c>
      <c r="U85" s="54" t="s">
        <v>3451</v>
      </c>
      <c r="V85" s="57" t="s">
        <v>495</v>
      </c>
    </row>
    <row r="86" spans="1:22" ht="15" customHeight="1" x14ac:dyDescent="0.25">
      <c r="A86" s="54" t="s">
        <v>4142</v>
      </c>
      <c r="B86" s="54" t="s">
        <v>4143</v>
      </c>
      <c r="C86" s="54" t="s">
        <v>3951</v>
      </c>
      <c r="D86" s="54" t="s">
        <v>4037</v>
      </c>
      <c r="E86" s="55">
        <v>9.9835999999999991</v>
      </c>
      <c r="F86" s="55">
        <v>2.0760999999999998</v>
      </c>
      <c r="G86" s="55">
        <f t="shared" si="4"/>
        <v>7.91</v>
      </c>
      <c r="H86" s="59">
        <f t="shared" si="5"/>
        <v>20.8</v>
      </c>
      <c r="I86" s="54" t="s">
        <v>4144</v>
      </c>
      <c r="J86" s="54" t="s">
        <v>3937</v>
      </c>
      <c r="K86" s="54" t="s">
        <v>3932</v>
      </c>
      <c r="L86" s="54" t="s">
        <v>141</v>
      </c>
      <c r="M86" s="54" t="s">
        <v>576</v>
      </c>
      <c r="N86" s="54" t="s">
        <v>576</v>
      </c>
      <c r="O86" s="54" t="s">
        <v>3512</v>
      </c>
      <c r="P86" s="54" t="s">
        <v>597</v>
      </c>
      <c r="Q86" s="54">
        <v>149</v>
      </c>
      <c r="R86" s="54" t="s">
        <v>587</v>
      </c>
      <c r="S86" s="54" t="s">
        <v>3480</v>
      </c>
      <c r="T86" s="54" t="s">
        <v>1652</v>
      </c>
      <c r="U86" s="54" t="s">
        <v>3480</v>
      </c>
      <c r="V86" s="57" t="s">
        <v>495</v>
      </c>
    </row>
    <row r="87" spans="1:22" ht="25.5" customHeight="1" x14ac:dyDescent="0.25">
      <c r="A87" s="46" t="s">
        <v>4145</v>
      </c>
      <c r="B87" s="46" t="s">
        <v>4146</v>
      </c>
      <c r="C87" s="46" t="s">
        <v>3946</v>
      </c>
      <c r="D87" s="46" t="s">
        <v>4004</v>
      </c>
      <c r="E87" s="47">
        <v>6.0124000000000004</v>
      </c>
      <c r="F87" s="47">
        <v>3.6208</v>
      </c>
      <c r="G87" s="47">
        <f t="shared" si="4"/>
        <v>2.39</v>
      </c>
      <c r="H87" s="61">
        <f t="shared" si="5"/>
        <v>60.2</v>
      </c>
      <c r="I87" s="46" t="s">
        <v>4147</v>
      </c>
      <c r="J87" s="46" t="s">
        <v>617</v>
      </c>
      <c r="K87" s="46" t="s">
        <v>3938</v>
      </c>
      <c r="L87" s="46" t="s">
        <v>3944</v>
      </c>
      <c r="M87" s="46" t="s">
        <v>587</v>
      </c>
      <c r="N87" s="46" t="s">
        <v>587</v>
      </c>
      <c r="O87" s="46" t="s">
        <v>3961</v>
      </c>
      <c r="P87" s="46" t="s">
        <v>3076</v>
      </c>
      <c r="Q87" s="46">
        <v>311</v>
      </c>
      <c r="R87" s="46" t="s">
        <v>576</v>
      </c>
      <c r="S87" s="46" t="s">
        <v>576</v>
      </c>
      <c r="T87" s="46" t="s">
        <v>1652</v>
      </c>
      <c r="U87" s="46" t="s">
        <v>3451</v>
      </c>
      <c r="V87" s="49" t="s">
        <v>321</v>
      </c>
    </row>
    <row r="88" spans="1:22" ht="15" customHeight="1" x14ac:dyDescent="0.25">
      <c r="A88" s="54" t="s">
        <v>4148</v>
      </c>
      <c r="B88" s="54" t="s">
        <v>4149</v>
      </c>
      <c r="C88" s="54" t="s">
        <v>3946</v>
      </c>
      <c r="D88" s="54" t="s">
        <v>3952</v>
      </c>
      <c r="E88" s="55">
        <v>4.3836000000000004</v>
      </c>
      <c r="F88" s="55">
        <v>1.5915999999999999</v>
      </c>
      <c r="G88" s="55">
        <f t="shared" si="4"/>
        <v>2.79</v>
      </c>
      <c r="H88" s="59">
        <f t="shared" si="5"/>
        <v>36.299999999999997</v>
      </c>
      <c r="I88" s="54" t="s">
        <v>4150</v>
      </c>
      <c r="J88" s="54" t="s">
        <v>3937</v>
      </c>
      <c r="K88" s="54" t="s">
        <v>3964</v>
      </c>
      <c r="L88" s="54" t="s">
        <v>134</v>
      </c>
      <c r="M88" s="54" t="s">
        <v>587</v>
      </c>
      <c r="N88" s="54" t="s">
        <v>587</v>
      </c>
      <c r="O88" s="54" t="s">
        <v>3956</v>
      </c>
      <c r="P88" s="54" t="s">
        <v>661</v>
      </c>
      <c r="Q88" s="54">
        <v>234</v>
      </c>
      <c r="R88" s="54" t="s">
        <v>576</v>
      </c>
      <c r="S88" s="54" t="s">
        <v>587</v>
      </c>
      <c r="T88" s="54" t="s">
        <v>3992</v>
      </c>
      <c r="U88" s="54" t="s">
        <v>3451</v>
      </c>
      <c r="V88" s="57" t="s">
        <v>495</v>
      </c>
    </row>
    <row r="89" spans="1:22" ht="25.5" customHeight="1" x14ac:dyDescent="0.25">
      <c r="A89" s="54" t="s">
        <v>4151</v>
      </c>
      <c r="B89" s="54" t="s">
        <v>954</v>
      </c>
      <c r="C89" s="54" t="s">
        <v>3474</v>
      </c>
      <c r="D89" s="54" t="s">
        <v>3952</v>
      </c>
      <c r="E89" s="55">
        <v>4.1104000000000003</v>
      </c>
      <c r="F89" s="55">
        <v>0.30130000000000001</v>
      </c>
      <c r="G89" s="55">
        <f t="shared" si="4"/>
        <v>3.81</v>
      </c>
      <c r="H89" s="59">
        <f t="shared" si="5"/>
        <v>7.3</v>
      </c>
      <c r="I89" s="54" t="s">
        <v>4152</v>
      </c>
      <c r="J89" s="54" t="s">
        <v>4002</v>
      </c>
      <c r="K89" s="54" t="s">
        <v>3949</v>
      </c>
      <c r="L89" s="54" t="s">
        <v>141</v>
      </c>
      <c r="M89" s="54" t="s">
        <v>576</v>
      </c>
      <c r="N89" s="54" t="s">
        <v>576</v>
      </c>
      <c r="O89" s="54" t="s">
        <v>3495</v>
      </c>
      <c r="P89" s="54" t="s">
        <v>3049</v>
      </c>
      <c r="Q89" s="54">
        <v>145</v>
      </c>
      <c r="R89" s="54" t="s">
        <v>576</v>
      </c>
      <c r="S89" s="54" t="s">
        <v>576</v>
      </c>
      <c r="T89" s="54" t="s">
        <v>1652</v>
      </c>
      <c r="U89" s="54" t="s">
        <v>3451</v>
      </c>
      <c r="V89" s="57" t="s">
        <v>495</v>
      </c>
    </row>
    <row r="90" spans="1:22" ht="25.5" customHeight="1" x14ac:dyDescent="0.25">
      <c r="A90" s="50" t="s">
        <v>4153</v>
      </c>
      <c r="B90" s="50" t="s">
        <v>1992</v>
      </c>
      <c r="C90" s="50" t="s">
        <v>3929</v>
      </c>
      <c r="D90" s="50" t="s">
        <v>4037</v>
      </c>
      <c r="E90" s="51">
        <v>2.6806999999999999</v>
      </c>
      <c r="F90" s="51">
        <v>2.0339</v>
      </c>
      <c r="G90" s="51">
        <f t="shared" si="4"/>
        <v>0.65</v>
      </c>
      <c r="H90" s="60">
        <f t="shared" si="5"/>
        <v>75.900000000000006</v>
      </c>
      <c r="I90" s="50" t="s">
        <v>4154</v>
      </c>
      <c r="J90" s="50" t="s">
        <v>3937</v>
      </c>
      <c r="K90" s="50" t="s">
        <v>3960</v>
      </c>
      <c r="L90" s="50" t="s">
        <v>141</v>
      </c>
      <c r="M90" s="50" t="s">
        <v>576</v>
      </c>
      <c r="N90" s="50" t="s">
        <v>587</v>
      </c>
      <c r="O90" s="50" t="s">
        <v>3940</v>
      </c>
      <c r="P90" s="50" t="s">
        <v>688</v>
      </c>
      <c r="Q90" s="50">
        <v>311</v>
      </c>
      <c r="R90" s="50" t="s">
        <v>576</v>
      </c>
      <c r="S90" s="50" t="s">
        <v>3480</v>
      </c>
      <c r="T90" s="50" t="s">
        <v>3933</v>
      </c>
      <c r="U90" s="50" t="s">
        <v>1652</v>
      </c>
      <c r="V90" s="53" t="s">
        <v>266</v>
      </c>
    </row>
    <row r="91" spans="1:22" ht="15" customHeight="1" x14ac:dyDescent="0.25">
      <c r="A91" s="54" t="s">
        <v>4155</v>
      </c>
      <c r="B91" s="54" t="s">
        <v>2021</v>
      </c>
      <c r="C91" s="54" t="s">
        <v>3474</v>
      </c>
      <c r="D91" s="54" t="s">
        <v>4004</v>
      </c>
      <c r="E91" s="55">
        <v>1.4931000000000001</v>
      </c>
      <c r="F91" s="55">
        <v>0.70850000000000002</v>
      </c>
      <c r="G91" s="55">
        <f t="shared" si="4"/>
        <v>0.78</v>
      </c>
      <c r="H91" s="59">
        <f t="shared" si="5"/>
        <v>47.5</v>
      </c>
      <c r="I91" s="54" t="s">
        <v>4156</v>
      </c>
      <c r="J91" s="54" t="s">
        <v>3954</v>
      </c>
      <c r="K91" s="54" t="s">
        <v>3960</v>
      </c>
      <c r="L91" s="54" t="s">
        <v>141</v>
      </c>
      <c r="M91" s="54" t="s">
        <v>587</v>
      </c>
      <c r="N91" s="54" t="s">
        <v>576</v>
      </c>
      <c r="O91" s="54" t="s">
        <v>3956</v>
      </c>
      <c r="P91" s="54" t="s">
        <v>667</v>
      </c>
      <c r="Q91" s="54">
        <v>78</v>
      </c>
      <c r="R91" s="54" t="s">
        <v>576</v>
      </c>
      <c r="S91" s="54" t="s">
        <v>576</v>
      </c>
      <c r="T91" s="54" t="s">
        <v>3992</v>
      </c>
      <c r="U91" s="54" t="s">
        <v>3480</v>
      </c>
      <c r="V91" s="57" t="s">
        <v>495</v>
      </c>
    </row>
    <row r="92" spans="1:22" ht="15" customHeight="1" x14ac:dyDescent="0.25">
      <c r="A92" s="54" t="s">
        <v>4157</v>
      </c>
      <c r="B92" s="54" t="s">
        <v>2694</v>
      </c>
      <c r="C92" s="54" t="s">
        <v>3970</v>
      </c>
      <c r="D92" s="54" t="s">
        <v>3930</v>
      </c>
      <c r="E92" s="55">
        <v>5.4069000000000003</v>
      </c>
      <c r="F92" s="55">
        <v>2.5625</v>
      </c>
      <c r="G92" s="55">
        <f t="shared" si="4"/>
        <v>2.84</v>
      </c>
      <c r="H92" s="59">
        <f t="shared" si="5"/>
        <v>47.4</v>
      </c>
      <c r="I92" s="54" t="s">
        <v>4158</v>
      </c>
      <c r="J92" s="54" t="s">
        <v>617</v>
      </c>
      <c r="K92" s="54" t="s">
        <v>3964</v>
      </c>
      <c r="L92" s="54" t="s">
        <v>134</v>
      </c>
      <c r="M92" s="54" t="s">
        <v>587</v>
      </c>
      <c r="N92" s="54" t="s">
        <v>576</v>
      </c>
      <c r="O92" s="54" t="s">
        <v>3983</v>
      </c>
      <c r="P92" s="54" t="s">
        <v>578</v>
      </c>
      <c r="Q92" s="54">
        <v>52</v>
      </c>
      <c r="R92" s="54" t="s">
        <v>576</v>
      </c>
      <c r="S92" s="54" t="s">
        <v>3480</v>
      </c>
      <c r="T92" s="54" t="s">
        <v>3480</v>
      </c>
      <c r="U92" s="54" t="s">
        <v>3451</v>
      </c>
      <c r="V92" s="57" t="s">
        <v>495</v>
      </c>
    </row>
    <row r="93" spans="1:22" ht="15" customHeight="1" x14ac:dyDescent="0.25">
      <c r="A93" s="50" t="s">
        <v>4159</v>
      </c>
      <c r="B93" s="50" t="s">
        <v>966</v>
      </c>
      <c r="C93" s="50" t="s">
        <v>3946</v>
      </c>
      <c r="D93" s="50" t="s">
        <v>3958</v>
      </c>
      <c r="E93" s="51">
        <v>2.3589000000000002</v>
      </c>
      <c r="F93" s="51">
        <v>2.0072000000000001</v>
      </c>
      <c r="G93" s="51">
        <f t="shared" si="4"/>
        <v>0.35</v>
      </c>
      <c r="H93" s="60">
        <f t="shared" si="5"/>
        <v>85.1</v>
      </c>
      <c r="I93" s="50" t="s">
        <v>4160</v>
      </c>
      <c r="J93" s="50" t="s">
        <v>3943</v>
      </c>
      <c r="K93" s="50" t="s">
        <v>3960</v>
      </c>
      <c r="L93" s="50" t="s">
        <v>99</v>
      </c>
      <c r="M93" s="50" t="s">
        <v>587</v>
      </c>
      <c r="N93" s="50" t="s">
        <v>576</v>
      </c>
      <c r="O93" s="50" t="s">
        <v>3495</v>
      </c>
      <c r="P93" s="50" t="s">
        <v>667</v>
      </c>
      <c r="Q93" s="50">
        <v>168</v>
      </c>
      <c r="R93" s="50" t="s">
        <v>587</v>
      </c>
      <c r="S93" s="50" t="s">
        <v>576</v>
      </c>
      <c r="T93" s="50" t="s">
        <v>3992</v>
      </c>
      <c r="U93" s="50" t="s">
        <v>3480</v>
      </c>
      <c r="V93" s="53" t="s">
        <v>266</v>
      </c>
    </row>
    <row r="94" spans="1:22" ht="25.5" customHeight="1" x14ac:dyDescent="0.25">
      <c r="A94" s="54" t="s">
        <v>4161</v>
      </c>
      <c r="B94" s="54" t="s">
        <v>1892</v>
      </c>
      <c r="C94" s="54" t="s">
        <v>3946</v>
      </c>
      <c r="D94" s="54" t="s">
        <v>4037</v>
      </c>
      <c r="E94" s="55">
        <v>9.2430000000000003</v>
      </c>
      <c r="F94" s="55">
        <v>0.52580000000000005</v>
      </c>
      <c r="G94" s="55">
        <f t="shared" si="4"/>
        <v>8.7200000000000006</v>
      </c>
      <c r="H94" s="59">
        <f t="shared" si="5"/>
        <v>5.7</v>
      </c>
      <c r="I94" s="54" t="s">
        <v>4162</v>
      </c>
      <c r="J94" s="54" t="s">
        <v>3982</v>
      </c>
      <c r="K94" s="54" t="s">
        <v>3960</v>
      </c>
      <c r="L94" s="54" t="s">
        <v>134</v>
      </c>
      <c r="M94" s="54" t="s">
        <v>587</v>
      </c>
      <c r="N94" s="54" t="s">
        <v>576</v>
      </c>
      <c r="O94" s="54" t="s">
        <v>3961</v>
      </c>
      <c r="P94" s="54" t="s">
        <v>621</v>
      </c>
      <c r="Q94" s="54">
        <v>273</v>
      </c>
      <c r="R94" s="54" t="s">
        <v>576</v>
      </c>
      <c r="S94" s="54" t="s">
        <v>576</v>
      </c>
      <c r="T94" s="54" t="s">
        <v>3992</v>
      </c>
      <c r="U94" s="54" t="s">
        <v>3480</v>
      </c>
      <c r="V94" s="57" t="s">
        <v>495</v>
      </c>
    </row>
    <row r="95" spans="1:22" ht="15" customHeight="1" x14ac:dyDescent="0.25">
      <c r="A95" s="54" t="s">
        <v>4163</v>
      </c>
      <c r="B95" s="54" t="s">
        <v>1734</v>
      </c>
      <c r="C95" s="54" t="s">
        <v>1666</v>
      </c>
      <c r="D95" s="54" t="s">
        <v>3930</v>
      </c>
      <c r="E95" s="55">
        <v>8.9601000000000006</v>
      </c>
      <c r="F95" s="55">
        <v>1.2732000000000001</v>
      </c>
      <c r="G95" s="55">
        <f t="shared" si="4"/>
        <v>7.69</v>
      </c>
      <c r="H95" s="59">
        <f t="shared" si="5"/>
        <v>14.2</v>
      </c>
      <c r="I95" s="54" t="s">
        <v>4164</v>
      </c>
      <c r="J95" s="54" t="s">
        <v>3943</v>
      </c>
      <c r="K95" s="54" t="s">
        <v>3938</v>
      </c>
      <c r="L95" s="54" t="s">
        <v>99</v>
      </c>
      <c r="M95" s="54" t="s">
        <v>587</v>
      </c>
      <c r="N95" s="54" t="s">
        <v>576</v>
      </c>
      <c r="O95" s="54" t="s">
        <v>3961</v>
      </c>
      <c r="P95" s="54" t="s">
        <v>597</v>
      </c>
      <c r="Q95" s="54">
        <v>393</v>
      </c>
      <c r="R95" s="54" t="s">
        <v>576</v>
      </c>
      <c r="S95" s="54" t="s">
        <v>3480</v>
      </c>
      <c r="T95" s="54" t="s">
        <v>1652</v>
      </c>
      <c r="U95" s="54" t="s">
        <v>3480</v>
      </c>
      <c r="V95" s="57" t="s">
        <v>495</v>
      </c>
    </row>
    <row r="96" spans="1:22" ht="25.5" customHeight="1" x14ac:dyDescent="0.25">
      <c r="A96" s="50" t="s">
        <v>4165</v>
      </c>
      <c r="B96" s="50" t="s">
        <v>643</v>
      </c>
      <c r="C96" s="50" t="s">
        <v>3970</v>
      </c>
      <c r="D96" s="50" t="s">
        <v>3935</v>
      </c>
      <c r="E96" s="51">
        <v>5.6010999999999997</v>
      </c>
      <c r="F96" s="51">
        <v>4.3121999999999998</v>
      </c>
      <c r="G96" s="51">
        <f t="shared" si="4"/>
        <v>1.29</v>
      </c>
      <c r="H96" s="60">
        <f t="shared" si="5"/>
        <v>77</v>
      </c>
      <c r="I96" s="50" t="s">
        <v>4166</v>
      </c>
      <c r="J96" s="50" t="s">
        <v>3943</v>
      </c>
      <c r="K96" s="50" t="s">
        <v>3955</v>
      </c>
      <c r="L96" s="50" t="s">
        <v>3939</v>
      </c>
      <c r="M96" s="50" t="s">
        <v>576</v>
      </c>
      <c r="N96" s="50" t="s">
        <v>576</v>
      </c>
      <c r="O96" s="50" t="s">
        <v>3983</v>
      </c>
      <c r="P96" s="50" t="s">
        <v>3049</v>
      </c>
      <c r="Q96" s="50">
        <v>266</v>
      </c>
      <c r="R96" s="50" t="s">
        <v>576</v>
      </c>
      <c r="S96" s="50" t="s">
        <v>576</v>
      </c>
      <c r="T96" s="50" t="s">
        <v>3965</v>
      </c>
      <c r="U96" s="50" t="s">
        <v>1652</v>
      </c>
      <c r="V96" s="53" t="s">
        <v>266</v>
      </c>
    </row>
    <row r="97" spans="1:22" ht="15" customHeight="1" x14ac:dyDescent="0.25">
      <c r="A97" s="50" t="s">
        <v>4167</v>
      </c>
      <c r="B97" s="50" t="s">
        <v>4143</v>
      </c>
      <c r="C97" s="50" t="s">
        <v>4007</v>
      </c>
      <c r="D97" s="50" t="s">
        <v>4004</v>
      </c>
      <c r="E97" s="51">
        <v>6.4604999999999997</v>
      </c>
      <c r="F97" s="51">
        <v>5.9518000000000004</v>
      </c>
      <c r="G97" s="51">
        <f t="shared" si="4"/>
        <v>0.51</v>
      </c>
      <c r="H97" s="60">
        <f t="shared" si="5"/>
        <v>92.1</v>
      </c>
      <c r="I97" s="50" t="s">
        <v>4168</v>
      </c>
      <c r="J97" s="50" t="s">
        <v>3954</v>
      </c>
      <c r="K97" s="50" t="s">
        <v>3949</v>
      </c>
      <c r="L97" s="50" t="s">
        <v>3939</v>
      </c>
      <c r="M97" s="50" t="s">
        <v>576</v>
      </c>
      <c r="N97" s="50" t="s">
        <v>576</v>
      </c>
      <c r="O97" s="50" t="s">
        <v>3983</v>
      </c>
      <c r="P97" s="50" t="s">
        <v>667</v>
      </c>
      <c r="Q97" s="50">
        <v>343</v>
      </c>
      <c r="R97" s="50" t="s">
        <v>587</v>
      </c>
      <c r="S97" s="50" t="s">
        <v>587</v>
      </c>
      <c r="T97" s="50" t="s">
        <v>3992</v>
      </c>
      <c r="U97" s="50" t="s">
        <v>3480</v>
      </c>
      <c r="V97" s="53" t="s">
        <v>266</v>
      </c>
    </row>
    <row r="98" spans="1:22" ht="15" customHeight="1" x14ac:dyDescent="0.25">
      <c r="A98" s="50" t="s">
        <v>4169</v>
      </c>
      <c r="B98" s="50" t="s">
        <v>1865</v>
      </c>
      <c r="C98" s="50" t="s">
        <v>3946</v>
      </c>
      <c r="D98" s="50" t="s">
        <v>3977</v>
      </c>
      <c r="E98" s="51">
        <v>0.23599999999999999</v>
      </c>
      <c r="F98" s="51">
        <v>0.18479999999999999</v>
      </c>
      <c r="G98" s="51">
        <f t="shared" si="4"/>
        <v>0.05</v>
      </c>
      <c r="H98" s="60">
        <f t="shared" si="5"/>
        <v>78.3</v>
      </c>
      <c r="I98" s="50" t="s">
        <v>4170</v>
      </c>
      <c r="J98" s="50" t="s">
        <v>3982</v>
      </c>
      <c r="K98" s="50" t="s">
        <v>3938</v>
      </c>
      <c r="L98" s="50" t="s">
        <v>3944</v>
      </c>
      <c r="M98" s="50" t="s">
        <v>587</v>
      </c>
      <c r="N98" s="50" t="s">
        <v>587</v>
      </c>
      <c r="O98" s="50" t="s">
        <v>3512</v>
      </c>
      <c r="P98" s="50" t="s">
        <v>656</v>
      </c>
      <c r="Q98" s="50">
        <v>283</v>
      </c>
      <c r="R98" s="50" t="s">
        <v>587</v>
      </c>
      <c r="S98" s="50" t="s">
        <v>576</v>
      </c>
      <c r="T98" s="50" t="s">
        <v>3480</v>
      </c>
      <c r="U98" s="50" t="s">
        <v>3480</v>
      </c>
      <c r="V98" s="53" t="s">
        <v>266</v>
      </c>
    </row>
    <row r="99" spans="1:22" ht="15" customHeight="1" x14ac:dyDescent="0.25">
      <c r="A99" s="46" t="s">
        <v>4171</v>
      </c>
      <c r="B99" s="46" t="s">
        <v>4172</v>
      </c>
      <c r="C99" s="46" t="s">
        <v>3929</v>
      </c>
      <c r="D99" s="46" t="s">
        <v>3977</v>
      </c>
      <c r="E99" s="47">
        <v>9.6509999999999998</v>
      </c>
      <c r="F99" s="47">
        <v>5.4025999999999996</v>
      </c>
      <c r="G99" s="47">
        <f t="shared" ref="G99:G130" si="6">ROUND(E99-F99,2)</f>
        <v>4.25</v>
      </c>
      <c r="H99" s="61">
        <f t="shared" ref="H99:H130" si="7">ROUND(F99/E99*100,1)</f>
        <v>56</v>
      </c>
      <c r="I99" s="46" t="s">
        <v>4173</v>
      </c>
      <c r="J99" s="46" t="s">
        <v>3943</v>
      </c>
      <c r="K99" s="46" t="s">
        <v>3932</v>
      </c>
      <c r="L99" s="46" t="s">
        <v>134</v>
      </c>
      <c r="M99" s="46" t="s">
        <v>576</v>
      </c>
      <c r="N99" s="46" t="s">
        <v>587</v>
      </c>
      <c r="O99" s="46" t="s">
        <v>3983</v>
      </c>
      <c r="P99" s="46" t="s">
        <v>649</v>
      </c>
      <c r="Q99" s="46">
        <v>39</v>
      </c>
      <c r="R99" s="46" t="s">
        <v>576</v>
      </c>
      <c r="S99" s="46" t="s">
        <v>587</v>
      </c>
      <c r="T99" s="46" t="s">
        <v>3933</v>
      </c>
      <c r="U99" s="46" t="s">
        <v>3451</v>
      </c>
      <c r="V99" s="49" t="s">
        <v>321</v>
      </c>
    </row>
    <row r="100" spans="1:22" ht="15" customHeight="1" x14ac:dyDescent="0.25">
      <c r="A100" s="54" t="s">
        <v>4174</v>
      </c>
      <c r="B100" s="54" t="s">
        <v>1683</v>
      </c>
      <c r="C100" s="54" t="s">
        <v>3528</v>
      </c>
      <c r="D100" s="54" t="s">
        <v>3947</v>
      </c>
      <c r="E100" s="55">
        <v>4.5781999999999998</v>
      </c>
      <c r="F100" s="55">
        <v>1.3552999999999999</v>
      </c>
      <c r="G100" s="55">
        <f t="shared" si="6"/>
        <v>3.22</v>
      </c>
      <c r="H100" s="59">
        <f t="shared" si="7"/>
        <v>29.6</v>
      </c>
      <c r="I100" s="54" t="s">
        <v>4175</v>
      </c>
      <c r="J100" s="54" t="s">
        <v>4002</v>
      </c>
      <c r="K100" s="54" t="s">
        <v>3960</v>
      </c>
      <c r="L100" s="54" t="s">
        <v>3944</v>
      </c>
      <c r="M100" s="54" t="s">
        <v>587</v>
      </c>
      <c r="N100" s="54" t="s">
        <v>576</v>
      </c>
      <c r="O100" s="54" t="s">
        <v>3940</v>
      </c>
      <c r="P100" s="54" t="s">
        <v>649</v>
      </c>
      <c r="Q100" s="54">
        <v>52</v>
      </c>
      <c r="R100" s="54" t="s">
        <v>576</v>
      </c>
      <c r="S100" s="54" t="s">
        <v>587</v>
      </c>
      <c r="T100" s="54" t="s">
        <v>3480</v>
      </c>
      <c r="U100" s="54" t="s">
        <v>1652</v>
      </c>
      <c r="V100" s="57" t="s">
        <v>495</v>
      </c>
    </row>
    <row r="101" spans="1:22" ht="15" customHeight="1" x14ac:dyDescent="0.25">
      <c r="A101" s="54" t="s">
        <v>4176</v>
      </c>
      <c r="B101" s="54" t="s">
        <v>2347</v>
      </c>
      <c r="C101" s="54" t="s">
        <v>3946</v>
      </c>
      <c r="D101" s="54" t="s">
        <v>4004</v>
      </c>
      <c r="E101" s="55">
        <v>0.68</v>
      </c>
      <c r="F101" s="55">
        <v>0.25290000000000001</v>
      </c>
      <c r="G101" s="55">
        <f t="shared" si="6"/>
        <v>0.43</v>
      </c>
      <c r="H101" s="59">
        <f t="shared" si="7"/>
        <v>37.200000000000003</v>
      </c>
      <c r="I101" s="54" t="s">
        <v>4177</v>
      </c>
      <c r="J101" s="54" t="s">
        <v>4002</v>
      </c>
      <c r="K101" s="54" t="s">
        <v>3932</v>
      </c>
      <c r="L101" s="54" t="s">
        <v>99</v>
      </c>
      <c r="M101" s="54" t="s">
        <v>587</v>
      </c>
      <c r="N101" s="54" t="s">
        <v>587</v>
      </c>
      <c r="O101" s="54" t="s">
        <v>3961</v>
      </c>
      <c r="P101" s="54" t="s">
        <v>3076</v>
      </c>
      <c r="Q101" s="54">
        <v>87</v>
      </c>
      <c r="R101" s="54" t="s">
        <v>587</v>
      </c>
      <c r="S101" s="54" t="s">
        <v>587</v>
      </c>
      <c r="T101" s="54" t="s">
        <v>3933</v>
      </c>
      <c r="U101" s="54" t="s">
        <v>3451</v>
      </c>
      <c r="V101" s="57" t="s">
        <v>495</v>
      </c>
    </row>
    <row r="102" spans="1:22" ht="15" customHeight="1" x14ac:dyDescent="0.25">
      <c r="A102" s="50" t="s">
        <v>4178</v>
      </c>
      <c r="B102" s="50" t="s">
        <v>1683</v>
      </c>
      <c r="C102" s="50" t="s">
        <v>4007</v>
      </c>
      <c r="D102" s="50" t="s">
        <v>4037</v>
      </c>
      <c r="E102" s="51">
        <v>3.2988</v>
      </c>
      <c r="F102" s="51">
        <v>2.7669999999999999</v>
      </c>
      <c r="G102" s="51">
        <f t="shared" si="6"/>
        <v>0.53</v>
      </c>
      <c r="H102" s="60">
        <f t="shared" si="7"/>
        <v>83.9</v>
      </c>
      <c r="I102" s="50" t="s">
        <v>4179</v>
      </c>
      <c r="J102" s="50" t="s">
        <v>617</v>
      </c>
      <c r="K102" s="50" t="s">
        <v>3932</v>
      </c>
      <c r="L102" s="50" t="s">
        <v>99</v>
      </c>
      <c r="M102" s="50" t="s">
        <v>576</v>
      </c>
      <c r="N102" s="50" t="s">
        <v>576</v>
      </c>
      <c r="O102" s="50" t="s">
        <v>3495</v>
      </c>
      <c r="P102" s="50" t="s">
        <v>661</v>
      </c>
      <c r="Q102" s="50">
        <v>113</v>
      </c>
      <c r="R102" s="50" t="s">
        <v>587</v>
      </c>
      <c r="S102" s="50" t="s">
        <v>3480</v>
      </c>
      <c r="T102" s="50" t="s">
        <v>1652</v>
      </c>
      <c r="U102" s="50" t="s">
        <v>1652</v>
      </c>
      <c r="V102" s="53" t="s">
        <v>266</v>
      </c>
    </row>
    <row r="103" spans="1:22" ht="15" customHeight="1" x14ac:dyDescent="0.25">
      <c r="A103" s="54" t="s">
        <v>4180</v>
      </c>
      <c r="B103" s="54" t="s">
        <v>2409</v>
      </c>
      <c r="C103" s="54" t="s">
        <v>1666</v>
      </c>
      <c r="D103" s="54" t="s">
        <v>3935</v>
      </c>
      <c r="E103" s="55">
        <v>7.1234000000000002</v>
      </c>
      <c r="F103" s="55">
        <v>2.3296000000000001</v>
      </c>
      <c r="G103" s="55">
        <f t="shared" si="6"/>
        <v>4.79</v>
      </c>
      <c r="H103" s="59">
        <f t="shared" si="7"/>
        <v>32.700000000000003</v>
      </c>
      <c r="I103" s="54" t="s">
        <v>4181</v>
      </c>
      <c r="J103" s="54" t="s">
        <v>3982</v>
      </c>
      <c r="K103" s="54" t="s">
        <v>3964</v>
      </c>
      <c r="L103" s="54" t="s">
        <v>3944</v>
      </c>
      <c r="M103" s="54" t="s">
        <v>576</v>
      </c>
      <c r="N103" s="54" t="s">
        <v>587</v>
      </c>
      <c r="O103" s="54" t="s">
        <v>3961</v>
      </c>
      <c r="P103" s="54" t="s">
        <v>597</v>
      </c>
      <c r="Q103" s="54">
        <v>166</v>
      </c>
      <c r="R103" s="54" t="s">
        <v>587</v>
      </c>
      <c r="S103" s="54" t="s">
        <v>587</v>
      </c>
      <c r="T103" s="54" t="s">
        <v>3480</v>
      </c>
      <c r="U103" s="54" t="s">
        <v>1652</v>
      </c>
      <c r="V103" s="57" t="s">
        <v>495</v>
      </c>
    </row>
    <row r="104" spans="1:22" ht="15" customHeight="1" x14ac:dyDescent="0.25">
      <c r="A104" s="54" t="s">
        <v>4182</v>
      </c>
      <c r="B104" s="54" t="s">
        <v>1369</v>
      </c>
      <c r="C104" s="54" t="s">
        <v>3474</v>
      </c>
      <c r="D104" s="54" t="s">
        <v>3935</v>
      </c>
      <c r="E104" s="55">
        <v>5.6746999999999996</v>
      </c>
      <c r="F104" s="55">
        <v>2.2185000000000001</v>
      </c>
      <c r="G104" s="55">
        <f t="shared" si="6"/>
        <v>3.46</v>
      </c>
      <c r="H104" s="59">
        <f t="shared" si="7"/>
        <v>39.1</v>
      </c>
      <c r="I104" s="54" t="s">
        <v>4183</v>
      </c>
      <c r="J104" s="54" t="s">
        <v>3982</v>
      </c>
      <c r="K104" s="54" t="s">
        <v>3955</v>
      </c>
      <c r="L104" s="54" t="s">
        <v>134</v>
      </c>
      <c r="M104" s="54" t="s">
        <v>587</v>
      </c>
      <c r="N104" s="54" t="s">
        <v>576</v>
      </c>
      <c r="O104" s="54" t="s">
        <v>3956</v>
      </c>
      <c r="P104" s="54" t="s">
        <v>667</v>
      </c>
      <c r="Q104" s="54">
        <v>118</v>
      </c>
      <c r="R104" s="54" t="s">
        <v>576</v>
      </c>
      <c r="S104" s="54" t="s">
        <v>3480</v>
      </c>
      <c r="T104" s="54" t="s">
        <v>3933</v>
      </c>
      <c r="U104" s="54" t="s">
        <v>3480</v>
      </c>
      <c r="V104" s="57" t="s">
        <v>495</v>
      </c>
    </row>
    <row r="105" spans="1:22" ht="15" customHeight="1" x14ac:dyDescent="0.25">
      <c r="A105" s="54" t="s">
        <v>4184</v>
      </c>
      <c r="B105" s="54" t="s">
        <v>1482</v>
      </c>
      <c r="C105" s="54" t="s">
        <v>3970</v>
      </c>
      <c r="D105" s="54" t="s">
        <v>3952</v>
      </c>
      <c r="E105" s="55">
        <v>1.8947000000000001</v>
      </c>
      <c r="F105" s="55">
        <v>0.47370000000000001</v>
      </c>
      <c r="G105" s="55">
        <f t="shared" si="6"/>
        <v>1.42</v>
      </c>
      <c r="H105" s="59">
        <f t="shared" si="7"/>
        <v>25</v>
      </c>
      <c r="I105" s="54" t="s">
        <v>4185</v>
      </c>
      <c r="J105" s="54" t="s">
        <v>3982</v>
      </c>
      <c r="K105" s="54" t="s">
        <v>3955</v>
      </c>
      <c r="L105" s="54" t="s">
        <v>3939</v>
      </c>
      <c r="M105" s="54" t="s">
        <v>587</v>
      </c>
      <c r="N105" s="54" t="s">
        <v>576</v>
      </c>
      <c r="O105" s="54" t="s">
        <v>3983</v>
      </c>
      <c r="P105" s="54" t="s">
        <v>578</v>
      </c>
      <c r="Q105" s="54">
        <v>15</v>
      </c>
      <c r="R105" s="54" t="s">
        <v>576</v>
      </c>
      <c r="S105" s="54" t="s">
        <v>3480</v>
      </c>
      <c r="T105" s="54" t="s">
        <v>3965</v>
      </c>
      <c r="U105" s="54" t="s">
        <v>3451</v>
      </c>
      <c r="V105" s="57" t="s">
        <v>495</v>
      </c>
    </row>
    <row r="106" spans="1:22" ht="15" customHeight="1" x14ac:dyDescent="0.25">
      <c r="A106" s="54" t="s">
        <v>4186</v>
      </c>
      <c r="B106" s="54" t="s">
        <v>2940</v>
      </c>
      <c r="C106" s="54" t="s">
        <v>3946</v>
      </c>
      <c r="D106" s="54" t="s">
        <v>3977</v>
      </c>
      <c r="E106" s="55">
        <v>0.99739999999999995</v>
      </c>
      <c r="F106" s="55">
        <v>0.19159999999999999</v>
      </c>
      <c r="G106" s="55">
        <f t="shared" si="6"/>
        <v>0.81</v>
      </c>
      <c r="H106" s="59">
        <f t="shared" si="7"/>
        <v>19.2</v>
      </c>
      <c r="I106" s="54" t="s">
        <v>4187</v>
      </c>
      <c r="J106" s="54" t="s">
        <v>3982</v>
      </c>
      <c r="K106" s="54" t="s">
        <v>3955</v>
      </c>
      <c r="L106" s="54" t="s">
        <v>3939</v>
      </c>
      <c r="M106" s="54" t="s">
        <v>576</v>
      </c>
      <c r="N106" s="54" t="s">
        <v>576</v>
      </c>
      <c r="O106" s="54" t="s">
        <v>3983</v>
      </c>
      <c r="P106" s="54" t="s">
        <v>578</v>
      </c>
      <c r="Q106" s="54">
        <v>49</v>
      </c>
      <c r="R106" s="54" t="s">
        <v>587</v>
      </c>
      <c r="S106" s="54" t="s">
        <v>587</v>
      </c>
      <c r="T106" s="54" t="s">
        <v>3480</v>
      </c>
      <c r="U106" s="54" t="s">
        <v>1652</v>
      </c>
      <c r="V106" s="57" t="s">
        <v>495</v>
      </c>
    </row>
    <row r="107" spans="1:22" ht="25.5" customHeight="1" x14ac:dyDescent="0.25">
      <c r="A107" s="50" t="s">
        <v>4188</v>
      </c>
      <c r="B107" s="50" t="s">
        <v>1272</v>
      </c>
      <c r="C107" s="50" t="s">
        <v>3951</v>
      </c>
      <c r="D107" s="50" t="s">
        <v>3947</v>
      </c>
      <c r="E107" s="51">
        <v>5.9443999999999999</v>
      </c>
      <c r="F107" s="51">
        <v>5.1113999999999997</v>
      </c>
      <c r="G107" s="51">
        <f t="shared" si="6"/>
        <v>0.83</v>
      </c>
      <c r="H107" s="60">
        <f t="shared" si="7"/>
        <v>86</v>
      </c>
      <c r="I107" s="50" t="s">
        <v>4189</v>
      </c>
      <c r="J107" s="50" t="s">
        <v>617</v>
      </c>
      <c r="K107" s="50" t="s">
        <v>3964</v>
      </c>
      <c r="L107" s="50" t="s">
        <v>3944</v>
      </c>
      <c r="M107" s="50" t="s">
        <v>576</v>
      </c>
      <c r="N107" s="50" t="s">
        <v>587</v>
      </c>
      <c r="O107" s="50" t="s">
        <v>3956</v>
      </c>
      <c r="P107" s="50" t="s">
        <v>661</v>
      </c>
      <c r="Q107" s="50">
        <v>186</v>
      </c>
      <c r="R107" s="50" t="s">
        <v>576</v>
      </c>
      <c r="S107" s="50" t="s">
        <v>576</v>
      </c>
      <c r="T107" s="50" t="s">
        <v>1652</v>
      </c>
      <c r="U107" s="50" t="s">
        <v>1652</v>
      </c>
      <c r="V107" s="53" t="s">
        <v>266</v>
      </c>
    </row>
    <row r="108" spans="1:22" ht="15" customHeight="1" x14ac:dyDescent="0.25">
      <c r="A108" s="46" t="s">
        <v>4190</v>
      </c>
      <c r="B108" s="46" t="s">
        <v>1583</v>
      </c>
      <c r="C108" s="46" t="s">
        <v>3474</v>
      </c>
      <c r="D108" s="46" t="s">
        <v>4004</v>
      </c>
      <c r="E108" s="47">
        <v>0.54710000000000003</v>
      </c>
      <c r="F108" s="47">
        <v>0.28910000000000002</v>
      </c>
      <c r="G108" s="47">
        <f t="shared" si="6"/>
        <v>0.26</v>
      </c>
      <c r="H108" s="61">
        <f t="shared" si="7"/>
        <v>52.8</v>
      </c>
      <c r="I108" s="46" t="s">
        <v>4191</v>
      </c>
      <c r="J108" s="46" t="s">
        <v>4002</v>
      </c>
      <c r="K108" s="46" t="s">
        <v>3955</v>
      </c>
      <c r="L108" s="46" t="s">
        <v>99</v>
      </c>
      <c r="M108" s="46" t="s">
        <v>576</v>
      </c>
      <c r="N108" s="46" t="s">
        <v>587</v>
      </c>
      <c r="O108" s="46" t="s">
        <v>3983</v>
      </c>
      <c r="P108" s="46" t="s">
        <v>3049</v>
      </c>
      <c r="Q108" s="46">
        <v>304</v>
      </c>
      <c r="R108" s="46" t="s">
        <v>576</v>
      </c>
      <c r="S108" s="46" t="s">
        <v>576</v>
      </c>
      <c r="T108" s="46" t="s">
        <v>3480</v>
      </c>
      <c r="U108" s="46" t="s">
        <v>1652</v>
      </c>
      <c r="V108" s="49" t="s">
        <v>321</v>
      </c>
    </row>
    <row r="109" spans="1:22" ht="15" customHeight="1" x14ac:dyDescent="0.25">
      <c r="A109" s="54" t="s">
        <v>4192</v>
      </c>
      <c r="B109" s="54" t="s">
        <v>2549</v>
      </c>
      <c r="C109" s="54" t="s">
        <v>3528</v>
      </c>
      <c r="D109" s="54" t="s">
        <v>3947</v>
      </c>
      <c r="E109" s="55">
        <v>3.7993999999999999</v>
      </c>
      <c r="F109" s="55">
        <v>0.9617</v>
      </c>
      <c r="G109" s="55">
        <f t="shared" si="6"/>
        <v>2.84</v>
      </c>
      <c r="H109" s="59">
        <f t="shared" si="7"/>
        <v>25.3</v>
      </c>
      <c r="I109" s="54" t="s">
        <v>4193</v>
      </c>
      <c r="J109" s="54" t="s">
        <v>3937</v>
      </c>
      <c r="K109" s="54" t="s">
        <v>3960</v>
      </c>
      <c r="L109" s="54" t="s">
        <v>3939</v>
      </c>
      <c r="M109" s="54" t="s">
        <v>576</v>
      </c>
      <c r="N109" s="54" t="s">
        <v>576</v>
      </c>
      <c r="O109" s="54" t="s">
        <v>3983</v>
      </c>
      <c r="P109" s="54" t="s">
        <v>3049</v>
      </c>
      <c r="Q109" s="54">
        <v>16</v>
      </c>
      <c r="R109" s="54" t="s">
        <v>576</v>
      </c>
      <c r="S109" s="54" t="s">
        <v>3480</v>
      </c>
      <c r="T109" s="54" t="s">
        <v>3480</v>
      </c>
      <c r="U109" s="54" t="s">
        <v>3480</v>
      </c>
      <c r="V109" s="57" t="s">
        <v>495</v>
      </c>
    </row>
    <row r="110" spans="1:22" ht="15" customHeight="1" x14ac:dyDescent="0.25">
      <c r="A110" s="54" t="s">
        <v>4194</v>
      </c>
      <c r="B110" s="54" t="s">
        <v>878</v>
      </c>
      <c r="C110" s="54" t="s">
        <v>3929</v>
      </c>
      <c r="D110" s="54" t="s">
        <v>3958</v>
      </c>
      <c r="E110" s="55">
        <v>3.8302</v>
      </c>
      <c r="F110" s="55">
        <v>0.82650000000000001</v>
      </c>
      <c r="G110" s="55">
        <f t="shared" si="6"/>
        <v>3</v>
      </c>
      <c r="H110" s="59">
        <f t="shared" si="7"/>
        <v>21.6</v>
      </c>
      <c r="I110" s="54" t="s">
        <v>4195</v>
      </c>
      <c r="J110" s="54" t="s">
        <v>3937</v>
      </c>
      <c r="K110" s="54" t="s">
        <v>3932</v>
      </c>
      <c r="L110" s="54" t="s">
        <v>3944</v>
      </c>
      <c r="M110" s="54" t="s">
        <v>576</v>
      </c>
      <c r="N110" s="54" t="s">
        <v>587</v>
      </c>
      <c r="O110" s="54" t="s">
        <v>3495</v>
      </c>
      <c r="P110" s="54" t="s">
        <v>3076</v>
      </c>
      <c r="Q110" s="54">
        <v>163</v>
      </c>
      <c r="R110" s="54" t="s">
        <v>576</v>
      </c>
      <c r="S110" s="54" t="s">
        <v>3480</v>
      </c>
      <c r="T110" s="54" t="s">
        <v>3965</v>
      </c>
      <c r="U110" s="54" t="s">
        <v>3480</v>
      </c>
      <c r="V110" s="57" t="s">
        <v>495</v>
      </c>
    </row>
    <row r="111" spans="1:22" ht="15" customHeight="1" x14ac:dyDescent="0.25">
      <c r="A111" s="50" t="s">
        <v>4196</v>
      </c>
      <c r="B111" s="50" t="s">
        <v>1840</v>
      </c>
      <c r="C111" s="50" t="s">
        <v>3474</v>
      </c>
      <c r="D111" s="50" t="s">
        <v>3947</v>
      </c>
      <c r="E111" s="51">
        <v>0.1047</v>
      </c>
      <c r="F111" s="51">
        <v>0.08</v>
      </c>
      <c r="G111" s="51">
        <f t="shared" si="6"/>
        <v>0.02</v>
      </c>
      <c r="H111" s="60">
        <f t="shared" si="7"/>
        <v>76.400000000000006</v>
      </c>
      <c r="I111" s="50" t="s">
        <v>4197</v>
      </c>
      <c r="J111" s="50" t="s">
        <v>3943</v>
      </c>
      <c r="K111" s="50" t="s">
        <v>3964</v>
      </c>
      <c r="L111" s="50" t="s">
        <v>99</v>
      </c>
      <c r="M111" s="50" t="s">
        <v>576</v>
      </c>
      <c r="N111" s="50" t="s">
        <v>576</v>
      </c>
      <c r="O111" s="50" t="s">
        <v>3940</v>
      </c>
      <c r="P111" s="50" t="s">
        <v>3049</v>
      </c>
      <c r="Q111" s="50">
        <v>326</v>
      </c>
      <c r="R111" s="50" t="s">
        <v>587</v>
      </c>
      <c r="S111" s="50" t="s">
        <v>587</v>
      </c>
      <c r="T111" s="50" t="s">
        <v>3480</v>
      </c>
      <c r="U111" s="50" t="s">
        <v>1652</v>
      </c>
      <c r="V111" s="53" t="s">
        <v>266</v>
      </c>
    </row>
    <row r="112" spans="1:22" ht="15" customHeight="1" x14ac:dyDescent="0.25">
      <c r="A112" s="50" t="s">
        <v>4198</v>
      </c>
      <c r="B112" s="50" t="s">
        <v>2257</v>
      </c>
      <c r="C112" s="50" t="s">
        <v>3951</v>
      </c>
      <c r="D112" s="50" t="s">
        <v>3974</v>
      </c>
      <c r="E112" s="51">
        <v>2.9672999999999998</v>
      </c>
      <c r="F112" s="51">
        <v>2.1082999999999998</v>
      </c>
      <c r="G112" s="51">
        <f t="shared" si="6"/>
        <v>0.86</v>
      </c>
      <c r="H112" s="60">
        <f t="shared" si="7"/>
        <v>71.099999999999994</v>
      </c>
      <c r="I112" s="50" t="s">
        <v>4199</v>
      </c>
      <c r="J112" s="50" t="s">
        <v>3937</v>
      </c>
      <c r="K112" s="50" t="s">
        <v>3991</v>
      </c>
      <c r="L112" s="50" t="s">
        <v>141</v>
      </c>
      <c r="M112" s="50" t="s">
        <v>587</v>
      </c>
      <c r="N112" s="50" t="s">
        <v>587</v>
      </c>
      <c r="O112" s="50" t="s">
        <v>3956</v>
      </c>
      <c r="P112" s="50" t="s">
        <v>3049</v>
      </c>
      <c r="Q112" s="50">
        <v>319</v>
      </c>
      <c r="R112" s="50" t="s">
        <v>576</v>
      </c>
      <c r="S112" s="50" t="s">
        <v>576</v>
      </c>
      <c r="T112" s="50" t="s">
        <v>3965</v>
      </c>
      <c r="U112" s="50" t="s">
        <v>3451</v>
      </c>
      <c r="V112" s="53" t="s">
        <v>266</v>
      </c>
    </row>
    <row r="113" spans="1:22" ht="15" customHeight="1" x14ac:dyDescent="0.25">
      <c r="A113" s="54" t="s">
        <v>4200</v>
      </c>
      <c r="B113" s="54" t="s">
        <v>1590</v>
      </c>
      <c r="C113" s="54" t="s">
        <v>3929</v>
      </c>
      <c r="D113" s="54" t="s">
        <v>3974</v>
      </c>
      <c r="E113" s="55">
        <v>3.4658000000000002</v>
      </c>
      <c r="F113" s="55">
        <v>1.2482</v>
      </c>
      <c r="G113" s="55">
        <f t="shared" si="6"/>
        <v>2.2200000000000002</v>
      </c>
      <c r="H113" s="59">
        <f t="shared" si="7"/>
        <v>36</v>
      </c>
      <c r="I113" s="54" t="s">
        <v>4201</v>
      </c>
      <c r="J113" s="54" t="s">
        <v>3937</v>
      </c>
      <c r="K113" s="54" t="s">
        <v>4017</v>
      </c>
      <c r="L113" s="54" t="s">
        <v>141</v>
      </c>
      <c r="M113" s="54" t="s">
        <v>576</v>
      </c>
      <c r="N113" s="54" t="s">
        <v>576</v>
      </c>
      <c r="O113" s="54" t="s">
        <v>3961</v>
      </c>
      <c r="P113" s="54" t="s">
        <v>661</v>
      </c>
      <c r="Q113" s="54">
        <v>288</v>
      </c>
      <c r="R113" s="54" t="s">
        <v>576</v>
      </c>
      <c r="S113" s="54" t="s">
        <v>3480</v>
      </c>
      <c r="T113" s="54" t="s">
        <v>3933</v>
      </c>
      <c r="U113" s="54" t="s">
        <v>3451</v>
      </c>
      <c r="V113" s="57" t="s">
        <v>495</v>
      </c>
    </row>
    <row r="114" spans="1:22" ht="25.5" customHeight="1" x14ac:dyDescent="0.25">
      <c r="A114" s="50" t="s">
        <v>4202</v>
      </c>
      <c r="B114" s="50" t="s">
        <v>4203</v>
      </c>
      <c r="C114" s="50" t="s">
        <v>1673</v>
      </c>
      <c r="D114" s="50" t="s">
        <v>3974</v>
      </c>
      <c r="E114" s="51">
        <v>6.6555999999999997</v>
      </c>
      <c r="F114" s="51">
        <v>5.1078000000000001</v>
      </c>
      <c r="G114" s="51">
        <f t="shared" si="6"/>
        <v>1.55</v>
      </c>
      <c r="H114" s="60">
        <f t="shared" si="7"/>
        <v>76.7</v>
      </c>
      <c r="I114" s="50" t="s">
        <v>4204</v>
      </c>
      <c r="J114" s="50" t="s">
        <v>4002</v>
      </c>
      <c r="K114" s="50" t="s">
        <v>3955</v>
      </c>
      <c r="L114" s="50" t="s">
        <v>99</v>
      </c>
      <c r="M114" s="50" t="s">
        <v>576</v>
      </c>
      <c r="N114" s="50" t="s">
        <v>576</v>
      </c>
      <c r="O114" s="50" t="s">
        <v>3512</v>
      </c>
      <c r="P114" s="50" t="s">
        <v>630</v>
      </c>
      <c r="Q114" s="50">
        <v>205</v>
      </c>
      <c r="R114" s="50" t="s">
        <v>587</v>
      </c>
      <c r="S114" s="50" t="s">
        <v>3480</v>
      </c>
      <c r="T114" s="50" t="s">
        <v>3480</v>
      </c>
      <c r="U114" s="50" t="s">
        <v>3480</v>
      </c>
      <c r="V114" s="53" t="s">
        <v>266</v>
      </c>
    </row>
    <row r="115" spans="1:22" ht="15" customHeight="1" x14ac:dyDescent="0.25">
      <c r="A115" s="54" t="s">
        <v>4205</v>
      </c>
      <c r="B115" s="54" t="s">
        <v>4206</v>
      </c>
      <c r="C115" s="54" t="s">
        <v>1673</v>
      </c>
      <c r="D115" s="54" t="s">
        <v>3974</v>
      </c>
      <c r="E115" s="55">
        <v>6.3291000000000004</v>
      </c>
      <c r="F115" s="55">
        <v>3.0381999999999998</v>
      </c>
      <c r="G115" s="55">
        <f t="shared" si="6"/>
        <v>3.29</v>
      </c>
      <c r="H115" s="59">
        <f t="shared" si="7"/>
        <v>48</v>
      </c>
      <c r="I115" s="54" t="s">
        <v>4207</v>
      </c>
      <c r="J115" s="54" t="s">
        <v>3954</v>
      </c>
      <c r="K115" s="54" t="s">
        <v>3938</v>
      </c>
      <c r="L115" s="54" t="s">
        <v>99</v>
      </c>
      <c r="M115" s="54" t="s">
        <v>576</v>
      </c>
      <c r="N115" s="54" t="s">
        <v>576</v>
      </c>
      <c r="O115" s="54" t="s">
        <v>3956</v>
      </c>
      <c r="P115" s="54" t="s">
        <v>3049</v>
      </c>
      <c r="Q115" s="54">
        <v>253</v>
      </c>
      <c r="R115" s="54" t="s">
        <v>576</v>
      </c>
      <c r="S115" s="54" t="s">
        <v>3480</v>
      </c>
      <c r="T115" s="54" t="s">
        <v>3933</v>
      </c>
      <c r="U115" s="54" t="s">
        <v>3480</v>
      </c>
      <c r="V115" s="57" t="s">
        <v>495</v>
      </c>
    </row>
    <row r="116" spans="1:22" ht="25.5" customHeight="1" x14ac:dyDescent="0.25">
      <c r="A116" s="46" t="s">
        <v>4208</v>
      </c>
      <c r="B116" s="46" t="s">
        <v>1615</v>
      </c>
      <c r="C116" s="46" t="s">
        <v>1666</v>
      </c>
      <c r="D116" s="46" t="s">
        <v>4037</v>
      </c>
      <c r="E116" s="47">
        <v>3.8477000000000001</v>
      </c>
      <c r="F116" s="47">
        <v>2.3940000000000001</v>
      </c>
      <c r="G116" s="47">
        <f t="shared" si="6"/>
        <v>1.45</v>
      </c>
      <c r="H116" s="61">
        <f t="shared" si="7"/>
        <v>62.2</v>
      </c>
      <c r="I116" s="46" t="s">
        <v>4209</v>
      </c>
      <c r="J116" s="46" t="s">
        <v>3943</v>
      </c>
      <c r="K116" s="46" t="s">
        <v>3938</v>
      </c>
      <c r="L116" s="46" t="s">
        <v>3944</v>
      </c>
      <c r="M116" s="46" t="s">
        <v>576</v>
      </c>
      <c r="N116" s="46" t="s">
        <v>587</v>
      </c>
      <c r="O116" s="46" t="s">
        <v>3983</v>
      </c>
      <c r="P116" s="46" t="s">
        <v>630</v>
      </c>
      <c r="Q116" s="46">
        <v>151</v>
      </c>
      <c r="R116" s="46" t="s">
        <v>576</v>
      </c>
      <c r="S116" s="46" t="s">
        <v>3480</v>
      </c>
      <c r="T116" s="46" t="s">
        <v>3933</v>
      </c>
      <c r="U116" s="46" t="s">
        <v>1652</v>
      </c>
      <c r="V116" s="49" t="s">
        <v>321</v>
      </c>
    </row>
    <row r="117" spans="1:22" ht="15" customHeight="1" x14ac:dyDescent="0.25">
      <c r="A117" s="54" t="s">
        <v>4210</v>
      </c>
      <c r="B117" s="54" t="s">
        <v>2105</v>
      </c>
      <c r="C117" s="54" t="s">
        <v>1673</v>
      </c>
      <c r="D117" s="54" t="s">
        <v>3930</v>
      </c>
      <c r="E117" s="55">
        <v>9.3956999999999997</v>
      </c>
      <c r="F117" s="55">
        <v>2.5402</v>
      </c>
      <c r="G117" s="55">
        <f t="shared" si="6"/>
        <v>6.86</v>
      </c>
      <c r="H117" s="59">
        <f t="shared" si="7"/>
        <v>27</v>
      </c>
      <c r="I117" s="54" t="s">
        <v>4211</v>
      </c>
      <c r="J117" s="54" t="s">
        <v>3954</v>
      </c>
      <c r="K117" s="54" t="s">
        <v>3955</v>
      </c>
      <c r="L117" s="54" t="s">
        <v>99</v>
      </c>
      <c r="M117" s="54" t="s">
        <v>576</v>
      </c>
      <c r="N117" s="54" t="s">
        <v>576</v>
      </c>
      <c r="O117" s="54" t="s">
        <v>3956</v>
      </c>
      <c r="P117" s="54" t="s">
        <v>578</v>
      </c>
      <c r="Q117" s="54">
        <v>228</v>
      </c>
      <c r="R117" s="54" t="s">
        <v>587</v>
      </c>
      <c r="S117" s="54" t="s">
        <v>3480</v>
      </c>
      <c r="T117" s="54" t="s">
        <v>3480</v>
      </c>
      <c r="U117" s="54" t="s">
        <v>3451</v>
      </c>
      <c r="V117" s="57" t="s">
        <v>495</v>
      </c>
    </row>
    <row r="118" spans="1:22" ht="15" customHeight="1" x14ac:dyDescent="0.25">
      <c r="A118" s="54" t="s">
        <v>4212</v>
      </c>
      <c r="B118" s="54" t="s">
        <v>779</v>
      </c>
      <c r="C118" s="54" t="s">
        <v>3946</v>
      </c>
      <c r="D118" s="54" t="s">
        <v>3947</v>
      </c>
      <c r="E118" s="55">
        <v>1.3553999999999999</v>
      </c>
      <c r="F118" s="55">
        <v>0.65180000000000005</v>
      </c>
      <c r="G118" s="55">
        <f t="shared" si="6"/>
        <v>0.7</v>
      </c>
      <c r="H118" s="59">
        <f t="shared" si="7"/>
        <v>48.1</v>
      </c>
      <c r="I118" s="54" t="s">
        <v>4213</v>
      </c>
      <c r="J118" s="54" t="s">
        <v>3943</v>
      </c>
      <c r="K118" s="54" t="s">
        <v>3932</v>
      </c>
      <c r="L118" s="54" t="s">
        <v>141</v>
      </c>
      <c r="M118" s="54" t="s">
        <v>587</v>
      </c>
      <c r="N118" s="54" t="s">
        <v>576</v>
      </c>
      <c r="O118" s="54" t="s">
        <v>3512</v>
      </c>
      <c r="P118" s="54" t="s">
        <v>621</v>
      </c>
      <c r="Q118" s="54">
        <v>216</v>
      </c>
      <c r="R118" s="54" t="s">
        <v>587</v>
      </c>
      <c r="S118" s="54" t="s">
        <v>3480</v>
      </c>
      <c r="T118" s="54" t="s">
        <v>1652</v>
      </c>
      <c r="U118" s="54" t="s">
        <v>3451</v>
      </c>
      <c r="V118" s="57" t="s">
        <v>495</v>
      </c>
    </row>
    <row r="119" spans="1:22" ht="25.5" customHeight="1" x14ac:dyDescent="0.25">
      <c r="A119" s="54" t="s">
        <v>4214</v>
      </c>
      <c r="B119" s="54" t="s">
        <v>2666</v>
      </c>
      <c r="C119" s="54" t="s">
        <v>3967</v>
      </c>
      <c r="D119" s="54" t="s">
        <v>4037</v>
      </c>
      <c r="E119" s="55">
        <v>0.50829999999999997</v>
      </c>
      <c r="F119" s="55">
        <v>7.0400000000000004E-2</v>
      </c>
      <c r="G119" s="55">
        <f t="shared" si="6"/>
        <v>0.44</v>
      </c>
      <c r="H119" s="59">
        <f t="shared" si="7"/>
        <v>13.9</v>
      </c>
      <c r="I119" s="54" t="s">
        <v>4215</v>
      </c>
      <c r="J119" s="54" t="s">
        <v>3943</v>
      </c>
      <c r="K119" s="54" t="s">
        <v>3991</v>
      </c>
      <c r="L119" s="54" t="s">
        <v>3944</v>
      </c>
      <c r="M119" s="54" t="s">
        <v>587</v>
      </c>
      <c r="N119" s="54" t="s">
        <v>576</v>
      </c>
      <c r="O119" s="54" t="s">
        <v>3512</v>
      </c>
      <c r="P119" s="54" t="s">
        <v>649</v>
      </c>
      <c r="Q119" s="54">
        <v>206</v>
      </c>
      <c r="R119" s="54" t="s">
        <v>587</v>
      </c>
      <c r="S119" s="54" t="s">
        <v>576</v>
      </c>
      <c r="T119" s="54" t="s">
        <v>3965</v>
      </c>
      <c r="U119" s="54" t="s">
        <v>3451</v>
      </c>
      <c r="V119" s="57" t="s">
        <v>495</v>
      </c>
    </row>
    <row r="120" spans="1:22" ht="15" customHeight="1" x14ac:dyDescent="0.25">
      <c r="A120" s="54" t="s">
        <v>4216</v>
      </c>
      <c r="B120" s="54" t="s">
        <v>2043</v>
      </c>
      <c r="C120" s="54" t="s">
        <v>3951</v>
      </c>
      <c r="D120" s="54" t="s">
        <v>3958</v>
      </c>
      <c r="E120" s="55">
        <v>8.0742999999999991</v>
      </c>
      <c r="F120" s="55">
        <v>3.9489000000000001</v>
      </c>
      <c r="G120" s="55">
        <f t="shared" si="6"/>
        <v>4.13</v>
      </c>
      <c r="H120" s="59">
        <f t="shared" si="7"/>
        <v>48.9</v>
      </c>
      <c r="I120" s="54" t="s">
        <v>4217</v>
      </c>
      <c r="J120" s="54" t="s">
        <v>3982</v>
      </c>
      <c r="K120" s="54" t="s">
        <v>3938</v>
      </c>
      <c r="L120" s="54" t="s">
        <v>99</v>
      </c>
      <c r="M120" s="54" t="s">
        <v>576</v>
      </c>
      <c r="N120" s="54" t="s">
        <v>587</v>
      </c>
      <c r="O120" s="54" t="s">
        <v>3495</v>
      </c>
      <c r="P120" s="54" t="s">
        <v>3049</v>
      </c>
      <c r="Q120" s="54">
        <v>205</v>
      </c>
      <c r="R120" s="54" t="s">
        <v>587</v>
      </c>
      <c r="S120" s="54" t="s">
        <v>587</v>
      </c>
      <c r="T120" s="54" t="s">
        <v>3480</v>
      </c>
      <c r="U120" s="54" t="s">
        <v>3451</v>
      </c>
      <c r="V120" s="57" t="s">
        <v>495</v>
      </c>
    </row>
    <row r="121" spans="1:22" ht="25.5" customHeight="1" x14ac:dyDescent="0.25">
      <c r="A121" s="54" t="s">
        <v>4218</v>
      </c>
      <c r="B121" s="54" t="s">
        <v>1791</v>
      </c>
      <c r="C121" s="54" t="s">
        <v>3970</v>
      </c>
      <c r="D121" s="54" t="s">
        <v>4004</v>
      </c>
      <c r="E121" s="55">
        <v>4.4687000000000001</v>
      </c>
      <c r="F121" s="55">
        <v>1.4038999999999999</v>
      </c>
      <c r="G121" s="55">
        <f t="shared" si="6"/>
        <v>3.06</v>
      </c>
      <c r="H121" s="59">
        <f t="shared" si="7"/>
        <v>31.4</v>
      </c>
      <c r="I121" s="54" t="s">
        <v>4219</v>
      </c>
      <c r="J121" s="54" t="s">
        <v>3954</v>
      </c>
      <c r="K121" s="54" t="s">
        <v>3955</v>
      </c>
      <c r="L121" s="54" t="s">
        <v>134</v>
      </c>
      <c r="M121" s="54" t="s">
        <v>587</v>
      </c>
      <c r="N121" s="54" t="s">
        <v>587</v>
      </c>
      <c r="O121" s="54" t="s">
        <v>3983</v>
      </c>
      <c r="P121" s="54" t="s">
        <v>656</v>
      </c>
      <c r="Q121" s="54">
        <v>162</v>
      </c>
      <c r="R121" s="54" t="s">
        <v>587</v>
      </c>
      <c r="S121" s="54" t="s">
        <v>3480</v>
      </c>
      <c r="T121" s="54" t="s">
        <v>3992</v>
      </c>
      <c r="U121" s="54" t="s">
        <v>3451</v>
      </c>
      <c r="V121" s="57" t="s">
        <v>495</v>
      </c>
    </row>
    <row r="122" spans="1:22" ht="25.5" customHeight="1" x14ac:dyDescent="0.25">
      <c r="A122" s="46" t="s">
        <v>4220</v>
      </c>
      <c r="B122" s="46" t="s">
        <v>4221</v>
      </c>
      <c r="C122" s="46" t="s">
        <v>3929</v>
      </c>
      <c r="D122" s="46" t="s">
        <v>3977</v>
      </c>
      <c r="E122" s="47">
        <v>1.3832</v>
      </c>
      <c r="F122" s="47">
        <v>0.77559999999999996</v>
      </c>
      <c r="G122" s="47">
        <f t="shared" si="6"/>
        <v>0.61</v>
      </c>
      <c r="H122" s="61">
        <f t="shared" si="7"/>
        <v>56.1</v>
      </c>
      <c r="I122" s="46" t="s">
        <v>4222</v>
      </c>
      <c r="J122" s="46" t="s">
        <v>3937</v>
      </c>
      <c r="K122" s="46" t="s">
        <v>3938</v>
      </c>
      <c r="L122" s="46" t="s">
        <v>141</v>
      </c>
      <c r="M122" s="46" t="s">
        <v>576</v>
      </c>
      <c r="N122" s="46" t="s">
        <v>576</v>
      </c>
      <c r="O122" s="46" t="s">
        <v>3940</v>
      </c>
      <c r="P122" s="46" t="s">
        <v>661</v>
      </c>
      <c r="Q122" s="46">
        <v>389</v>
      </c>
      <c r="R122" s="46" t="s">
        <v>587</v>
      </c>
      <c r="S122" s="46" t="s">
        <v>587</v>
      </c>
      <c r="T122" s="46" t="s">
        <v>3965</v>
      </c>
      <c r="U122" s="46" t="s">
        <v>1652</v>
      </c>
      <c r="V122" s="49" t="s">
        <v>321</v>
      </c>
    </row>
    <row r="123" spans="1:22" ht="15" customHeight="1" x14ac:dyDescent="0.25">
      <c r="A123" s="46" t="s">
        <v>4223</v>
      </c>
      <c r="B123" s="46" t="s">
        <v>2504</v>
      </c>
      <c r="C123" s="46" t="s">
        <v>3528</v>
      </c>
      <c r="D123" s="46" t="s">
        <v>3952</v>
      </c>
      <c r="E123" s="47">
        <v>7.0513000000000003</v>
      </c>
      <c r="F123" s="47">
        <v>4.2484000000000002</v>
      </c>
      <c r="G123" s="47">
        <f t="shared" si="6"/>
        <v>2.8</v>
      </c>
      <c r="H123" s="61">
        <f t="shared" si="7"/>
        <v>60.2</v>
      </c>
      <c r="I123" s="46" t="s">
        <v>4224</v>
      </c>
      <c r="J123" s="46" t="s">
        <v>3954</v>
      </c>
      <c r="K123" s="46" t="s">
        <v>3932</v>
      </c>
      <c r="L123" s="46" t="s">
        <v>134</v>
      </c>
      <c r="M123" s="46" t="s">
        <v>576</v>
      </c>
      <c r="N123" s="46" t="s">
        <v>576</v>
      </c>
      <c r="O123" s="46" t="s">
        <v>3956</v>
      </c>
      <c r="P123" s="46" t="s">
        <v>3076</v>
      </c>
      <c r="Q123" s="46">
        <v>61</v>
      </c>
      <c r="R123" s="46" t="s">
        <v>587</v>
      </c>
      <c r="S123" s="46" t="s">
        <v>587</v>
      </c>
      <c r="T123" s="46" t="s">
        <v>3933</v>
      </c>
      <c r="U123" s="46" t="s">
        <v>1652</v>
      </c>
      <c r="V123" s="49" t="s">
        <v>321</v>
      </c>
    </row>
    <row r="124" spans="1:22" ht="15" customHeight="1" x14ac:dyDescent="0.25">
      <c r="A124" s="54" t="s">
        <v>4225</v>
      </c>
      <c r="B124" s="54" t="s">
        <v>3537</v>
      </c>
      <c r="C124" s="54" t="s">
        <v>3474</v>
      </c>
      <c r="D124" s="54" t="s">
        <v>3947</v>
      </c>
      <c r="E124" s="55">
        <v>2.9977999999999998</v>
      </c>
      <c r="F124" s="55">
        <v>1.4812000000000001</v>
      </c>
      <c r="G124" s="55">
        <f t="shared" si="6"/>
        <v>1.52</v>
      </c>
      <c r="H124" s="59">
        <f t="shared" si="7"/>
        <v>49.4</v>
      </c>
      <c r="I124" s="54" t="s">
        <v>4226</v>
      </c>
      <c r="J124" s="54" t="s">
        <v>3943</v>
      </c>
      <c r="K124" s="54" t="s">
        <v>3991</v>
      </c>
      <c r="L124" s="54" t="s">
        <v>134</v>
      </c>
      <c r="M124" s="54" t="s">
        <v>587</v>
      </c>
      <c r="N124" s="54" t="s">
        <v>587</v>
      </c>
      <c r="O124" s="54" t="s">
        <v>3512</v>
      </c>
      <c r="P124" s="54" t="s">
        <v>3076</v>
      </c>
      <c r="Q124" s="54">
        <v>242</v>
      </c>
      <c r="R124" s="54" t="s">
        <v>576</v>
      </c>
      <c r="S124" s="54" t="s">
        <v>587</v>
      </c>
      <c r="T124" s="54" t="s">
        <v>1652</v>
      </c>
      <c r="U124" s="54" t="s">
        <v>3480</v>
      </c>
      <c r="V124" s="57" t="s">
        <v>495</v>
      </c>
    </row>
    <row r="125" spans="1:22" ht="15" customHeight="1" x14ac:dyDescent="0.25">
      <c r="A125" s="54" t="s">
        <v>4227</v>
      </c>
      <c r="B125" s="54" t="s">
        <v>1212</v>
      </c>
      <c r="C125" s="54" t="s">
        <v>1673</v>
      </c>
      <c r="D125" s="54" t="s">
        <v>3935</v>
      </c>
      <c r="E125" s="55">
        <v>0.33989999999999998</v>
      </c>
      <c r="F125" s="55">
        <v>8.7400000000000005E-2</v>
      </c>
      <c r="G125" s="55">
        <f t="shared" si="6"/>
        <v>0.25</v>
      </c>
      <c r="H125" s="59">
        <f t="shared" si="7"/>
        <v>25.7</v>
      </c>
      <c r="I125" s="54" t="s">
        <v>4228</v>
      </c>
      <c r="J125" s="54" t="s">
        <v>617</v>
      </c>
      <c r="K125" s="54" t="s">
        <v>3955</v>
      </c>
      <c r="L125" s="54" t="s">
        <v>141</v>
      </c>
      <c r="M125" s="54" t="s">
        <v>587</v>
      </c>
      <c r="N125" s="54" t="s">
        <v>587</v>
      </c>
      <c r="O125" s="54" t="s">
        <v>3961</v>
      </c>
      <c r="P125" s="54" t="s">
        <v>3049</v>
      </c>
      <c r="Q125" s="54">
        <v>78</v>
      </c>
      <c r="R125" s="54" t="s">
        <v>576</v>
      </c>
      <c r="S125" s="54" t="s">
        <v>576</v>
      </c>
      <c r="T125" s="54" t="s">
        <v>3965</v>
      </c>
      <c r="U125" s="54" t="s">
        <v>3480</v>
      </c>
      <c r="V125" s="57" t="s">
        <v>495</v>
      </c>
    </row>
    <row r="126" spans="1:22" ht="15" customHeight="1" x14ac:dyDescent="0.25">
      <c r="A126" s="54" t="s">
        <v>4229</v>
      </c>
      <c r="B126" s="54" t="s">
        <v>1615</v>
      </c>
      <c r="C126" s="54" t="s">
        <v>1673</v>
      </c>
      <c r="D126" s="54" t="s">
        <v>3977</v>
      </c>
      <c r="E126" s="55">
        <v>7.0172999999999996</v>
      </c>
      <c r="F126" s="55">
        <v>2.0543</v>
      </c>
      <c r="G126" s="55">
        <f t="shared" si="6"/>
        <v>4.96</v>
      </c>
      <c r="H126" s="59">
        <f t="shared" si="7"/>
        <v>29.3</v>
      </c>
      <c r="I126" s="54" t="s">
        <v>4230</v>
      </c>
      <c r="J126" s="54" t="s">
        <v>3943</v>
      </c>
      <c r="K126" s="54" t="s">
        <v>4017</v>
      </c>
      <c r="L126" s="54" t="s">
        <v>3944</v>
      </c>
      <c r="M126" s="54" t="s">
        <v>587</v>
      </c>
      <c r="N126" s="54" t="s">
        <v>587</v>
      </c>
      <c r="O126" s="54" t="s">
        <v>3983</v>
      </c>
      <c r="P126" s="54" t="s">
        <v>649</v>
      </c>
      <c r="Q126" s="54">
        <v>105</v>
      </c>
      <c r="R126" s="54" t="s">
        <v>587</v>
      </c>
      <c r="S126" s="54" t="s">
        <v>3480</v>
      </c>
      <c r="T126" s="54" t="s">
        <v>3992</v>
      </c>
      <c r="U126" s="54" t="s">
        <v>3480</v>
      </c>
      <c r="V126" s="57" t="s">
        <v>495</v>
      </c>
    </row>
    <row r="127" spans="1:22" ht="25.5" customHeight="1" x14ac:dyDescent="0.25">
      <c r="A127" s="54" t="s">
        <v>4231</v>
      </c>
      <c r="B127" s="54" t="s">
        <v>881</v>
      </c>
      <c r="C127" s="54" t="s">
        <v>3967</v>
      </c>
      <c r="D127" s="54" t="s">
        <v>3974</v>
      </c>
      <c r="E127" s="55">
        <v>2.0846</v>
      </c>
      <c r="F127" s="55">
        <v>0.31590000000000001</v>
      </c>
      <c r="G127" s="55">
        <f t="shared" si="6"/>
        <v>1.77</v>
      </c>
      <c r="H127" s="59">
        <f t="shared" si="7"/>
        <v>15.2</v>
      </c>
      <c r="I127" s="54" t="s">
        <v>4232</v>
      </c>
      <c r="J127" s="54" t="s">
        <v>3954</v>
      </c>
      <c r="K127" s="54" t="s">
        <v>3991</v>
      </c>
      <c r="L127" s="54" t="s">
        <v>141</v>
      </c>
      <c r="M127" s="54" t="s">
        <v>587</v>
      </c>
      <c r="N127" s="54" t="s">
        <v>587</v>
      </c>
      <c r="O127" s="54" t="s">
        <v>3956</v>
      </c>
      <c r="P127" s="54" t="s">
        <v>649</v>
      </c>
      <c r="Q127" s="54">
        <v>134</v>
      </c>
      <c r="R127" s="54" t="s">
        <v>576</v>
      </c>
      <c r="S127" s="54" t="s">
        <v>576</v>
      </c>
      <c r="T127" s="54" t="s">
        <v>3992</v>
      </c>
      <c r="U127" s="54" t="s">
        <v>3451</v>
      </c>
      <c r="V127" s="57" t="s">
        <v>495</v>
      </c>
    </row>
    <row r="128" spans="1:22" ht="25.5" customHeight="1" x14ac:dyDescent="0.25">
      <c r="A128" s="50" t="s">
        <v>4233</v>
      </c>
      <c r="B128" s="50" t="s">
        <v>2229</v>
      </c>
      <c r="C128" s="50" t="s">
        <v>3946</v>
      </c>
      <c r="D128" s="50" t="s">
        <v>3974</v>
      </c>
      <c r="E128" s="51">
        <v>0.3271</v>
      </c>
      <c r="F128" s="51">
        <v>0.24890000000000001</v>
      </c>
      <c r="G128" s="51">
        <f t="shared" si="6"/>
        <v>0.08</v>
      </c>
      <c r="H128" s="60">
        <f t="shared" si="7"/>
        <v>76.099999999999994</v>
      </c>
      <c r="I128" s="50" t="s">
        <v>4234</v>
      </c>
      <c r="J128" s="50" t="s">
        <v>3943</v>
      </c>
      <c r="K128" s="50" t="s">
        <v>4017</v>
      </c>
      <c r="L128" s="50" t="s">
        <v>3944</v>
      </c>
      <c r="M128" s="50" t="s">
        <v>576</v>
      </c>
      <c r="N128" s="50" t="s">
        <v>576</v>
      </c>
      <c r="O128" s="50" t="s">
        <v>3940</v>
      </c>
      <c r="P128" s="50" t="s">
        <v>656</v>
      </c>
      <c r="Q128" s="50">
        <v>176</v>
      </c>
      <c r="R128" s="50" t="s">
        <v>587</v>
      </c>
      <c r="S128" s="50" t="s">
        <v>3480</v>
      </c>
      <c r="T128" s="50" t="s">
        <v>3933</v>
      </c>
      <c r="U128" s="50" t="s">
        <v>3451</v>
      </c>
      <c r="V128" s="53" t="s">
        <v>266</v>
      </c>
    </row>
    <row r="129" spans="1:22" ht="25.5" customHeight="1" x14ac:dyDescent="0.25">
      <c r="A129" s="54" t="s">
        <v>4235</v>
      </c>
      <c r="B129" s="54" t="s">
        <v>3848</v>
      </c>
      <c r="C129" s="54" t="s">
        <v>3474</v>
      </c>
      <c r="D129" s="54" t="s">
        <v>3930</v>
      </c>
      <c r="E129" s="55">
        <v>5.6666999999999996</v>
      </c>
      <c r="F129" s="55">
        <v>2.1728000000000001</v>
      </c>
      <c r="G129" s="55">
        <f t="shared" si="6"/>
        <v>3.49</v>
      </c>
      <c r="H129" s="59">
        <f t="shared" si="7"/>
        <v>38.299999999999997</v>
      </c>
      <c r="I129" s="54" t="s">
        <v>4236</v>
      </c>
      <c r="J129" s="54" t="s">
        <v>3982</v>
      </c>
      <c r="K129" s="54" t="s">
        <v>3991</v>
      </c>
      <c r="L129" s="54" t="s">
        <v>141</v>
      </c>
      <c r="M129" s="54" t="s">
        <v>576</v>
      </c>
      <c r="N129" s="54" t="s">
        <v>576</v>
      </c>
      <c r="O129" s="54" t="s">
        <v>3495</v>
      </c>
      <c r="P129" s="54" t="s">
        <v>3076</v>
      </c>
      <c r="Q129" s="54">
        <v>194</v>
      </c>
      <c r="R129" s="54" t="s">
        <v>576</v>
      </c>
      <c r="S129" s="54" t="s">
        <v>3480</v>
      </c>
      <c r="T129" s="54" t="s">
        <v>3992</v>
      </c>
      <c r="U129" s="54" t="s">
        <v>3451</v>
      </c>
      <c r="V129" s="57" t="s">
        <v>495</v>
      </c>
    </row>
    <row r="130" spans="1:22" ht="15" customHeight="1" x14ac:dyDescent="0.25">
      <c r="A130" s="54" t="s">
        <v>4237</v>
      </c>
      <c r="B130" s="54" t="s">
        <v>4238</v>
      </c>
      <c r="C130" s="54" t="s">
        <v>1673</v>
      </c>
      <c r="D130" s="54" t="s">
        <v>3958</v>
      </c>
      <c r="E130" s="55">
        <v>1.1719999999999999</v>
      </c>
      <c r="F130" s="55">
        <v>0.40860000000000002</v>
      </c>
      <c r="G130" s="55">
        <f t="shared" si="6"/>
        <v>0.76</v>
      </c>
      <c r="H130" s="59">
        <f t="shared" si="7"/>
        <v>34.9</v>
      </c>
      <c r="I130" s="54" t="s">
        <v>4239</v>
      </c>
      <c r="J130" s="54" t="s">
        <v>4002</v>
      </c>
      <c r="K130" s="54" t="s">
        <v>3949</v>
      </c>
      <c r="L130" s="54" t="s">
        <v>134</v>
      </c>
      <c r="M130" s="54" t="s">
        <v>576</v>
      </c>
      <c r="N130" s="54" t="s">
        <v>576</v>
      </c>
      <c r="O130" s="54" t="s">
        <v>3956</v>
      </c>
      <c r="P130" s="54" t="s">
        <v>688</v>
      </c>
      <c r="Q130" s="54">
        <v>380</v>
      </c>
      <c r="R130" s="54" t="s">
        <v>576</v>
      </c>
      <c r="S130" s="54" t="s">
        <v>587</v>
      </c>
      <c r="T130" s="54" t="s">
        <v>3933</v>
      </c>
      <c r="U130" s="54" t="s">
        <v>3480</v>
      </c>
      <c r="V130" s="57" t="s">
        <v>495</v>
      </c>
    </row>
    <row r="131" spans="1:22" ht="15" customHeight="1" x14ac:dyDescent="0.25">
      <c r="A131" s="54" t="s">
        <v>4240</v>
      </c>
      <c r="B131" s="54" t="s">
        <v>1144</v>
      </c>
      <c r="C131" s="54" t="s">
        <v>1673</v>
      </c>
      <c r="D131" s="54" t="s">
        <v>3987</v>
      </c>
      <c r="E131" s="55">
        <v>0.70820000000000005</v>
      </c>
      <c r="F131" s="55">
        <v>0.18959999999999999</v>
      </c>
      <c r="G131" s="55">
        <f t="shared" ref="G131:G162" si="8">ROUND(E131-F131,2)</f>
        <v>0.52</v>
      </c>
      <c r="H131" s="59">
        <f t="shared" ref="H131:H162" si="9">ROUND(F131/E131*100,1)</f>
        <v>26.8</v>
      </c>
      <c r="I131" s="54" t="s">
        <v>4241</v>
      </c>
      <c r="J131" s="54" t="s">
        <v>3937</v>
      </c>
      <c r="K131" s="54" t="s">
        <v>4017</v>
      </c>
      <c r="L131" s="54" t="s">
        <v>3939</v>
      </c>
      <c r="M131" s="54" t="s">
        <v>587</v>
      </c>
      <c r="N131" s="54" t="s">
        <v>576</v>
      </c>
      <c r="O131" s="54" t="s">
        <v>3512</v>
      </c>
      <c r="P131" s="54" t="s">
        <v>667</v>
      </c>
      <c r="Q131" s="54">
        <v>174</v>
      </c>
      <c r="R131" s="54" t="s">
        <v>576</v>
      </c>
      <c r="S131" s="54" t="s">
        <v>3480</v>
      </c>
      <c r="T131" s="54" t="s">
        <v>1652</v>
      </c>
      <c r="U131" s="54" t="s">
        <v>3451</v>
      </c>
      <c r="V131" s="57" t="s">
        <v>495</v>
      </c>
    </row>
    <row r="132" spans="1:22" ht="15" customHeight="1" x14ac:dyDescent="0.25">
      <c r="A132" s="54" t="s">
        <v>4242</v>
      </c>
      <c r="B132" s="54" t="s">
        <v>1902</v>
      </c>
      <c r="C132" s="54" t="s">
        <v>3528</v>
      </c>
      <c r="D132" s="54" t="s">
        <v>3935</v>
      </c>
      <c r="E132" s="55">
        <v>3.1718999999999999</v>
      </c>
      <c r="F132" s="55">
        <v>1.0712999999999999</v>
      </c>
      <c r="G132" s="55">
        <f t="shared" si="8"/>
        <v>2.1</v>
      </c>
      <c r="H132" s="59">
        <f t="shared" si="9"/>
        <v>33.799999999999997</v>
      </c>
      <c r="I132" s="54" t="s">
        <v>4243</v>
      </c>
      <c r="J132" s="54" t="s">
        <v>4002</v>
      </c>
      <c r="K132" s="54" t="s">
        <v>3964</v>
      </c>
      <c r="L132" s="54" t="s">
        <v>141</v>
      </c>
      <c r="M132" s="54" t="s">
        <v>576</v>
      </c>
      <c r="N132" s="54" t="s">
        <v>576</v>
      </c>
      <c r="O132" s="54" t="s">
        <v>3940</v>
      </c>
      <c r="P132" s="54" t="s">
        <v>688</v>
      </c>
      <c r="Q132" s="54">
        <v>167</v>
      </c>
      <c r="R132" s="54" t="s">
        <v>587</v>
      </c>
      <c r="S132" s="54" t="s">
        <v>587</v>
      </c>
      <c r="T132" s="54" t="s">
        <v>3965</v>
      </c>
      <c r="U132" s="54" t="s">
        <v>1652</v>
      </c>
      <c r="V132" s="57" t="s">
        <v>495</v>
      </c>
    </row>
    <row r="133" spans="1:22" ht="15" customHeight="1" x14ac:dyDescent="0.25">
      <c r="A133" s="54" t="s">
        <v>4244</v>
      </c>
      <c r="B133" s="54" t="s">
        <v>4245</v>
      </c>
      <c r="C133" s="54" t="s">
        <v>4007</v>
      </c>
      <c r="D133" s="54" t="s">
        <v>4004</v>
      </c>
      <c r="E133" s="55">
        <v>2.6964000000000001</v>
      </c>
      <c r="F133" s="55">
        <v>0.35620000000000002</v>
      </c>
      <c r="G133" s="55">
        <f t="shared" si="8"/>
        <v>2.34</v>
      </c>
      <c r="H133" s="59">
        <f t="shared" si="9"/>
        <v>13.2</v>
      </c>
      <c r="I133" s="54" t="s">
        <v>4246</v>
      </c>
      <c r="J133" s="54" t="s">
        <v>4002</v>
      </c>
      <c r="K133" s="54" t="s">
        <v>3955</v>
      </c>
      <c r="L133" s="54" t="s">
        <v>3944</v>
      </c>
      <c r="M133" s="54" t="s">
        <v>576</v>
      </c>
      <c r="N133" s="54" t="s">
        <v>587</v>
      </c>
      <c r="O133" s="54" t="s">
        <v>3961</v>
      </c>
      <c r="P133" s="54" t="s">
        <v>688</v>
      </c>
      <c r="Q133" s="54">
        <v>360</v>
      </c>
      <c r="R133" s="54" t="s">
        <v>576</v>
      </c>
      <c r="S133" s="54" t="s">
        <v>587</v>
      </c>
      <c r="T133" s="54" t="s">
        <v>1652</v>
      </c>
      <c r="U133" s="54" t="s">
        <v>3451</v>
      </c>
      <c r="V133" s="57" t="s">
        <v>495</v>
      </c>
    </row>
    <row r="134" spans="1:22" ht="25.5" customHeight="1" x14ac:dyDescent="0.25">
      <c r="A134" s="54" t="s">
        <v>4247</v>
      </c>
      <c r="B134" s="54" t="s">
        <v>1328</v>
      </c>
      <c r="C134" s="54" t="s">
        <v>1666</v>
      </c>
      <c r="D134" s="54" t="s">
        <v>3952</v>
      </c>
      <c r="E134" s="55">
        <v>5.2080000000000002</v>
      </c>
      <c r="F134" s="55">
        <v>2.0849000000000002</v>
      </c>
      <c r="G134" s="55">
        <f t="shared" si="8"/>
        <v>3.12</v>
      </c>
      <c r="H134" s="59">
        <f t="shared" si="9"/>
        <v>40</v>
      </c>
      <c r="I134" s="54" t="s">
        <v>4248</v>
      </c>
      <c r="J134" s="54" t="s">
        <v>3937</v>
      </c>
      <c r="K134" s="54" t="s">
        <v>3960</v>
      </c>
      <c r="L134" s="54" t="s">
        <v>141</v>
      </c>
      <c r="M134" s="54" t="s">
        <v>587</v>
      </c>
      <c r="N134" s="54" t="s">
        <v>587</v>
      </c>
      <c r="O134" s="54" t="s">
        <v>3940</v>
      </c>
      <c r="P134" s="54" t="s">
        <v>597</v>
      </c>
      <c r="Q134" s="54">
        <v>301</v>
      </c>
      <c r="R134" s="54" t="s">
        <v>576</v>
      </c>
      <c r="S134" s="54" t="s">
        <v>3480</v>
      </c>
      <c r="T134" s="54" t="s">
        <v>3992</v>
      </c>
      <c r="U134" s="54" t="s">
        <v>1652</v>
      </c>
      <c r="V134" s="57" t="s">
        <v>495</v>
      </c>
    </row>
    <row r="135" spans="1:22" ht="15" customHeight="1" x14ac:dyDescent="0.25">
      <c r="A135" s="50" t="s">
        <v>4249</v>
      </c>
      <c r="B135" s="50" t="s">
        <v>1478</v>
      </c>
      <c r="C135" s="50" t="s">
        <v>1666</v>
      </c>
      <c r="D135" s="50" t="s">
        <v>3935</v>
      </c>
      <c r="E135" s="51">
        <v>8.7109000000000005</v>
      </c>
      <c r="F135" s="51">
        <v>6.0755999999999997</v>
      </c>
      <c r="G135" s="51">
        <f t="shared" si="8"/>
        <v>2.64</v>
      </c>
      <c r="H135" s="60">
        <f t="shared" si="9"/>
        <v>69.7</v>
      </c>
      <c r="I135" s="50" t="s">
        <v>4250</v>
      </c>
      <c r="J135" s="50" t="s">
        <v>3982</v>
      </c>
      <c r="K135" s="50" t="s">
        <v>3964</v>
      </c>
      <c r="L135" s="50" t="s">
        <v>134</v>
      </c>
      <c r="M135" s="50" t="s">
        <v>576</v>
      </c>
      <c r="N135" s="50" t="s">
        <v>587</v>
      </c>
      <c r="O135" s="50" t="s">
        <v>3495</v>
      </c>
      <c r="P135" s="50" t="s">
        <v>3049</v>
      </c>
      <c r="Q135" s="50">
        <v>281</v>
      </c>
      <c r="R135" s="50" t="s">
        <v>576</v>
      </c>
      <c r="S135" s="50" t="s">
        <v>3480</v>
      </c>
      <c r="T135" s="50" t="s">
        <v>3933</v>
      </c>
      <c r="U135" s="50" t="s">
        <v>3451</v>
      </c>
      <c r="V135" s="53" t="s">
        <v>266</v>
      </c>
    </row>
    <row r="136" spans="1:22" ht="15" customHeight="1" x14ac:dyDescent="0.25">
      <c r="A136" s="54" t="s">
        <v>4251</v>
      </c>
      <c r="B136" s="54" t="s">
        <v>2259</v>
      </c>
      <c r="C136" s="54" t="s">
        <v>4007</v>
      </c>
      <c r="D136" s="54" t="s">
        <v>4037</v>
      </c>
      <c r="E136" s="55">
        <v>5.4997999999999996</v>
      </c>
      <c r="F136" s="55">
        <v>1.4972000000000001</v>
      </c>
      <c r="G136" s="55">
        <f t="shared" si="8"/>
        <v>4</v>
      </c>
      <c r="H136" s="59">
        <f t="shared" si="9"/>
        <v>27.2</v>
      </c>
      <c r="I136" s="54" t="s">
        <v>4252</v>
      </c>
      <c r="J136" s="54" t="s">
        <v>3954</v>
      </c>
      <c r="K136" s="54" t="s">
        <v>3955</v>
      </c>
      <c r="L136" s="54" t="s">
        <v>134</v>
      </c>
      <c r="M136" s="54" t="s">
        <v>576</v>
      </c>
      <c r="N136" s="54" t="s">
        <v>587</v>
      </c>
      <c r="O136" s="54" t="s">
        <v>3940</v>
      </c>
      <c r="P136" s="54" t="s">
        <v>3049</v>
      </c>
      <c r="Q136" s="54">
        <v>77</v>
      </c>
      <c r="R136" s="54" t="s">
        <v>576</v>
      </c>
      <c r="S136" s="54" t="s">
        <v>587</v>
      </c>
      <c r="T136" s="54" t="s">
        <v>3965</v>
      </c>
      <c r="U136" s="54" t="s">
        <v>3451</v>
      </c>
      <c r="V136" s="57" t="s">
        <v>495</v>
      </c>
    </row>
    <row r="137" spans="1:22" ht="15" customHeight="1" x14ac:dyDescent="0.25">
      <c r="A137" s="46" t="s">
        <v>4253</v>
      </c>
      <c r="B137" s="46" t="s">
        <v>4254</v>
      </c>
      <c r="C137" s="46" t="s">
        <v>1673</v>
      </c>
      <c r="D137" s="46" t="s">
        <v>3958</v>
      </c>
      <c r="E137" s="47">
        <v>6.8451000000000004</v>
      </c>
      <c r="F137" s="47">
        <v>3.6654</v>
      </c>
      <c r="G137" s="47">
        <f t="shared" si="8"/>
        <v>3.18</v>
      </c>
      <c r="H137" s="61">
        <f t="shared" si="9"/>
        <v>53.5</v>
      </c>
      <c r="I137" s="46" t="s">
        <v>4255</v>
      </c>
      <c r="J137" s="46" t="s">
        <v>3937</v>
      </c>
      <c r="K137" s="46" t="s">
        <v>4017</v>
      </c>
      <c r="L137" s="46" t="s">
        <v>3939</v>
      </c>
      <c r="M137" s="46" t="s">
        <v>587</v>
      </c>
      <c r="N137" s="46" t="s">
        <v>576</v>
      </c>
      <c r="O137" s="46" t="s">
        <v>3983</v>
      </c>
      <c r="P137" s="46" t="s">
        <v>667</v>
      </c>
      <c r="Q137" s="46">
        <v>8</v>
      </c>
      <c r="R137" s="46" t="s">
        <v>576</v>
      </c>
      <c r="S137" s="46" t="s">
        <v>3480</v>
      </c>
      <c r="T137" s="46" t="s">
        <v>3933</v>
      </c>
      <c r="U137" s="46" t="s">
        <v>1652</v>
      </c>
      <c r="V137" s="49" t="s">
        <v>321</v>
      </c>
    </row>
    <row r="138" spans="1:22" ht="15" customHeight="1" x14ac:dyDescent="0.25">
      <c r="A138" s="54" t="s">
        <v>4256</v>
      </c>
      <c r="B138" s="54" t="s">
        <v>1466</v>
      </c>
      <c r="C138" s="54" t="s">
        <v>4007</v>
      </c>
      <c r="D138" s="54" t="s">
        <v>4037</v>
      </c>
      <c r="E138" s="55">
        <v>4.8419999999999996</v>
      </c>
      <c r="F138" s="55">
        <v>1.9166000000000001</v>
      </c>
      <c r="G138" s="55">
        <f t="shared" si="8"/>
        <v>2.93</v>
      </c>
      <c r="H138" s="59">
        <f t="shared" si="9"/>
        <v>39.6</v>
      </c>
      <c r="I138" s="54" t="s">
        <v>4257</v>
      </c>
      <c r="J138" s="54" t="s">
        <v>617</v>
      </c>
      <c r="K138" s="54" t="s">
        <v>3964</v>
      </c>
      <c r="L138" s="54" t="s">
        <v>134</v>
      </c>
      <c r="M138" s="54" t="s">
        <v>587</v>
      </c>
      <c r="N138" s="54" t="s">
        <v>576</v>
      </c>
      <c r="O138" s="54" t="s">
        <v>3512</v>
      </c>
      <c r="P138" s="54" t="s">
        <v>597</v>
      </c>
      <c r="Q138" s="54">
        <v>383</v>
      </c>
      <c r="R138" s="54" t="s">
        <v>576</v>
      </c>
      <c r="S138" s="54" t="s">
        <v>576</v>
      </c>
      <c r="T138" s="54" t="s">
        <v>3933</v>
      </c>
      <c r="U138" s="54" t="s">
        <v>1652</v>
      </c>
      <c r="V138" s="57" t="s">
        <v>495</v>
      </c>
    </row>
    <row r="139" spans="1:22" ht="15" customHeight="1" x14ac:dyDescent="0.25">
      <c r="A139" s="50" t="s">
        <v>4258</v>
      </c>
      <c r="B139" s="50" t="s">
        <v>2986</v>
      </c>
      <c r="C139" s="50" t="s">
        <v>3951</v>
      </c>
      <c r="D139" s="50" t="s">
        <v>3987</v>
      </c>
      <c r="E139" s="51">
        <v>4.3220000000000001</v>
      </c>
      <c r="F139" s="51">
        <v>3.9824999999999999</v>
      </c>
      <c r="G139" s="51">
        <f t="shared" si="8"/>
        <v>0.34</v>
      </c>
      <c r="H139" s="60">
        <f t="shared" si="9"/>
        <v>92.1</v>
      </c>
      <c r="I139" s="50" t="s">
        <v>4259</v>
      </c>
      <c r="J139" s="50" t="s">
        <v>617</v>
      </c>
      <c r="K139" s="50" t="s">
        <v>3949</v>
      </c>
      <c r="L139" s="50" t="s">
        <v>99</v>
      </c>
      <c r="M139" s="50" t="s">
        <v>576</v>
      </c>
      <c r="N139" s="50" t="s">
        <v>587</v>
      </c>
      <c r="O139" s="50" t="s">
        <v>3956</v>
      </c>
      <c r="P139" s="50" t="s">
        <v>3052</v>
      </c>
      <c r="Q139" s="50">
        <v>9</v>
      </c>
      <c r="R139" s="50" t="s">
        <v>587</v>
      </c>
      <c r="S139" s="50" t="s">
        <v>576</v>
      </c>
      <c r="T139" s="50" t="s">
        <v>3480</v>
      </c>
      <c r="U139" s="50" t="s">
        <v>3480</v>
      </c>
      <c r="V139" s="53" t="s">
        <v>266</v>
      </c>
    </row>
    <row r="140" spans="1:22" ht="15" customHeight="1" x14ac:dyDescent="0.25">
      <c r="A140" s="50" t="s">
        <v>4260</v>
      </c>
      <c r="B140" s="50" t="s">
        <v>1402</v>
      </c>
      <c r="C140" s="50" t="s">
        <v>4007</v>
      </c>
      <c r="D140" s="50" t="s">
        <v>3935</v>
      </c>
      <c r="E140" s="51">
        <v>4.7445000000000004</v>
      </c>
      <c r="F140" s="51">
        <v>4.165</v>
      </c>
      <c r="G140" s="51">
        <f t="shared" si="8"/>
        <v>0.57999999999999996</v>
      </c>
      <c r="H140" s="60">
        <f t="shared" si="9"/>
        <v>87.8</v>
      </c>
      <c r="I140" s="50" t="s">
        <v>4261</v>
      </c>
      <c r="J140" s="50" t="s">
        <v>4002</v>
      </c>
      <c r="K140" s="50" t="s">
        <v>3932</v>
      </c>
      <c r="L140" s="50" t="s">
        <v>99</v>
      </c>
      <c r="M140" s="50" t="s">
        <v>587</v>
      </c>
      <c r="N140" s="50" t="s">
        <v>576</v>
      </c>
      <c r="O140" s="50" t="s">
        <v>3512</v>
      </c>
      <c r="P140" s="50" t="s">
        <v>3052</v>
      </c>
      <c r="Q140" s="50">
        <v>251</v>
      </c>
      <c r="R140" s="50" t="s">
        <v>587</v>
      </c>
      <c r="S140" s="50" t="s">
        <v>576</v>
      </c>
      <c r="T140" s="50" t="s">
        <v>1652</v>
      </c>
      <c r="U140" s="50" t="s">
        <v>3480</v>
      </c>
      <c r="V140" s="53" t="s">
        <v>266</v>
      </c>
    </row>
    <row r="141" spans="1:22" ht="25.5" customHeight="1" x14ac:dyDescent="0.25">
      <c r="A141" s="54" t="s">
        <v>4262</v>
      </c>
      <c r="B141" s="54" t="s">
        <v>2578</v>
      </c>
      <c r="C141" s="54" t="s">
        <v>1673</v>
      </c>
      <c r="D141" s="54" t="s">
        <v>3935</v>
      </c>
      <c r="E141" s="55">
        <v>9.0832999999999995</v>
      </c>
      <c r="F141" s="55">
        <v>1.6512</v>
      </c>
      <c r="G141" s="55">
        <f t="shared" si="8"/>
        <v>7.43</v>
      </c>
      <c r="H141" s="59">
        <f t="shared" si="9"/>
        <v>18.2</v>
      </c>
      <c r="I141" s="54" t="s">
        <v>4263</v>
      </c>
      <c r="J141" s="54" t="s">
        <v>3954</v>
      </c>
      <c r="K141" s="54" t="s">
        <v>3932</v>
      </c>
      <c r="L141" s="54" t="s">
        <v>99</v>
      </c>
      <c r="M141" s="54" t="s">
        <v>576</v>
      </c>
      <c r="N141" s="54" t="s">
        <v>587</v>
      </c>
      <c r="O141" s="54" t="s">
        <v>3512</v>
      </c>
      <c r="P141" s="54" t="s">
        <v>578</v>
      </c>
      <c r="Q141" s="54">
        <v>255</v>
      </c>
      <c r="R141" s="54" t="s">
        <v>576</v>
      </c>
      <c r="S141" s="54" t="s">
        <v>3480</v>
      </c>
      <c r="T141" s="54" t="s">
        <v>1652</v>
      </c>
      <c r="U141" s="54" t="s">
        <v>3451</v>
      </c>
      <c r="V141" s="57" t="s">
        <v>495</v>
      </c>
    </row>
    <row r="142" spans="1:22" ht="25.5" customHeight="1" x14ac:dyDescent="0.25">
      <c r="A142" s="54" t="s">
        <v>4264</v>
      </c>
      <c r="B142" s="54" t="s">
        <v>3824</v>
      </c>
      <c r="C142" s="54" t="s">
        <v>4007</v>
      </c>
      <c r="D142" s="54" t="s">
        <v>3935</v>
      </c>
      <c r="E142" s="55">
        <v>9.8559999999999999</v>
      </c>
      <c r="F142" s="55">
        <v>1.3260000000000001</v>
      </c>
      <c r="G142" s="55">
        <f t="shared" si="8"/>
        <v>8.5299999999999994</v>
      </c>
      <c r="H142" s="59">
        <f t="shared" si="9"/>
        <v>13.5</v>
      </c>
      <c r="I142" s="54" t="s">
        <v>4265</v>
      </c>
      <c r="J142" s="54" t="s">
        <v>3943</v>
      </c>
      <c r="K142" s="54" t="s">
        <v>4017</v>
      </c>
      <c r="L142" s="54" t="s">
        <v>141</v>
      </c>
      <c r="M142" s="54" t="s">
        <v>587</v>
      </c>
      <c r="N142" s="54" t="s">
        <v>576</v>
      </c>
      <c r="O142" s="54" t="s">
        <v>3940</v>
      </c>
      <c r="P142" s="54" t="s">
        <v>597</v>
      </c>
      <c r="Q142" s="54">
        <v>368</v>
      </c>
      <c r="R142" s="54" t="s">
        <v>587</v>
      </c>
      <c r="S142" s="54" t="s">
        <v>587</v>
      </c>
      <c r="T142" s="54" t="s">
        <v>3965</v>
      </c>
      <c r="U142" s="54" t="s">
        <v>3451</v>
      </c>
      <c r="V142" s="57" t="s">
        <v>495</v>
      </c>
    </row>
    <row r="143" spans="1:22" ht="15" customHeight="1" x14ac:dyDescent="0.25">
      <c r="A143" s="46" t="s">
        <v>4266</v>
      </c>
      <c r="B143" s="46" t="s">
        <v>1562</v>
      </c>
      <c r="C143" s="46" t="s">
        <v>3929</v>
      </c>
      <c r="D143" s="46" t="s">
        <v>3987</v>
      </c>
      <c r="E143" s="47">
        <v>0.50290000000000001</v>
      </c>
      <c r="F143" s="47">
        <v>0.30099999999999999</v>
      </c>
      <c r="G143" s="47">
        <f t="shared" si="8"/>
        <v>0.2</v>
      </c>
      <c r="H143" s="61">
        <f t="shared" si="9"/>
        <v>59.9</v>
      </c>
      <c r="I143" s="46" t="s">
        <v>4267</v>
      </c>
      <c r="J143" s="46" t="s">
        <v>3937</v>
      </c>
      <c r="K143" s="46" t="s">
        <v>3964</v>
      </c>
      <c r="L143" s="46" t="s">
        <v>99</v>
      </c>
      <c r="M143" s="46" t="s">
        <v>587</v>
      </c>
      <c r="N143" s="46" t="s">
        <v>587</v>
      </c>
      <c r="O143" s="46" t="s">
        <v>3983</v>
      </c>
      <c r="P143" s="46" t="s">
        <v>656</v>
      </c>
      <c r="Q143" s="46">
        <v>319</v>
      </c>
      <c r="R143" s="46" t="s">
        <v>587</v>
      </c>
      <c r="S143" s="46" t="s">
        <v>576</v>
      </c>
      <c r="T143" s="46" t="s">
        <v>3992</v>
      </c>
      <c r="U143" s="46" t="s">
        <v>3451</v>
      </c>
      <c r="V143" s="49" t="s">
        <v>321</v>
      </c>
    </row>
    <row r="144" spans="1:22" ht="15" customHeight="1" x14ac:dyDescent="0.25">
      <c r="A144" s="54" t="s">
        <v>4268</v>
      </c>
      <c r="B144" s="54" t="s">
        <v>1278</v>
      </c>
      <c r="C144" s="54" t="s">
        <v>3929</v>
      </c>
      <c r="D144" s="54" t="s">
        <v>3952</v>
      </c>
      <c r="E144" s="55">
        <v>2.0430999999999999</v>
      </c>
      <c r="F144" s="55">
        <v>0.94599999999999995</v>
      </c>
      <c r="G144" s="55">
        <f t="shared" si="8"/>
        <v>1.1000000000000001</v>
      </c>
      <c r="H144" s="59">
        <f t="shared" si="9"/>
        <v>46.3</v>
      </c>
      <c r="I144" s="54" t="s">
        <v>4269</v>
      </c>
      <c r="J144" s="54" t="s">
        <v>3943</v>
      </c>
      <c r="K144" s="54" t="s">
        <v>3955</v>
      </c>
      <c r="L144" s="54" t="s">
        <v>99</v>
      </c>
      <c r="M144" s="54" t="s">
        <v>576</v>
      </c>
      <c r="N144" s="54" t="s">
        <v>576</v>
      </c>
      <c r="O144" s="54" t="s">
        <v>3495</v>
      </c>
      <c r="P144" s="54" t="s">
        <v>667</v>
      </c>
      <c r="Q144" s="54">
        <v>324</v>
      </c>
      <c r="R144" s="54" t="s">
        <v>576</v>
      </c>
      <c r="S144" s="54" t="s">
        <v>587</v>
      </c>
      <c r="T144" s="54" t="s">
        <v>1652</v>
      </c>
      <c r="U144" s="54" t="s">
        <v>3451</v>
      </c>
      <c r="V144" s="57" t="s">
        <v>495</v>
      </c>
    </row>
    <row r="145" spans="1:22" ht="25.5" customHeight="1" x14ac:dyDescent="0.25">
      <c r="A145" s="50" t="s">
        <v>4270</v>
      </c>
      <c r="B145" s="50" t="s">
        <v>2257</v>
      </c>
      <c r="C145" s="50" t="s">
        <v>4007</v>
      </c>
      <c r="D145" s="50" t="s">
        <v>3947</v>
      </c>
      <c r="E145" s="51">
        <v>4.2712000000000003</v>
      </c>
      <c r="F145" s="51">
        <v>3.1438000000000001</v>
      </c>
      <c r="G145" s="51">
        <f t="shared" si="8"/>
        <v>1.1299999999999999</v>
      </c>
      <c r="H145" s="60">
        <f t="shared" si="9"/>
        <v>73.599999999999994</v>
      </c>
      <c r="I145" s="50" t="s">
        <v>4271</v>
      </c>
      <c r="J145" s="50" t="s">
        <v>3937</v>
      </c>
      <c r="K145" s="50" t="s">
        <v>3960</v>
      </c>
      <c r="L145" s="50" t="s">
        <v>141</v>
      </c>
      <c r="M145" s="50" t="s">
        <v>587</v>
      </c>
      <c r="N145" s="50" t="s">
        <v>576</v>
      </c>
      <c r="O145" s="50" t="s">
        <v>3512</v>
      </c>
      <c r="P145" s="50" t="s">
        <v>3052</v>
      </c>
      <c r="Q145" s="50">
        <v>54</v>
      </c>
      <c r="R145" s="50" t="s">
        <v>576</v>
      </c>
      <c r="S145" s="50" t="s">
        <v>576</v>
      </c>
      <c r="T145" s="50" t="s">
        <v>3965</v>
      </c>
      <c r="U145" s="50" t="s">
        <v>3480</v>
      </c>
      <c r="V145" s="53" t="s">
        <v>266</v>
      </c>
    </row>
    <row r="146" spans="1:22" ht="15" customHeight="1" x14ac:dyDescent="0.25">
      <c r="A146" s="54" t="s">
        <v>4272</v>
      </c>
      <c r="B146" s="54" t="s">
        <v>1468</v>
      </c>
      <c r="C146" s="54" t="s">
        <v>3929</v>
      </c>
      <c r="D146" s="54" t="s">
        <v>3930</v>
      </c>
      <c r="E146" s="55">
        <v>0.4042</v>
      </c>
      <c r="F146" s="55">
        <v>3.2099999999999997E-2</v>
      </c>
      <c r="G146" s="55">
        <f t="shared" si="8"/>
        <v>0.37</v>
      </c>
      <c r="H146" s="59">
        <f t="shared" si="9"/>
        <v>7.9</v>
      </c>
      <c r="I146" s="54" t="s">
        <v>4273</v>
      </c>
      <c r="J146" s="54" t="s">
        <v>3982</v>
      </c>
      <c r="K146" s="54" t="s">
        <v>3964</v>
      </c>
      <c r="L146" s="54" t="s">
        <v>134</v>
      </c>
      <c r="M146" s="54" t="s">
        <v>587</v>
      </c>
      <c r="N146" s="54" t="s">
        <v>587</v>
      </c>
      <c r="O146" s="54" t="s">
        <v>3961</v>
      </c>
      <c r="P146" s="54" t="s">
        <v>621</v>
      </c>
      <c r="Q146" s="54">
        <v>289</v>
      </c>
      <c r="R146" s="54" t="s">
        <v>576</v>
      </c>
      <c r="S146" s="54" t="s">
        <v>576</v>
      </c>
      <c r="T146" s="54" t="s">
        <v>3933</v>
      </c>
      <c r="U146" s="54" t="s">
        <v>3451</v>
      </c>
      <c r="V146" s="57" t="s">
        <v>495</v>
      </c>
    </row>
    <row r="147" spans="1:22" ht="15" customHeight="1" x14ac:dyDescent="0.25">
      <c r="A147" s="50" t="s">
        <v>4274</v>
      </c>
      <c r="B147" s="50" t="s">
        <v>1287</v>
      </c>
      <c r="C147" s="50" t="s">
        <v>3967</v>
      </c>
      <c r="D147" s="50" t="s">
        <v>3947</v>
      </c>
      <c r="E147" s="51">
        <v>3.6457999999999999</v>
      </c>
      <c r="F147" s="51">
        <v>3.1171000000000002</v>
      </c>
      <c r="G147" s="51">
        <f t="shared" si="8"/>
        <v>0.53</v>
      </c>
      <c r="H147" s="60">
        <f t="shared" si="9"/>
        <v>85.5</v>
      </c>
      <c r="I147" s="50" t="s">
        <v>4275</v>
      </c>
      <c r="J147" s="50" t="s">
        <v>3954</v>
      </c>
      <c r="K147" s="50" t="s">
        <v>3960</v>
      </c>
      <c r="L147" s="50" t="s">
        <v>134</v>
      </c>
      <c r="M147" s="50" t="s">
        <v>587</v>
      </c>
      <c r="N147" s="50" t="s">
        <v>587</v>
      </c>
      <c r="O147" s="50" t="s">
        <v>3961</v>
      </c>
      <c r="P147" s="50" t="s">
        <v>630</v>
      </c>
      <c r="Q147" s="50">
        <v>134</v>
      </c>
      <c r="R147" s="50" t="s">
        <v>587</v>
      </c>
      <c r="S147" s="50" t="s">
        <v>576</v>
      </c>
      <c r="T147" s="50" t="s">
        <v>3480</v>
      </c>
      <c r="U147" s="50" t="s">
        <v>3451</v>
      </c>
      <c r="V147" s="53" t="s">
        <v>266</v>
      </c>
    </row>
    <row r="148" spans="1:22" ht="15" customHeight="1" x14ac:dyDescent="0.25">
      <c r="A148" s="54" t="s">
        <v>4276</v>
      </c>
      <c r="B148" s="54" t="s">
        <v>1754</v>
      </c>
      <c r="C148" s="54" t="s">
        <v>3929</v>
      </c>
      <c r="D148" s="54" t="s">
        <v>3987</v>
      </c>
      <c r="E148" s="55">
        <v>6.8198999999999996</v>
      </c>
      <c r="F148" s="55">
        <v>1.8145</v>
      </c>
      <c r="G148" s="55">
        <f t="shared" si="8"/>
        <v>5.01</v>
      </c>
      <c r="H148" s="59">
        <f t="shared" si="9"/>
        <v>26.6</v>
      </c>
      <c r="I148" s="54" t="s">
        <v>4277</v>
      </c>
      <c r="J148" s="54" t="s">
        <v>4002</v>
      </c>
      <c r="K148" s="54" t="s">
        <v>3964</v>
      </c>
      <c r="L148" s="54" t="s">
        <v>141</v>
      </c>
      <c r="M148" s="54" t="s">
        <v>587</v>
      </c>
      <c r="N148" s="54" t="s">
        <v>576</v>
      </c>
      <c r="O148" s="54" t="s">
        <v>3512</v>
      </c>
      <c r="P148" s="54" t="s">
        <v>649</v>
      </c>
      <c r="Q148" s="54">
        <v>221</v>
      </c>
      <c r="R148" s="54" t="s">
        <v>587</v>
      </c>
      <c r="S148" s="54" t="s">
        <v>576</v>
      </c>
      <c r="T148" s="54" t="s">
        <v>3480</v>
      </c>
      <c r="U148" s="54" t="s">
        <v>1652</v>
      </c>
      <c r="V148" s="57" t="s">
        <v>495</v>
      </c>
    </row>
    <row r="149" spans="1:22" ht="15" customHeight="1" x14ac:dyDescent="0.25">
      <c r="A149" s="50" t="s">
        <v>4278</v>
      </c>
      <c r="B149" s="50" t="s">
        <v>4279</v>
      </c>
      <c r="C149" s="50" t="s">
        <v>3929</v>
      </c>
      <c r="D149" s="50" t="s">
        <v>4004</v>
      </c>
      <c r="E149" s="51">
        <v>3.3974000000000002</v>
      </c>
      <c r="F149" s="51">
        <v>2.7942999999999998</v>
      </c>
      <c r="G149" s="51">
        <f t="shared" si="8"/>
        <v>0.6</v>
      </c>
      <c r="H149" s="60">
        <f t="shared" si="9"/>
        <v>82.2</v>
      </c>
      <c r="I149" s="50" t="s">
        <v>4280</v>
      </c>
      <c r="J149" s="50" t="s">
        <v>3954</v>
      </c>
      <c r="K149" s="50" t="s">
        <v>3949</v>
      </c>
      <c r="L149" s="50" t="s">
        <v>99</v>
      </c>
      <c r="M149" s="50" t="s">
        <v>587</v>
      </c>
      <c r="N149" s="50" t="s">
        <v>576</v>
      </c>
      <c r="O149" s="50" t="s">
        <v>3983</v>
      </c>
      <c r="P149" s="50" t="s">
        <v>656</v>
      </c>
      <c r="Q149" s="50">
        <v>357</v>
      </c>
      <c r="R149" s="50" t="s">
        <v>576</v>
      </c>
      <c r="S149" s="50" t="s">
        <v>576</v>
      </c>
      <c r="T149" s="50" t="s">
        <v>3480</v>
      </c>
      <c r="U149" s="50" t="s">
        <v>3451</v>
      </c>
      <c r="V149" s="53" t="s">
        <v>266</v>
      </c>
    </row>
    <row r="150" spans="1:22" ht="15" customHeight="1" x14ac:dyDescent="0.25">
      <c r="A150" s="50" t="s">
        <v>4281</v>
      </c>
      <c r="B150" s="50" t="s">
        <v>1948</v>
      </c>
      <c r="C150" s="50" t="s">
        <v>1673</v>
      </c>
      <c r="D150" s="50" t="s">
        <v>3958</v>
      </c>
      <c r="E150" s="51">
        <v>3.1114999999999999</v>
      </c>
      <c r="F150" s="51">
        <v>2.2454000000000001</v>
      </c>
      <c r="G150" s="51">
        <f t="shared" si="8"/>
        <v>0.87</v>
      </c>
      <c r="H150" s="60">
        <f t="shared" si="9"/>
        <v>72.2</v>
      </c>
      <c r="I150" s="50" t="s">
        <v>4282</v>
      </c>
      <c r="J150" s="50" t="s">
        <v>3982</v>
      </c>
      <c r="K150" s="50" t="s">
        <v>3960</v>
      </c>
      <c r="L150" s="50" t="s">
        <v>3939</v>
      </c>
      <c r="M150" s="50" t="s">
        <v>576</v>
      </c>
      <c r="N150" s="50" t="s">
        <v>587</v>
      </c>
      <c r="O150" s="50" t="s">
        <v>3495</v>
      </c>
      <c r="P150" s="50" t="s">
        <v>667</v>
      </c>
      <c r="Q150" s="50">
        <v>78</v>
      </c>
      <c r="R150" s="50" t="s">
        <v>587</v>
      </c>
      <c r="S150" s="50" t="s">
        <v>576</v>
      </c>
      <c r="T150" s="50" t="s">
        <v>3965</v>
      </c>
      <c r="U150" s="50" t="s">
        <v>3480</v>
      </c>
      <c r="V150" s="53" t="s">
        <v>266</v>
      </c>
    </row>
    <row r="151" spans="1:22" ht="25.5" customHeight="1" x14ac:dyDescent="0.25">
      <c r="A151" s="54" t="s">
        <v>4283</v>
      </c>
      <c r="B151" s="54" t="s">
        <v>1594</v>
      </c>
      <c r="C151" s="54" t="s">
        <v>1673</v>
      </c>
      <c r="D151" s="54" t="s">
        <v>3947</v>
      </c>
      <c r="E151" s="55">
        <v>9.8847000000000005</v>
      </c>
      <c r="F151" s="55">
        <v>3.3433999999999999</v>
      </c>
      <c r="G151" s="55">
        <f t="shared" si="8"/>
        <v>6.54</v>
      </c>
      <c r="H151" s="59">
        <f t="shared" si="9"/>
        <v>33.799999999999997</v>
      </c>
      <c r="I151" s="54" t="s">
        <v>4284</v>
      </c>
      <c r="J151" s="54" t="s">
        <v>3943</v>
      </c>
      <c r="K151" s="54" t="s">
        <v>3964</v>
      </c>
      <c r="L151" s="54" t="s">
        <v>3944</v>
      </c>
      <c r="M151" s="54" t="s">
        <v>576</v>
      </c>
      <c r="N151" s="54" t="s">
        <v>576</v>
      </c>
      <c r="O151" s="54" t="s">
        <v>3983</v>
      </c>
      <c r="P151" s="54" t="s">
        <v>656</v>
      </c>
      <c r="Q151" s="54">
        <v>34</v>
      </c>
      <c r="R151" s="54" t="s">
        <v>576</v>
      </c>
      <c r="S151" s="54" t="s">
        <v>3480</v>
      </c>
      <c r="T151" s="54" t="s">
        <v>1652</v>
      </c>
      <c r="U151" s="54" t="s">
        <v>3480</v>
      </c>
      <c r="V151" s="57" t="s">
        <v>495</v>
      </c>
    </row>
    <row r="152" spans="1:22" ht="15" customHeight="1" x14ac:dyDescent="0.25">
      <c r="A152" s="54" t="s">
        <v>4285</v>
      </c>
      <c r="B152" s="54" t="s">
        <v>2063</v>
      </c>
      <c r="C152" s="54" t="s">
        <v>3946</v>
      </c>
      <c r="D152" s="54" t="s">
        <v>3947</v>
      </c>
      <c r="E152" s="55">
        <v>0.75309999999999999</v>
      </c>
      <c r="F152" s="55">
        <v>0.3382</v>
      </c>
      <c r="G152" s="55">
        <f t="shared" si="8"/>
        <v>0.41</v>
      </c>
      <c r="H152" s="59">
        <f t="shared" si="9"/>
        <v>44.9</v>
      </c>
      <c r="I152" s="54" t="s">
        <v>4286</v>
      </c>
      <c r="J152" s="54" t="s">
        <v>3943</v>
      </c>
      <c r="K152" s="54" t="s">
        <v>3991</v>
      </c>
      <c r="L152" s="54" t="s">
        <v>134</v>
      </c>
      <c r="M152" s="54" t="s">
        <v>576</v>
      </c>
      <c r="N152" s="54" t="s">
        <v>576</v>
      </c>
      <c r="O152" s="54" t="s">
        <v>3961</v>
      </c>
      <c r="P152" s="54" t="s">
        <v>3049</v>
      </c>
      <c r="Q152" s="54">
        <v>123</v>
      </c>
      <c r="R152" s="54" t="s">
        <v>587</v>
      </c>
      <c r="S152" s="54" t="s">
        <v>3480</v>
      </c>
      <c r="T152" s="54" t="s">
        <v>3933</v>
      </c>
      <c r="U152" s="54" t="s">
        <v>1652</v>
      </c>
      <c r="V152" s="57" t="s">
        <v>495</v>
      </c>
    </row>
    <row r="153" spans="1:22" ht="15" customHeight="1" x14ac:dyDescent="0.25">
      <c r="A153" s="46" t="s">
        <v>4287</v>
      </c>
      <c r="B153" s="46" t="s">
        <v>2786</v>
      </c>
      <c r="C153" s="46" t="s">
        <v>3967</v>
      </c>
      <c r="D153" s="46" t="s">
        <v>3977</v>
      </c>
      <c r="E153" s="47">
        <v>7.5843999999999996</v>
      </c>
      <c r="F153" s="47">
        <v>4.6454000000000004</v>
      </c>
      <c r="G153" s="47">
        <f t="shared" si="8"/>
        <v>2.94</v>
      </c>
      <c r="H153" s="61">
        <f t="shared" si="9"/>
        <v>61.2</v>
      </c>
      <c r="I153" s="46" t="s">
        <v>4288</v>
      </c>
      <c r="J153" s="46" t="s">
        <v>617</v>
      </c>
      <c r="K153" s="46" t="s">
        <v>3964</v>
      </c>
      <c r="L153" s="46" t="s">
        <v>141</v>
      </c>
      <c r="M153" s="46" t="s">
        <v>587</v>
      </c>
      <c r="N153" s="46" t="s">
        <v>576</v>
      </c>
      <c r="O153" s="46" t="s">
        <v>3512</v>
      </c>
      <c r="P153" s="46" t="s">
        <v>621</v>
      </c>
      <c r="Q153" s="46">
        <v>218</v>
      </c>
      <c r="R153" s="46" t="s">
        <v>587</v>
      </c>
      <c r="S153" s="46" t="s">
        <v>576</v>
      </c>
      <c r="T153" s="46" t="s">
        <v>3992</v>
      </c>
      <c r="U153" s="46" t="s">
        <v>3451</v>
      </c>
      <c r="V153" s="49" t="s">
        <v>321</v>
      </c>
    </row>
    <row r="154" spans="1:22" ht="15" customHeight="1" x14ac:dyDescent="0.25">
      <c r="A154" s="54" t="s">
        <v>4289</v>
      </c>
      <c r="B154" s="54" t="s">
        <v>687</v>
      </c>
      <c r="C154" s="54" t="s">
        <v>3474</v>
      </c>
      <c r="D154" s="54" t="s">
        <v>4004</v>
      </c>
      <c r="E154" s="55">
        <v>9.1702999999999992</v>
      </c>
      <c r="F154" s="55">
        <v>0.66259999999999997</v>
      </c>
      <c r="G154" s="55">
        <f t="shared" si="8"/>
        <v>8.51</v>
      </c>
      <c r="H154" s="59">
        <f t="shared" si="9"/>
        <v>7.2</v>
      </c>
      <c r="I154" s="54" t="s">
        <v>4290</v>
      </c>
      <c r="J154" s="54" t="s">
        <v>3954</v>
      </c>
      <c r="K154" s="54" t="s">
        <v>3955</v>
      </c>
      <c r="L154" s="54" t="s">
        <v>3944</v>
      </c>
      <c r="M154" s="54" t="s">
        <v>576</v>
      </c>
      <c r="N154" s="54" t="s">
        <v>587</v>
      </c>
      <c r="O154" s="54" t="s">
        <v>3961</v>
      </c>
      <c r="P154" s="54" t="s">
        <v>578</v>
      </c>
      <c r="Q154" s="54">
        <v>239</v>
      </c>
      <c r="R154" s="54" t="s">
        <v>587</v>
      </c>
      <c r="S154" s="54" t="s">
        <v>587</v>
      </c>
      <c r="T154" s="54" t="s">
        <v>1652</v>
      </c>
      <c r="U154" s="54" t="s">
        <v>3451</v>
      </c>
      <c r="V154" s="57" t="s">
        <v>495</v>
      </c>
    </row>
    <row r="155" spans="1:22" ht="15" customHeight="1" x14ac:dyDescent="0.25">
      <c r="A155" s="54" t="s">
        <v>4291</v>
      </c>
      <c r="B155" s="54" t="s">
        <v>2043</v>
      </c>
      <c r="C155" s="54" t="s">
        <v>1666</v>
      </c>
      <c r="D155" s="54" t="s">
        <v>3958</v>
      </c>
      <c r="E155" s="55">
        <v>0.4597</v>
      </c>
      <c r="F155" s="55">
        <v>0.1673</v>
      </c>
      <c r="G155" s="55">
        <f t="shared" si="8"/>
        <v>0.28999999999999998</v>
      </c>
      <c r="H155" s="59">
        <f t="shared" si="9"/>
        <v>36.4</v>
      </c>
      <c r="I155" s="54" t="s">
        <v>4292</v>
      </c>
      <c r="J155" s="54" t="s">
        <v>3954</v>
      </c>
      <c r="K155" s="54" t="s">
        <v>3964</v>
      </c>
      <c r="L155" s="54" t="s">
        <v>141</v>
      </c>
      <c r="M155" s="54" t="s">
        <v>587</v>
      </c>
      <c r="N155" s="54" t="s">
        <v>587</v>
      </c>
      <c r="O155" s="54" t="s">
        <v>3956</v>
      </c>
      <c r="P155" s="54" t="s">
        <v>3076</v>
      </c>
      <c r="Q155" s="54">
        <v>234</v>
      </c>
      <c r="R155" s="54" t="s">
        <v>587</v>
      </c>
      <c r="S155" s="54" t="s">
        <v>576</v>
      </c>
      <c r="T155" s="54" t="s">
        <v>1652</v>
      </c>
      <c r="U155" s="54" t="s">
        <v>3480</v>
      </c>
      <c r="V155" s="57" t="s">
        <v>495</v>
      </c>
    </row>
    <row r="156" spans="1:22" ht="15" customHeight="1" x14ac:dyDescent="0.25">
      <c r="A156" s="54" t="s">
        <v>4293</v>
      </c>
      <c r="B156" s="54" t="s">
        <v>4294</v>
      </c>
      <c r="C156" s="54" t="s">
        <v>1666</v>
      </c>
      <c r="D156" s="54" t="s">
        <v>3987</v>
      </c>
      <c r="E156" s="55">
        <v>1.4853000000000001</v>
      </c>
      <c r="F156" s="55">
        <v>0.63859999999999995</v>
      </c>
      <c r="G156" s="55">
        <f t="shared" si="8"/>
        <v>0.85</v>
      </c>
      <c r="H156" s="59">
        <f t="shared" si="9"/>
        <v>43</v>
      </c>
      <c r="I156" s="54" t="s">
        <v>4295</v>
      </c>
      <c r="J156" s="54" t="s">
        <v>3937</v>
      </c>
      <c r="K156" s="54" t="s">
        <v>4017</v>
      </c>
      <c r="L156" s="54" t="s">
        <v>134</v>
      </c>
      <c r="M156" s="54" t="s">
        <v>576</v>
      </c>
      <c r="N156" s="54" t="s">
        <v>576</v>
      </c>
      <c r="O156" s="54" t="s">
        <v>3940</v>
      </c>
      <c r="P156" s="54" t="s">
        <v>621</v>
      </c>
      <c r="Q156" s="54">
        <v>223</v>
      </c>
      <c r="R156" s="54" t="s">
        <v>587</v>
      </c>
      <c r="S156" s="54" t="s">
        <v>3480</v>
      </c>
      <c r="T156" s="54" t="s">
        <v>1652</v>
      </c>
      <c r="U156" s="54" t="s">
        <v>3480</v>
      </c>
      <c r="V156" s="57" t="s">
        <v>495</v>
      </c>
    </row>
    <row r="157" spans="1:22" ht="15" customHeight="1" x14ac:dyDescent="0.25">
      <c r="A157" s="54" t="s">
        <v>4296</v>
      </c>
      <c r="B157" s="54" t="s">
        <v>1164</v>
      </c>
      <c r="C157" s="54" t="s">
        <v>4007</v>
      </c>
      <c r="D157" s="54" t="s">
        <v>3974</v>
      </c>
      <c r="E157" s="55">
        <v>8.7103999999999999</v>
      </c>
      <c r="F157" s="55">
        <v>1.4175</v>
      </c>
      <c r="G157" s="55">
        <f t="shared" si="8"/>
        <v>7.29</v>
      </c>
      <c r="H157" s="59">
        <f t="shared" si="9"/>
        <v>16.3</v>
      </c>
      <c r="I157" s="54" t="s">
        <v>4297</v>
      </c>
      <c r="J157" s="54" t="s">
        <v>617</v>
      </c>
      <c r="K157" s="54" t="s">
        <v>3964</v>
      </c>
      <c r="L157" s="54" t="s">
        <v>3944</v>
      </c>
      <c r="M157" s="54" t="s">
        <v>576</v>
      </c>
      <c r="N157" s="54" t="s">
        <v>587</v>
      </c>
      <c r="O157" s="54" t="s">
        <v>3961</v>
      </c>
      <c r="P157" s="54" t="s">
        <v>688</v>
      </c>
      <c r="Q157" s="54">
        <v>345</v>
      </c>
      <c r="R157" s="54" t="s">
        <v>587</v>
      </c>
      <c r="S157" s="54" t="s">
        <v>576</v>
      </c>
      <c r="T157" s="54" t="s">
        <v>1652</v>
      </c>
      <c r="U157" s="54" t="s">
        <v>3480</v>
      </c>
      <c r="V157" s="57" t="s">
        <v>495</v>
      </c>
    </row>
    <row r="158" spans="1:22" ht="15" customHeight="1" x14ac:dyDescent="0.25">
      <c r="A158" s="54" t="s">
        <v>4298</v>
      </c>
      <c r="B158" s="54" t="s">
        <v>734</v>
      </c>
      <c r="C158" s="54" t="s">
        <v>3929</v>
      </c>
      <c r="D158" s="54" t="s">
        <v>4037</v>
      </c>
      <c r="E158" s="55">
        <v>4.6528999999999998</v>
      </c>
      <c r="F158" s="55">
        <v>1.9139999999999999</v>
      </c>
      <c r="G158" s="55">
        <f t="shared" si="8"/>
        <v>2.74</v>
      </c>
      <c r="H158" s="59">
        <f t="shared" si="9"/>
        <v>41.1</v>
      </c>
      <c r="I158" s="54" t="s">
        <v>4299</v>
      </c>
      <c r="J158" s="54" t="s">
        <v>3954</v>
      </c>
      <c r="K158" s="54" t="s">
        <v>3955</v>
      </c>
      <c r="L158" s="54" t="s">
        <v>3944</v>
      </c>
      <c r="M158" s="54" t="s">
        <v>587</v>
      </c>
      <c r="N158" s="54" t="s">
        <v>587</v>
      </c>
      <c r="O158" s="54" t="s">
        <v>3940</v>
      </c>
      <c r="P158" s="54" t="s">
        <v>688</v>
      </c>
      <c r="Q158" s="54">
        <v>358</v>
      </c>
      <c r="R158" s="54" t="s">
        <v>576</v>
      </c>
      <c r="S158" s="54" t="s">
        <v>3480</v>
      </c>
      <c r="T158" s="54" t="s">
        <v>3992</v>
      </c>
      <c r="U158" s="54" t="s">
        <v>3451</v>
      </c>
      <c r="V158" s="57" t="s">
        <v>495</v>
      </c>
    </row>
    <row r="159" spans="1:22" ht="15" customHeight="1" x14ac:dyDescent="0.25">
      <c r="A159" s="50" t="s">
        <v>4300</v>
      </c>
      <c r="B159" s="50" t="s">
        <v>1752</v>
      </c>
      <c r="C159" s="50" t="s">
        <v>3929</v>
      </c>
      <c r="D159" s="50" t="s">
        <v>3958</v>
      </c>
      <c r="E159" s="51">
        <v>9.5010999999999992</v>
      </c>
      <c r="F159" s="51">
        <v>8.9362999999999992</v>
      </c>
      <c r="G159" s="51">
        <f t="shared" si="8"/>
        <v>0.56000000000000005</v>
      </c>
      <c r="H159" s="60">
        <f t="shared" si="9"/>
        <v>94.1</v>
      </c>
      <c r="I159" s="50" t="s">
        <v>4301</v>
      </c>
      <c r="J159" s="50" t="s">
        <v>3954</v>
      </c>
      <c r="K159" s="50" t="s">
        <v>3955</v>
      </c>
      <c r="L159" s="50" t="s">
        <v>3939</v>
      </c>
      <c r="M159" s="50" t="s">
        <v>576</v>
      </c>
      <c r="N159" s="50" t="s">
        <v>587</v>
      </c>
      <c r="O159" s="50" t="s">
        <v>3495</v>
      </c>
      <c r="P159" s="50" t="s">
        <v>3076</v>
      </c>
      <c r="Q159" s="50">
        <v>303</v>
      </c>
      <c r="R159" s="50" t="s">
        <v>576</v>
      </c>
      <c r="S159" s="50" t="s">
        <v>587</v>
      </c>
      <c r="T159" s="50" t="s">
        <v>3480</v>
      </c>
      <c r="U159" s="50" t="s">
        <v>3480</v>
      </c>
      <c r="V159" s="53" t="s">
        <v>266</v>
      </c>
    </row>
    <row r="160" spans="1:22" ht="15" customHeight="1" x14ac:dyDescent="0.25">
      <c r="A160" s="54" t="s">
        <v>4302</v>
      </c>
      <c r="B160" s="54" t="s">
        <v>4149</v>
      </c>
      <c r="C160" s="54" t="s">
        <v>3474</v>
      </c>
      <c r="D160" s="54" t="s">
        <v>3952</v>
      </c>
      <c r="E160" s="55">
        <v>3.4798</v>
      </c>
      <c r="F160" s="55">
        <v>1.6667000000000001</v>
      </c>
      <c r="G160" s="55">
        <f t="shared" si="8"/>
        <v>1.81</v>
      </c>
      <c r="H160" s="59">
        <f t="shared" si="9"/>
        <v>47.9</v>
      </c>
      <c r="I160" s="54" t="s">
        <v>4303</v>
      </c>
      <c r="J160" s="54" t="s">
        <v>3954</v>
      </c>
      <c r="K160" s="54" t="s">
        <v>4017</v>
      </c>
      <c r="L160" s="54" t="s">
        <v>134</v>
      </c>
      <c r="M160" s="54" t="s">
        <v>587</v>
      </c>
      <c r="N160" s="54" t="s">
        <v>587</v>
      </c>
      <c r="O160" s="54" t="s">
        <v>3495</v>
      </c>
      <c r="P160" s="54" t="s">
        <v>656</v>
      </c>
      <c r="Q160" s="54">
        <v>286</v>
      </c>
      <c r="R160" s="54" t="s">
        <v>576</v>
      </c>
      <c r="S160" s="54" t="s">
        <v>3480</v>
      </c>
      <c r="T160" s="54" t="s">
        <v>3933</v>
      </c>
      <c r="U160" s="54" t="s">
        <v>3480</v>
      </c>
      <c r="V160" s="57" t="s">
        <v>495</v>
      </c>
    </row>
    <row r="161" spans="1:22" ht="15" customHeight="1" x14ac:dyDescent="0.25">
      <c r="A161" s="54" t="s">
        <v>4304</v>
      </c>
      <c r="B161" s="54" t="s">
        <v>1459</v>
      </c>
      <c r="C161" s="54" t="s">
        <v>1673</v>
      </c>
      <c r="D161" s="54" t="s">
        <v>3952</v>
      </c>
      <c r="E161" s="55">
        <v>0.39029999999999998</v>
      </c>
      <c r="F161" s="55">
        <v>4.4999999999999998E-2</v>
      </c>
      <c r="G161" s="55">
        <f t="shared" si="8"/>
        <v>0.35</v>
      </c>
      <c r="H161" s="59">
        <f t="shared" si="9"/>
        <v>11.5</v>
      </c>
      <c r="I161" s="54" t="s">
        <v>4305</v>
      </c>
      <c r="J161" s="54" t="s">
        <v>4002</v>
      </c>
      <c r="K161" s="54" t="s">
        <v>3949</v>
      </c>
      <c r="L161" s="54" t="s">
        <v>141</v>
      </c>
      <c r="M161" s="54" t="s">
        <v>587</v>
      </c>
      <c r="N161" s="54" t="s">
        <v>587</v>
      </c>
      <c r="O161" s="54" t="s">
        <v>3940</v>
      </c>
      <c r="P161" s="54" t="s">
        <v>688</v>
      </c>
      <c r="Q161" s="54">
        <v>303</v>
      </c>
      <c r="R161" s="54" t="s">
        <v>576</v>
      </c>
      <c r="S161" s="54" t="s">
        <v>3480</v>
      </c>
      <c r="T161" s="54" t="s">
        <v>1652</v>
      </c>
      <c r="U161" s="54" t="s">
        <v>1652</v>
      </c>
      <c r="V161" s="57" t="s">
        <v>495</v>
      </c>
    </row>
    <row r="162" spans="1:22" ht="15" customHeight="1" x14ac:dyDescent="0.25">
      <c r="A162" s="54" t="s">
        <v>4306</v>
      </c>
      <c r="B162" s="54" t="s">
        <v>4307</v>
      </c>
      <c r="C162" s="54" t="s">
        <v>3951</v>
      </c>
      <c r="D162" s="54" t="s">
        <v>3974</v>
      </c>
      <c r="E162" s="55">
        <v>3.5741000000000001</v>
      </c>
      <c r="F162" s="55">
        <v>0.4773</v>
      </c>
      <c r="G162" s="55">
        <f t="shared" si="8"/>
        <v>3.1</v>
      </c>
      <c r="H162" s="59">
        <f t="shared" si="9"/>
        <v>13.4</v>
      </c>
      <c r="I162" s="54" t="s">
        <v>4308</v>
      </c>
      <c r="J162" s="54" t="s">
        <v>3937</v>
      </c>
      <c r="K162" s="54" t="s">
        <v>3960</v>
      </c>
      <c r="L162" s="54" t="s">
        <v>141</v>
      </c>
      <c r="M162" s="54" t="s">
        <v>587</v>
      </c>
      <c r="N162" s="54" t="s">
        <v>587</v>
      </c>
      <c r="O162" s="54" t="s">
        <v>3983</v>
      </c>
      <c r="P162" s="54" t="s">
        <v>656</v>
      </c>
      <c r="Q162" s="54">
        <v>338</v>
      </c>
      <c r="R162" s="54" t="s">
        <v>587</v>
      </c>
      <c r="S162" s="54" t="s">
        <v>576</v>
      </c>
      <c r="T162" s="54" t="s">
        <v>1652</v>
      </c>
      <c r="U162" s="54" t="s">
        <v>3480</v>
      </c>
      <c r="V162" s="57" t="s">
        <v>495</v>
      </c>
    </row>
    <row r="163" spans="1:22" ht="15" customHeight="1" x14ac:dyDescent="0.25">
      <c r="A163" s="50" t="s">
        <v>4309</v>
      </c>
      <c r="B163" s="50" t="s">
        <v>1971</v>
      </c>
      <c r="C163" s="50" t="s">
        <v>3474</v>
      </c>
      <c r="D163" s="50" t="s">
        <v>3987</v>
      </c>
      <c r="E163" s="51">
        <v>2.7707000000000002</v>
      </c>
      <c r="F163" s="51">
        <v>1.8940999999999999</v>
      </c>
      <c r="G163" s="51">
        <f t="shared" ref="G163:G194" si="10">ROUND(E163-F163,2)</f>
        <v>0.88</v>
      </c>
      <c r="H163" s="60">
        <f t="shared" ref="H163:H194" si="11">ROUND(F163/E163*100,1)</f>
        <v>68.400000000000006</v>
      </c>
      <c r="I163" s="50" t="s">
        <v>4310</v>
      </c>
      <c r="J163" s="50" t="s">
        <v>617</v>
      </c>
      <c r="K163" s="50" t="s">
        <v>3949</v>
      </c>
      <c r="L163" s="50" t="s">
        <v>3939</v>
      </c>
      <c r="M163" s="50" t="s">
        <v>587</v>
      </c>
      <c r="N163" s="50" t="s">
        <v>587</v>
      </c>
      <c r="O163" s="50" t="s">
        <v>3512</v>
      </c>
      <c r="P163" s="50" t="s">
        <v>621</v>
      </c>
      <c r="Q163" s="50">
        <v>30</v>
      </c>
      <c r="R163" s="50" t="s">
        <v>576</v>
      </c>
      <c r="S163" s="50" t="s">
        <v>3480</v>
      </c>
      <c r="T163" s="50" t="s">
        <v>1652</v>
      </c>
      <c r="U163" s="50" t="s">
        <v>1652</v>
      </c>
      <c r="V163" s="53" t="s">
        <v>266</v>
      </c>
    </row>
    <row r="164" spans="1:22" ht="15" customHeight="1" x14ac:dyDescent="0.25">
      <c r="A164" s="50" t="s">
        <v>4311</v>
      </c>
      <c r="B164" s="50" t="s">
        <v>2781</v>
      </c>
      <c r="C164" s="50" t="s">
        <v>3528</v>
      </c>
      <c r="D164" s="50" t="s">
        <v>3930</v>
      </c>
      <c r="E164" s="51">
        <v>1.3226</v>
      </c>
      <c r="F164" s="51">
        <v>0.93640000000000001</v>
      </c>
      <c r="G164" s="51">
        <f t="shared" si="10"/>
        <v>0.39</v>
      </c>
      <c r="H164" s="60">
        <f t="shared" si="11"/>
        <v>70.8</v>
      </c>
      <c r="I164" s="50" t="s">
        <v>4312</v>
      </c>
      <c r="J164" s="50" t="s">
        <v>3982</v>
      </c>
      <c r="K164" s="50" t="s">
        <v>3991</v>
      </c>
      <c r="L164" s="50" t="s">
        <v>141</v>
      </c>
      <c r="M164" s="50" t="s">
        <v>587</v>
      </c>
      <c r="N164" s="50" t="s">
        <v>576</v>
      </c>
      <c r="O164" s="50" t="s">
        <v>3940</v>
      </c>
      <c r="P164" s="50" t="s">
        <v>578</v>
      </c>
      <c r="Q164" s="50">
        <v>92</v>
      </c>
      <c r="R164" s="50" t="s">
        <v>576</v>
      </c>
      <c r="S164" s="50" t="s">
        <v>587</v>
      </c>
      <c r="T164" s="50" t="s">
        <v>3480</v>
      </c>
      <c r="U164" s="50" t="s">
        <v>3451</v>
      </c>
      <c r="V164" s="53" t="s">
        <v>266</v>
      </c>
    </row>
    <row r="165" spans="1:22" ht="15" customHeight="1" x14ac:dyDescent="0.25">
      <c r="A165" s="54" t="s">
        <v>4313</v>
      </c>
      <c r="B165" s="54" t="s">
        <v>2417</v>
      </c>
      <c r="C165" s="54" t="s">
        <v>3474</v>
      </c>
      <c r="D165" s="54" t="s">
        <v>4037</v>
      </c>
      <c r="E165" s="55">
        <v>2.3479000000000001</v>
      </c>
      <c r="F165" s="55">
        <v>0.51680000000000004</v>
      </c>
      <c r="G165" s="55">
        <f t="shared" si="10"/>
        <v>1.83</v>
      </c>
      <c r="H165" s="59">
        <f t="shared" si="11"/>
        <v>22</v>
      </c>
      <c r="I165" s="54" t="s">
        <v>4314</v>
      </c>
      <c r="J165" s="54" t="s">
        <v>3954</v>
      </c>
      <c r="K165" s="54" t="s">
        <v>3960</v>
      </c>
      <c r="L165" s="54" t="s">
        <v>3939</v>
      </c>
      <c r="M165" s="54" t="s">
        <v>576</v>
      </c>
      <c r="N165" s="54" t="s">
        <v>587</v>
      </c>
      <c r="O165" s="54" t="s">
        <v>3956</v>
      </c>
      <c r="P165" s="54" t="s">
        <v>656</v>
      </c>
      <c r="Q165" s="54">
        <v>11</v>
      </c>
      <c r="R165" s="54" t="s">
        <v>587</v>
      </c>
      <c r="S165" s="54" t="s">
        <v>3480</v>
      </c>
      <c r="T165" s="54" t="s">
        <v>3992</v>
      </c>
      <c r="U165" s="54" t="s">
        <v>1652</v>
      </c>
      <c r="V165" s="57" t="s">
        <v>495</v>
      </c>
    </row>
    <row r="166" spans="1:22" ht="15" customHeight="1" x14ac:dyDescent="0.25">
      <c r="A166" s="46" t="s">
        <v>4315</v>
      </c>
      <c r="B166" s="46" t="s">
        <v>860</v>
      </c>
      <c r="C166" s="46" t="s">
        <v>3970</v>
      </c>
      <c r="D166" s="46" t="s">
        <v>4037</v>
      </c>
      <c r="E166" s="47">
        <v>9.0564999999999998</v>
      </c>
      <c r="F166" s="47">
        <v>5.7606999999999999</v>
      </c>
      <c r="G166" s="47">
        <f t="shared" si="10"/>
        <v>3.3</v>
      </c>
      <c r="H166" s="61">
        <f t="shared" si="11"/>
        <v>63.6</v>
      </c>
      <c r="I166" s="46" t="s">
        <v>4316</v>
      </c>
      <c r="J166" s="46" t="s">
        <v>3954</v>
      </c>
      <c r="K166" s="46" t="s">
        <v>3932</v>
      </c>
      <c r="L166" s="46" t="s">
        <v>3939</v>
      </c>
      <c r="M166" s="46" t="s">
        <v>587</v>
      </c>
      <c r="N166" s="46" t="s">
        <v>587</v>
      </c>
      <c r="O166" s="46" t="s">
        <v>3956</v>
      </c>
      <c r="P166" s="46" t="s">
        <v>621</v>
      </c>
      <c r="Q166" s="46">
        <v>381</v>
      </c>
      <c r="R166" s="46" t="s">
        <v>587</v>
      </c>
      <c r="S166" s="46" t="s">
        <v>576</v>
      </c>
      <c r="T166" s="46" t="s">
        <v>3933</v>
      </c>
      <c r="U166" s="46" t="s">
        <v>3451</v>
      </c>
      <c r="V166" s="49" t="s">
        <v>321</v>
      </c>
    </row>
    <row r="167" spans="1:22" ht="15" customHeight="1" x14ac:dyDescent="0.25">
      <c r="A167" s="46" t="s">
        <v>4317</v>
      </c>
      <c r="B167" s="46" t="s">
        <v>2198</v>
      </c>
      <c r="C167" s="46" t="s">
        <v>3970</v>
      </c>
      <c r="D167" s="46" t="s">
        <v>3987</v>
      </c>
      <c r="E167" s="47">
        <v>3.9712000000000001</v>
      </c>
      <c r="F167" s="47">
        <v>2.5693999999999999</v>
      </c>
      <c r="G167" s="47">
        <f t="shared" si="10"/>
        <v>1.4</v>
      </c>
      <c r="H167" s="61">
        <f t="shared" si="11"/>
        <v>64.7</v>
      </c>
      <c r="I167" s="46" t="s">
        <v>4318</v>
      </c>
      <c r="J167" s="46" t="s">
        <v>3982</v>
      </c>
      <c r="K167" s="46" t="s">
        <v>4017</v>
      </c>
      <c r="L167" s="46" t="s">
        <v>3944</v>
      </c>
      <c r="M167" s="46" t="s">
        <v>587</v>
      </c>
      <c r="N167" s="46" t="s">
        <v>576</v>
      </c>
      <c r="O167" s="46" t="s">
        <v>3512</v>
      </c>
      <c r="P167" s="46" t="s">
        <v>649</v>
      </c>
      <c r="Q167" s="46">
        <v>282</v>
      </c>
      <c r="R167" s="46" t="s">
        <v>587</v>
      </c>
      <c r="S167" s="46" t="s">
        <v>576</v>
      </c>
      <c r="T167" s="46" t="s">
        <v>3933</v>
      </c>
      <c r="U167" s="46" t="s">
        <v>3480</v>
      </c>
      <c r="V167" s="49" t="s">
        <v>321</v>
      </c>
    </row>
    <row r="168" spans="1:22" ht="15" customHeight="1" x14ac:dyDescent="0.25">
      <c r="A168" s="54" t="s">
        <v>4319</v>
      </c>
      <c r="B168" s="54" t="s">
        <v>731</v>
      </c>
      <c r="C168" s="54" t="s">
        <v>3970</v>
      </c>
      <c r="D168" s="54" t="s">
        <v>3952</v>
      </c>
      <c r="E168" s="55">
        <v>2.2667999999999999</v>
      </c>
      <c r="F168" s="55">
        <v>0.78720000000000001</v>
      </c>
      <c r="G168" s="55">
        <f t="shared" si="10"/>
        <v>1.48</v>
      </c>
      <c r="H168" s="59">
        <f t="shared" si="11"/>
        <v>34.700000000000003</v>
      </c>
      <c r="I168" s="54" t="s">
        <v>4320</v>
      </c>
      <c r="J168" s="54" t="s">
        <v>3982</v>
      </c>
      <c r="K168" s="54" t="s">
        <v>4017</v>
      </c>
      <c r="L168" s="54" t="s">
        <v>3944</v>
      </c>
      <c r="M168" s="54" t="s">
        <v>587</v>
      </c>
      <c r="N168" s="54" t="s">
        <v>587</v>
      </c>
      <c r="O168" s="54" t="s">
        <v>3961</v>
      </c>
      <c r="P168" s="54" t="s">
        <v>667</v>
      </c>
      <c r="Q168" s="54">
        <v>346</v>
      </c>
      <c r="R168" s="54" t="s">
        <v>587</v>
      </c>
      <c r="S168" s="54" t="s">
        <v>3480</v>
      </c>
      <c r="T168" s="54" t="s">
        <v>3992</v>
      </c>
      <c r="U168" s="54" t="s">
        <v>3451</v>
      </c>
      <c r="V168" s="57" t="s">
        <v>495</v>
      </c>
    </row>
    <row r="169" spans="1:22" ht="15" customHeight="1" x14ac:dyDescent="0.25">
      <c r="A169" s="50" t="s">
        <v>4321</v>
      </c>
      <c r="B169" s="50" t="s">
        <v>831</v>
      </c>
      <c r="C169" s="50" t="s">
        <v>3528</v>
      </c>
      <c r="D169" s="50" t="s">
        <v>3952</v>
      </c>
      <c r="E169" s="51">
        <v>6.5835999999999997</v>
      </c>
      <c r="F169" s="51">
        <v>5.9268000000000001</v>
      </c>
      <c r="G169" s="51">
        <f t="shared" si="10"/>
        <v>0.66</v>
      </c>
      <c r="H169" s="60">
        <f t="shared" si="11"/>
        <v>90</v>
      </c>
      <c r="I169" s="50" t="s">
        <v>4322</v>
      </c>
      <c r="J169" s="50" t="s">
        <v>3954</v>
      </c>
      <c r="K169" s="50" t="s">
        <v>4017</v>
      </c>
      <c r="L169" s="50" t="s">
        <v>3944</v>
      </c>
      <c r="M169" s="50" t="s">
        <v>576</v>
      </c>
      <c r="N169" s="50" t="s">
        <v>587</v>
      </c>
      <c r="O169" s="50" t="s">
        <v>3940</v>
      </c>
      <c r="P169" s="50" t="s">
        <v>578</v>
      </c>
      <c r="Q169" s="50">
        <v>270</v>
      </c>
      <c r="R169" s="50" t="s">
        <v>587</v>
      </c>
      <c r="S169" s="50" t="s">
        <v>576</v>
      </c>
      <c r="T169" s="50" t="s">
        <v>3992</v>
      </c>
      <c r="U169" s="50" t="s">
        <v>1652</v>
      </c>
      <c r="V169" s="53" t="s">
        <v>266</v>
      </c>
    </row>
    <row r="170" spans="1:22" ht="15" customHeight="1" x14ac:dyDescent="0.25">
      <c r="A170" s="54" t="s">
        <v>4323</v>
      </c>
      <c r="B170" s="54" t="s">
        <v>1957</v>
      </c>
      <c r="C170" s="54" t="s">
        <v>4007</v>
      </c>
      <c r="D170" s="54" t="s">
        <v>3935</v>
      </c>
      <c r="E170" s="55">
        <v>3.7126999999999999</v>
      </c>
      <c r="F170" s="55">
        <v>1.7594000000000001</v>
      </c>
      <c r="G170" s="55">
        <f t="shared" si="10"/>
        <v>1.95</v>
      </c>
      <c r="H170" s="59">
        <f t="shared" si="11"/>
        <v>47.4</v>
      </c>
      <c r="I170" s="54" t="s">
        <v>4324</v>
      </c>
      <c r="J170" s="54" t="s">
        <v>617</v>
      </c>
      <c r="K170" s="54" t="s">
        <v>3932</v>
      </c>
      <c r="L170" s="54" t="s">
        <v>99</v>
      </c>
      <c r="M170" s="54" t="s">
        <v>576</v>
      </c>
      <c r="N170" s="54" t="s">
        <v>587</v>
      </c>
      <c r="O170" s="54" t="s">
        <v>3961</v>
      </c>
      <c r="P170" s="54" t="s">
        <v>688</v>
      </c>
      <c r="Q170" s="54">
        <v>116</v>
      </c>
      <c r="R170" s="54" t="s">
        <v>587</v>
      </c>
      <c r="S170" s="54" t="s">
        <v>587</v>
      </c>
      <c r="T170" s="54" t="s">
        <v>3992</v>
      </c>
      <c r="U170" s="54" t="s">
        <v>3480</v>
      </c>
      <c r="V170" s="57" t="s">
        <v>495</v>
      </c>
    </row>
    <row r="171" spans="1:22" ht="15" customHeight="1" x14ac:dyDescent="0.25">
      <c r="A171" s="54" t="s">
        <v>4325</v>
      </c>
      <c r="B171" s="54" t="s">
        <v>2214</v>
      </c>
      <c r="C171" s="54" t="s">
        <v>3946</v>
      </c>
      <c r="D171" s="54" t="s">
        <v>3952</v>
      </c>
      <c r="E171" s="55">
        <v>8.6785999999999994</v>
      </c>
      <c r="F171" s="55">
        <v>0.68130000000000002</v>
      </c>
      <c r="G171" s="55">
        <f t="shared" si="10"/>
        <v>8</v>
      </c>
      <c r="H171" s="59">
        <f t="shared" si="11"/>
        <v>7.9</v>
      </c>
      <c r="I171" s="54" t="s">
        <v>4326</v>
      </c>
      <c r="J171" s="54" t="s">
        <v>3943</v>
      </c>
      <c r="K171" s="54" t="s">
        <v>3932</v>
      </c>
      <c r="L171" s="54" t="s">
        <v>134</v>
      </c>
      <c r="M171" s="54" t="s">
        <v>576</v>
      </c>
      <c r="N171" s="54" t="s">
        <v>587</v>
      </c>
      <c r="O171" s="54" t="s">
        <v>3512</v>
      </c>
      <c r="P171" s="54" t="s">
        <v>656</v>
      </c>
      <c r="Q171" s="54">
        <v>310</v>
      </c>
      <c r="R171" s="54" t="s">
        <v>576</v>
      </c>
      <c r="S171" s="54" t="s">
        <v>3480</v>
      </c>
      <c r="T171" s="54" t="s">
        <v>3933</v>
      </c>
      <c r="U171" s="54" t="s">
        <v>3451</v>
      </c>
      <c r="V171" s="57" t="s">
        <v>495</v>
      </c>
    </row>
    <row r="172" spans="1:22" ht="15" customHeight="1" x14ac:dyDescent="0.25">
      <c r="A172" s="54" t="s">
        <v>4327</v>
      </c>
      <c r="B172" s="54" t="s">
        <v>737</v>
      </c>
      <c r="C172" s="54" t="s">
        <v>3474</v>
      </c>
      <c r="D172" s="54" t="s">
        <v>3930</v>
      </c>
      <c r="E172" s="55">
        <v>0.60629999999999995</v>
      </c>
      <c r="F172" s="55">
        <v>0.13789999999999999</v>
      </c>
      <c r="G172" s="55">
        <f t="shared" si="10"/>
        <v>0.47</v>
      </c>
      <c r="H172" s="59">
        <f t="shared" si="11"/>
        <v>22.7</v>
      </c>
      <c r="I172" s="54" t="s">
        <v>4328</v>
      </c>
      <c r="J172" s="54" t="s">
        <v>617</v>
      </c>
      <c r="K172" s="54" t="s">
        <v>3964</v>
      </c>
      <c r="L172" s="54" t="s">
        <v>3939</v>
      </c>
      <c r="M172" s="54" t="s">
        <v>576</v>
      </c>
      <c r="N172" s="54" t="s">
        <v>587</v>
      </c>
      <c r="O172" s="54" t="s">
        <v>3940</v>
      </c>
      <c r="P172" s="54" t="s">
        <v>667</v>
      </c>
      <c r="Q172" s="54">
        <v>383</v>
      </c>
      <c r="R172" s="54" t="s">
        <v>587</v>
      </c>
      <c r="S172" s="54" t="s">
        <v>576</v>
      </c>
      <c r="T172" s="54" t="s">
        <v>3480</v>
      </c>
      <c r="U172" s="54" t="s">
        <v>3451</v>
      </c>
      <c r="V172" s="57" t="s">
        <v>495</v>
      </c>
    </row>
    <row r="173" spans="1:22" ht="15" customHeight="1" x14ac:dyDescent="0.25">
      <c r="A173" s="50" t="s">
        <v>4329</v>
      </c>
      <c r="B173" s="50" t="s">
        <v>1135</v>
      </c>
      <c r="C173" s="50" t="s">
        <v>3951</v>
      </c>
      <c r="D173" s="50" t="s">
        <v>3930</v>
      </c>
      <c r="E173" s="51">
        <v>2.4927000000000001</v>
      </c>
      <c r="F173" s="51">
        <v>2.2006999999999999</v>
      </c>
      <c r="G173" s="51">
        <f t="shared" si="10"/>
        <v>0.28999999999999998</v>
      </c>
      <c r="H173" s="60">
        <f t="shared" si="11"/>
        <v>88.3</v>
      </c>
      <c r="I173" s="50" t="s">
        <v>4330</v>
      </c>
      <c r="J173" s="50" t="s">
        <v>3937</v>
      </c>
      <c r="K173" s="50" t="s">
        <v>3955</v>
      </c>
      <c r="L173" s="50" t="s">
        <v>134</v>
      </c>
      <c r="M173" s="50" t="s">
        <v>587</v>
      </c>
      <c r="N173" s="50" t="s">
        <v>576</v>
      </c>
      <c r="O173" s="50" t="s">
        <v>3495</v>
      </c>
      <c r="P173" s="50" t="s">
        <v>656</v>
      </c>
      <c r="Q173" s="50">
        <v>351</v>
      </c>
      <c r="R173" s="50" t="s">
        <v>576</v>
      </c>
      <c r="S173" s="50" t="s">
        <v>3480</v>
      </c>
      <c r="T173" s="50" t="s">
        <v>1652</v>
      </c>
      <c r="U173" s="50" t="s">
        <v>3451</v>
      </c>
      <c r="V173" s="53" t="s">
        <v>266</v>
      </c>
    </row>
    <row r="174" spans="1:22" ht="15" customHeight="1" x14ac:dyDescent="0.25">
      <c r="A174" s="54" t="s">
        <v>4331</v>
      </c>
      <c r="B174" s="54" t="s">
        <v>2522</v>
      </c>
      <c r="C174" s="54" t="s">
        <v>1673</v>
      </c>
      <c r="D174" s="54" t="s">
        <v>4037</v>
      </c>
      <c r="E174" s="55">
        <v>9.5983000000000001</v>
      </c>
      <c r="F174" s="55">
        <v>1.2938000000000001</v>
      </c>
      <c r="G174" s="55">
        <f t="shared" si="10"/>
        <v>8.3000000000000007</v>
      </c>
      <c r="H174" s="59">
        <f t="shared" si="11"/>
        <v>13.5</v>
      </c>
      <c r="I174" s="54" t="s">
        <v>4332</v>
      </c>
      <c r="J174" s="54" t="s">
        <v>3982</v>
      </c>
      <c r="K174" s="54" t="s">
        <v>3964</v>
      </c>
      <c r="L174" s="54" t="s">
        <v>141</v>
      </c>
      <c r="M174" s="54" t="s">
        <v>576</v>
      </c>
      <c r="N174" s="54" t="s">
        <v>587</v>
      </c>
      <c r="O174" s="54" t="s">
        <v>3961</v>
      </c>
      <c r="P174" s="54" t="s">
        <v>578</v>
      </c>
      <c r="Q174" s="54">
        <v>400</v>
      </c>
      <c r="R174" s="54" t="s">
        <v>576</v>
      </c>
      <c r="S174" s="54" t="s">
        <v>576</v>
      </c>
      <c r="T174" s="54" t="s">
        <v>3965</v>
      </c>
      <c r="U174" s="54" t="s">
        <v>3480</v>
      </c>
      <c r="V174" s="57" t="s">
        <v>495</v>
      </c>
    </row>
    <row r="175" spans="1:22" ht="15" customHeight="1" x14ac:dyDescent="0.25">
      <c r="A175" s="50" t="s">
        <v>4333</v>
      </c>
      <c r="B175" s="50" t="s">
        <v>2083</v>
      </c>
      <c r="C175" s="50" t="s">
        <v>3528</v>
      </c>
      <c r="D175" s="50" t="s">
        <v>3958</v>
      </c>
      <c r="E175" s="51">
        <v>7.9950999999999999</v>
      </c>
      <c r="F175" s="51">
        <v>5.6157000000000004</v>
      </c>
      <c r="G175" s="51">
        <f t="shared" si="10"/>
        <v>2.38</v>
      </c>
      <c r="H175" s="60">
        <f t="shared" si="11"/>
        <v>70.2</v>
      </c>
      <c r="I175" s="50" t="s">
        <v>4334</v>
      </c>
      <c r="J175" s="50" t="s">
        <v>4002</v>
      </c>
      <c r="K175" s="50" t="s">
        <v>3955</v>
      </c>
      <c r="L175" s="50" t="s">
        <v>99</v>
      </c>
      <c r="M175" s="50" t="s">
        <v>587</v>
      </c>
      <c r="N175" s="50" t="s">
        <v>576</v>
      </c>
      <c r="O175" s="50" t="s">
        <v>3495</v>
      </c>
      <c r="P175" s="50" t="s">
        <v>661</v>
      </c>
      <c r="Q175" s="50">
        <v>210</v>
      </c>
      <c r="R175" s="50" t="s">
        <v>587</v>
      </c>
      <c r="S175" s="50" t="s">
        <v>576</v>
      </c>
      <c r="T175" s="50" t="s">
        <v>3965</v>
      </c>
      <c r="U175" s="50" t="s">
        <v>3451</v>
      </c>
      <c r="V175" s="53" t="s">
        <v>266</v>
      </c>
    </row>
    <row r="176" spans="1:22" ht="15" customHeight="1" x14ac:dyDescent="0.25">
      <c r="A176" s="54" t="s">
        <v>4335</v>
      </c>
      <c r="B176" s="54" t="s">
        <v>2417</v>
      </c>
      <c r="C176" s="54" t="s">
        <v>3967</v>
      </c>
      <c r="D176" s="54" t="s">
        <v>3974</v>
      </c>
      <c r="E176" s="55">
        <v>8.4208999999999996</v>
      </c>
      <c r="F176" s="55">
        <v>3.3033000000000001</v>
      </c>
      <c r="G176" s="55">
        <f t="shared" si="10"/>
        <v>5.12</v>
      </c>
      <c r="H176" s="59">
        <f t="shared" si="11"/>
        <v>39.200000000000003</v>
      </c>
      <c r="I176" s="54" t="s">
        <v>4336</v>
      </c>
      <c r="J176" s="54" t="s">
        <v>3943</v>
      </c>
      <c r="K176" s="54" t="s">
        <v>3938</v>
      </c>
      <c r="L176" s="54" t="s">
        <v>141</v>
      </c>
      <c r="M176" s="54" t="s">
        <v>576</v>
      </c>
      <c r="N176" s="54" t="s">
        <v>587</v>
      </c>
      <c r="O176" s="54" t="s">
        <v>3940</v>
      </c>
      <c r="P176" s="54" t="s">
        <v>667</v>
      </c>
      <c r="Q176" s="54">
        <v>275</v>
      </c>
      <c r="R176" s="54" t="s">
        <v>576</v>
      </c>
      <c r="S176" s="54" t="s">
        <v>3480</v>
      </c>
      <c r="T176" s="54" t="s">
        <v>3933</v>
      </c>
      <c r="U176" s="54" t="s">
        <v>3451</v>
      </c>
      <c r="V176" s="57" t="s">
        <v>495</v>
      </c>
    </row>
    <row r="177" spans="1:22" ht="15" customHeight="1" x14ac:dyDescent="0.25">
      <c r="A177" s="50" t="s">
        <v>4337</v>
      </c>
      <c r="B177" s="50" t="s">
        <v>2629</v>
      </c>
      <c r="C177" s="50" t="s">
        <v>3951</v>
      </c>
      <c r="D177" s="50" t="s">
        <v>3958</v>
      </c>
      <c r="E177" s="51">
        <v>2.6695000000000002</v>
      </c>
      <c r="F177" s="51">
        <v>1.9512</v>
      </c>
      <c r="G177" s="51">
        <f t="shared" si="10"/>
        <v>0.72</v>
      </c>
      <c r="H177" s="60">
        <f t="shared" si="11"/>
        <v>73.099999999999994</v>
      </c>
      <c r="I177" s="50" t="s">
        <v>4338</v>
      </c>
      <c r="J177" s="50" t="s">
        <v>617</v>
      </c>
      <c r="K177" s="50" t="s">
        <v>3960</v>
      </c>
      <c r="L177" s="50" t="s">
        <v>3939</v>
      </c>
      <c r="M177" s="50" t="s">
        <v>576</v>
      </c>
      <c r="N177" s="50" t="s">
        <v>587</v>
      </c>
      <c r="O177" s="50" t="s">
        <v>3983</v>
      </c>
      <c r="P177" s="50" t="s">
        <v>630</v>
      </c>
      <c r="Q177" s="50">
        <v>249</v>
      </c>
      <c r="R177" s="50" t="s">
        <v>587</v>
      </c>
      <c r="S177" s="50" t="s">
        <v>587</v>
      </c>
      <c r="T177" s="50" t="s">
        <v>3933</v>
      </c>
      <c r="U177" s="50" t="s">
        <v>3451</v>
      </c>
      <c r="V177" s="53" t="s">
        <v>266</v>
      </c>
    </row>
    <row r="178" spans="1:22" ht="15" customHeight="1" x14ac:dyDescent="0.25">
      <c r="A178" s="50" t="s">
        <v>4339</v>
      </c>
      <c r="B178" s="50" t="s">
        <v>2976</v>
      </c>
      <c r="C178" s="50" t="s">
        <v>3528</v>
      </c>
      <c r="D178" s="50" t="s">
        <v>3935</v>
      </c>
      <c r="E178" s="51">
        <v>7.0155000000000003</v>
      </c>
      <c r="F178" s="51">
        <v>6.1836000000000002</v>
      </c>
      <c r="G178" s="51">
        <f t="shared" si="10"/>
        <v>0.83</v>
      </c>
      <c r="H178" s="60">
        <f t="shared" si="11"/>
        <v>88.1</v>
      </c>
      <c r="I178" s="50" t="s">
        <v>4340</v>
      </c>
      <c r="J178" s="50" t="s">
        <v>3954</v>
      </c>
      <c r="K178" s="50" t="s">
        <v>3949</v>
      </c>
      <c r="L178" s="50" t="s">
        <v>99</v>
      </c>
      <c r="M178" s="50" t="s">
        <v>576</v>
      </c>
      <c r="N178" s="50" t="s">
        <v>587</v>
      </c>
      <c r="O178" s="50" t="s">
        <v>3940</v>
      </c>
      <c r="P178" s="50" t="s">
        <v>667</v>
      </c>
      <c r="Q178" s="50">
        <v>131</v>
      </c>
      <c r="R178" s="50" t="s">
        <v>587</v>
      </c>
      <c r="S178" s="50" t="s">
        <v>587</v>
      </c>
      <c r="T178" s="50" t="s">
        <v>3965</v>
      </c>
      <c r="U178" s="50" t="s">
        <v>1652</v>
      </c>
      <c r="V178" s="53" t="s">
        <v>266</v>
      </c>
    </row>
    <row r="179" spans="1:22" ht="15" customHeight="1" x14ac:dyDescent="0.25">
      <c r="A179" s="54" t="s">
        <v>4341</v>
      </c>
      <c r="B179" s="54" t="s">
        <v>881</v>
      </c>
      <c r="C179" s="54" t="s">
        <v>1666</v>
      </c>
      <c r="D179" s="54" t="s">
        <v>3952</v>
      </c>
      <c r="E179" s="55">
        <v>8.3215000000000003</v>
      </c>
      <c r="F179" s="55">
        <v>3.2212000000000001</v>
      </c>
      <c r="G179" s="55">
        <f t="shared" si="10"/>
        <v>5.0999999999999996</v>
      </c>
      <c r="H179" s="59">
        <f t="shared" si="11"/>
        <v>38.700000000000003</v>
      </c>
      <c r="I179" s="54" t="s">
        <v>4342</v>
      </c>
      <c r="J179" s="54" t="s">
        <v>3943</v>
      </c>
      <c r="K179" s="54" t="s">
        <v>3955</v>
      </c>
      <c r="L179" s="54" t="s">
        <v>3944</v>
      </c>
      <c r="M179" s="54" t="s">
        <v>587</v>
      </c>
      <c r="N179" s="54" t="s">
        <v>576</v>
      </c>
      <c r="O179" s="54" t="s">
        <v>3956</v>
      </c>
      <c r="P179" s="54" t="s">
        <v>649</v>
      </c>
      <c r="Q179" s="54">
        <v>19</v>
      </c>
      <c r="R179" s="54" t="s">
        <v>587</v>
      </c>
      <c r="S179" s="54" t="s">
        <v>3480</v>
      </c>
      <c r="T179" s="54" t="s">
        <v>1652</v>
      </c>
      <c r="U179" s="54" t="s">
        <v>3480</v>
      </c>
      <c r="V179" s="57" t="s">
        <v>495</v>
      </c>
    </row>
    <row r="180" spans="1:22" ht="15" customHeight="1" x14ac:dyDescent="0.25">
      <c r="A180" s="46" t="s">
        <v>4343</v>
      </c>
      <c r="B180" s="46" t="s">
        <v>734</v>
      </c>
      <c r="C180" s="46" t="s">
        <v>4007</v>
      </c>
      <c r="D180" s="46" t="s">
        <v>3974</v>
      </c>
      <c r="E180" s="47">
        <v>1.6819</v>
      </c>
      <c r="F180" s="47">
        <v>0.97589999999999999</v>
      </c>
      <c r="G180" s="47">
        <f t="shared" si="10"/>
        <v>0.71</v>
      </c>
      <c r="H180" s="61">
        <f t="shared" si="11"/>
        <v>58</v>
      </c>
      <c r="I180" s="46" t="s">
        <v>4344</v>
      </c>
      <c r="J180" s="46" t="s">
        <v>3937</v>
      </c>
      <c r="K180" s="46" t="s">
        <v>3964</v>
      </c>
      <c r="L180" s="46" t="s">
        <v>141</v>
      </c>
      <c r="M180" s="46" t="s">
        <v>587</v>
      </c>
      <c r="N180" s="46" t="s">
        <v>576</v>
      </c>
      <c r="O180" s="46" t="s">
        <v>3983</v>
      </c>
      <c r="P180" s="46" t="s">
        <v>667</v>
      </c>
      <c r="Q180" s="46">
        <v>321</v>
      </c>
      <c r="R180" s="46" t="s">
        <v>587</v>
      </c>
      <c r="S180" s="46" t="s">
        <v>576</v>
      </c>
      <c r="T180" s="46" t="s">
        <v>3965</v>
      </c>
      <c r="U180" s="46" t="s">
        <v>3480</v>
      </c>
      <c r="V180" s="49" t="s">
        <v>321</v>
      </c>
    </row>
    <row r="181" spans="1:22" ht="15" customHeight="1" x14ac:dyDescent="0.25">
      <c r="A181" s="50" t="s">
        <v>4345</v>
      </c>
      <c r="B181" s="50" t="s">
        <v>1442</v>
      </c>
      <c r="C181" s="50" t="s">
        <v>1673</v>
      </c>
      <c r="D181" s="50" t="s">
        <v>3987</v>
      </c>
      <c r="E181" s="51">
        <v>3.4222999999999999</v>
      </c>
      <c r="F181" s="51">
        <v>2.3650000000000002</v>
      </c>
      <c r="G181" s="51">
        <f t="shared" si="10"/>
        <v>1.06</v>
      </c>
      <c r="H181" s="60">
        <f t="shared" si="11"/>
        <v>69.099999999999994</v>
      </c>
      <c r="I181" s="50" t="s">
        <v>4346</v>
      </c>
      <c r="J181" s="50" t="s">
        <v>617</v>
      </c>
      <c r="K181" s="50" t="s">
        <v>3955</v>
      </c>
      <c r="L181" s="50" t="s">
        <v>99</v>
      </c>
      <c r="M181" s="50" t="s">
        <v>587</v>
      </c>
      <c r="N181" s="50" t="s">
        <v>587</v>
      </c>
      <c r="O181" s="50" t="s">
        <v>3956</v>
      </c>
      <c r="P181" s="50" t="s">
        <v>3049</v>
      </c>
      <c r="Q181" s="50">
        <v>56</v>
      </c>
      <c r="R181" s="50" t="s">
        <v>576</v>
      </c>
      <c r="S181" s="50" t="s">
        <v>576</v>
      </c>
      <c r="T181" s="50" t="s">
        <v>3933</v>
      </c>
      <c r="U181" s="50" t="s">
        <v>1652</v>
      </c>
      <c r="V181" s="53" t="s">
        <v>266</v>
      </c>
    </row>
    <row r="182" spans="1:22" ht="15" customHeight="1" x14ac:dyDescent="0.25">
      <c r="A182" s="54" t="s">
        <v>4347</v>
      </c>
      <c r="B182" s="54" t="s">
        <v>1892</v>
      </c>
      <c r="C182" s="54" t="s">
        <v>3967</v>
      </c>
      <c r="D182" s="54" t="s">
        <v>4004</v>
      </c>
      <c r="E182" s="55">
        <v>9.577</v>
      </c>
      <c r="F182" s="55">
        <v>3.1385999999999998</v>
      </c>
      <c r="G182" s="55">
        <f t="shared" si="10"/>
        <v>6.44</v>
      </c>
      <c r="H182" s="59">
        <f t="shared" si="11"/>
        <v>32.799999999999997</v>
      </c>
      <c r="I182" s="54" t="s">
        <v>4348</v>
      </c>
      <c r="J182" s="54" t="s">
        <v>4002</v>
      </c>
      <c r="K182" s="54" t="s">
        <v>3932</v>
      </c>
      <c r="L182" s="54" t="s">
        <v>99</v>
      </c>
      <c r="M182" s="54" t="s">
        <v>576</v>
      </c>
      <c r="N182" s="54" t="s">
        <v>576</v>
      </c>
      <c r="O182" s="54" t="s">
        <v>3495</v>
      </c>
      <c r="P182" s="54" t="s">
        <v>3076</v>
      </c>
      <c r="Q182" s="54">
        <v>129</v>
      </c>
      <c r="R182" s="54" t="s">
        <v>587</v>
      </c>
      <c r="S182" s="54" t="s">
        <v>587</v>
      </c>
      <c r="T182" s="54" t="s">
        <v>3933</v>
      </c>
      <c r="U182" s="54" t="s">
        <v>1652</v>
      </c>
      <c r="V182" s="57" t="s">
        <v>495</v>
      </c>
    </row>
    <row r="183" spans="1:22" ht="15" customHeight="1" x14ac:dyDescent="0.25">
      <c r="A183" s="50" t="s">
        <v>4349</v>
      </c>
      <c r="B183" s="50" t="s">
        <v>1760</v>
      </c>
      <c r="C183" s="50" t="s">
        <v>3474</v>
      </c>
      <c r="D183" s="50" t="s">
        <v>4004</v>
      </c>
      <c r="E183" s="51">
        <v>1.8394999999999999</v>
      </c>
      <c r="F183" s="51">
        <v>1.2879</v>
      </c>
      <c r="G183" s="51">
        <f t="shared" si="10"/>
        <v>0.55000000000000004</v>
      </c>
      <c r="H183" s="60">
        <f t="shared" si="11"/>
        <v>70</v>
      </c>
      <c r="I183" s="50" t="s">
        <v>4350</v>
      </c>
      <c r="J183" s="50" t="s">
        <v>3954</v>
      </c>
      <c r="K183" s="50" t="s">
        <v>3932</v>
      </c>
      <c r="L183" s="50" t="s">
        <v>99</v>
      </c>
      <c r="M183" s="50" t="s">
        <v>587</v>
      </c>
      <c r="N183" s="50" t="s">
        <v>587</v>
      </c>
      <c r="O183" s="50" t="s">
        <v>3495</v>
      </c>
      <c r="P183" s="50" t="s">
        <v>621</v>
      </c>
      <c r="Q183" s="50">
        <v>198</v>
      </c>
      <c r="R183" s="50" t="s">
        <v>587</v>
      </c>
      <c r="S183" s="50" t="s">
        <v>576</v>
      </c>
      <c r="T183" s="50" t="s">
        <v>3480</v>
      </c>
      <c r="U183" s="50" t="s">
        <v>3480</v>
      </c>
      <c r="V183" s="53" t="s">
        <v>266</v>
      </c>
    </row>
    <row r="184" spans="1:22" ht="15" customHeight="1" x14ac:dyDescent="0.25">
      <c r="A184" s="54" t="s">
        <v>4351</v>
      </c>
      <c r="B184" s="54" t="s">
        <v>4042</v>
      </c>
      <c r="C184" s="54" t="s">
        <v>1666</v>
      </c>
      <c r="D184" s="54" t="s">
        <v>3952</v>
      </c>
      <c r="E184" s="55">
        <v>2.9988000000000001</v>
      </c>
      <c r="F184" s="55">
        <v>0.2155</v>
      </c>
      <c r="G184" s="55">
        <f t="shared" si="10"/>
        <v>2.78</v>
      </c>
      <c r="H184" s="59">
        <f t="shared" si="11"/>
        <v>7.2</v>
      </c>
      <c r="I184" s="54" t="s">
        <v>4352</v>
      </c>
      <c r="J184" s="54" t="s">
        <v>3943</v>
      </c>
      <c r="K184" s="54" t="s">
        <v>3932</v>
      </c>
      <c r="L184" s="54" t="s">
        <v>99</v>
      </c>
      <c r="M184" s="54" t="s">
        <v>576</v>
      </c>
      <c r="N184" s="54" t="s">
        <v>576</v>
      </c>
      <c r="O184" s="54" t="s">
        <v>3512</v>
      </c>
      <c r="P184" s="54" t="s">
        <v>578</v>
      </c>
      <c r="Q184" s="54">
        <v>132</v>
      </c>
      <c r="R184" s="54" t="s">
        <v>587</v>
      </c>
      <c r="S184" s="54" t="s">
        <v>3480</v>
      </c>
      <c r="T184" s="54" t="s">
        <v>3933</v>
      </c>
      <c r="U184" s="54" t="s">
        <v>1652</v>
      </c>
      <c r="V184" s="57" t="s">
        <v>495</v>
      </c>
    </row>
    <row r="185" spans="1:22" ht="15" customHeight="1" x14ac:dyDescent="0.25">
      <c r="A185" s="46" t="s">
        <v>4353</v>
      </c>
      <c r="B185" s="46" t="s">
        <v>761</v>
      </c>
      <c r="C185" s="46" t="s">
        <v>1673</v>
      </c>
      <c r="D185" s="46" t="s">
        <v>4037</v>
      </c>
      <c r="E185" s="47">
        <v>6.6783000000000001</v>
      </c>
      <c r="F185" s="47">
        <v>3.8515999999999999</v>
      </c>
      <c r="G185" s="47">
        <f t="shared" si="10"/>
        <v>2.83</v>
      </c>
      <c r="H185" s="61">
        <f t="shared" si="11"/>
        <v>57.7</v>
      </c>
      <c r="I185" s="46" t="s">
        <v>4354</v>
      </c>
      <c r="J185" s="46" t="s">
        <v>4002</v>
      </c>
      <c r="K185" s="46" t="s">
        <v>3960</v>
      </c>
      <c r="L185" s="46" t="s">
        <v>134</v>
      </c>
      <c r="M185" s="46" t="s">
        <v>576</v>
      </c>
      <c r="N185" s="46" t="s">
        <v>587</v>
      </c>
      <c r="O185" s="46" t="s">
        <v>3956</v>
      </c>
      <c r="P185" s="46" t="s">
        <v>3049</v>
      </c>
      <c r="Q185" s="46">
        <v>304</v>
      </c>
      <c r="R185" s="46" t="s">
        <v>576</v>
      </c>
      <c r="S185" s="46" t="s">
        <v>3480</v>
      </c>
      <c r="T185" s="46" t="s">
        <v>3965</v>
      </c>
      <c r="U185" s="46" t="s">
        <v>3480</v>
      </c>
      <c r="V185" s="49" t="s">
        <v>321</v>
      </c>
    </row>
    <row r="186" spans="1:22" ht="15" customHeight="1" x14ac:dyDescent="0.25">
      <c r="A186" s="50" t="s">
        <v>4355</v>
      </c>
      <c r="B186" s="50" t="s">
        <v>1158</v>
      </c>
      <c r="C186" s="50" t="s">
        <v>3929</v>
      </c>
      <c r="D186" s="50" t="s">
        <v>3952</v>
      </c>
      <c r="E186" s="51">
        <v>8.1081000000000003</v>
      </c>
      <c r="F186" s="51">
        <v>7.0438000000000001</v>
      </c>
      <c r="G186" s="51">
        <f t="shared" si="10"/>
        <v>1.06</v>
      </c>
      <c r="H186" s="60">
        <f t="shared" si="11"/>
        <v>86.9</v>
      </c>
      <c r="I186" s="50" t="s">
        <v>4356</v>
      </c>
      <c r="J186" s="50" t="s">
        <v>3954</v>
      </c>
      <c r="K186" s="50" t="s">
        <v>3960</v>
      </c>
      <c r="L186" s="50" t="s">
        <v>3944</v>
      </c>
      <c r="M186" s="50" t="s">
        <v>576</v>
      </c>
      <c r="N186" s="50" t="s">
        <v>576</v>
      </c>
      <c r="O186" s="50" t="s">
        <v>3512</v>
      </c>
      <c r="P186" s="50" t="s">
        <v>656</v>
      </c>
      <c r="Q186" s="50">
        <v>379</v>
      </c>
      <c r="R186" s="50" t="s">
        <v>587</v>
      </c>
      <c r="S186" s="50" t="s">
        <v>576</v>
      </c>
      <c r="T186" s="50" t="s">
        <v>3480</v>
      </c>
      <c r="U186" s="50" t="s">
        <v>1652</v>
      </c>
      <c r="V186" s="53" t="s">
        <v>266</v>
      </c>
    </row>
    <row r="187" spans="1:22" ht="15" customHeight="1" x14ac:dyDescent="0.25">
      <c r="A187" s="54" t="s">
        <v>4357</v>
      </c>
      <c r="B187" s="54" t="s">
        <v>1529</v>
      </c>
      <c r="C187" s="54" t="s">
        <v>1666</v>
      </c>
      <c r="D187" s="54" t="s">
        <v>3977</v>
      </c>
      <c r="E187" s="55">
        <v>5.5445000000000002</v>
      </c>
      <c r="F187" s="55">
        <v>2.2585999999999999</v>
      </c>
      <c r="G187" s="55">
        <f t="shared" si="10"/>
        <v>3.29</v>
      </c>
      <c r="H187" s="59">
        <f t="shared" si="11"/>
        <v>40.700000000000003</v>
      </c>
      <c r="I187" s="54" t="s">
        <v>4358</v>
      </c>
      <c r="J187" s="54" t="s">
        <v>3982</v>
      </c>
      <c r="K187" s="54" t="s">
        <v>3949</v>
      </c>
      <c r="L187" s="54" t="s">
        <v>99</v>
      </c>
      <c r="M187" s="54" t="s">
        <v>587</v>
      </c>
      <c r="N187" s="54" t="s">
        <v>587</v>
      </c>
      <c r="O187" s="54" t="s">
        <v>3940</v>
      </c>
      <c r="P187" s="54" t="s">
        <v>630</v>
      </c>
      <c r="Q187" s="54">
        <v>400</v>
      </c>
      <c r="R187" s="54" t="s">
        <v>576</v>
      </c>
      <c r="S187" s="54" t="s">
        <v>587</v>
      </c>
      <c r="T187" s="54" t="s">
        <v>3992</v>
      </c>
      <c r="U187" s="54" t="s">
        <v>3480</v>
      </c>
      <c r="V187" s="57" t="s">
        <v>495</v>
      </c>
    </row>
    <row r="188" spans="1:22" ht="15" customHeight="1" x14ac:dyDescent="0.25">
      <c r="A188" s="46" t="s">
        <v>4359</v>
      </c>
      <c r="B188" s="46" t="s">
        <v>1560</v>
      </c>
      <c r="C188" s="46" t="s">
        <v>4007</v>
      </c>
      <c r="D188" s="46" t="s">
        <v>3935</v>
      </c>
      <c r="E188" s="47">
        <v>0.10970000000000001</v>
      </c>
      <c r="F188" s="47">
        <v>6.9000000000000006E-2</v>
      </c>
      <c r="G188" s="47">
        <f t="shared" si="10"/>
        <v>0.04</v>
      </c>
      <c r="H188" s="61">
        <f t="shared" si="11"/>
        <v>62.9</v>
      </c>
      <c r="I188" s="46" t="s">
        <v>4360</v>
      </c>
      <c r="J188" s="46" t="s">
        <v>617</v>
      </c>
      <c r="K188" s="46" t="s">
        <v>3960</v>
      </c>
      <c r="L188" s="46" t="s">
        <v>134</v>
      </c>
      <c r="M188" s="46" t="s">
        <v>576</v>
      </c>
      <c r="N188" s="46" t="s">
        <v>576</v>
      </c>
      <c r="O188" s="46" t="s">
        <v>3495</v>
      </c>
      <c r="P188" s="46" t="s">
        <v>578</v>
      </c>
      <c r="Q188" s="46">
        <v>167</v>
      </c>
      <c r="R188" s="46" t="s">
        <v>576</v>
      </c>
      <c r="S188" s="46" t="s">
        <v>576</v>
      </c>
      <c r="T188" s="46" t="s">
        <v>3992</v>
      </c>
      <c r="U188" s="46" t="s">
        <v>1652</v>
      </c>
      <c r="V188" s="49" t="s">
        <v>321</v>
      </c>
    </row>
    <row r="189" spans="1:22" ht="15" customHeight="1" x14ac:dyDescent="0.25">
      <c r="A189" s="54" t="s">
        <v>4361</v>
      </c>
      <c r="B189" s="54" t="s">
        <v>1431</v>
      </c>
      <c r="C189" s="54" t="s">
        <v>3929</v>
      </c>
      <c r="D189" s="54" t="s">
        <v>4004</v>
      </c>
      <c r="E189" s="55">
        <v>2.516</v>
      </c>
      <c r="F189" s="55">
        <v>1.2452000000000001</v>
      </c>
      <c r="G189" s="55">
        <f t="shared" si="10"/>
        <v>1.27</v>
      </c>
      <c r="H189" s="59">
        <f t="shared" si="11"/>
        <v>49.5</v>
      </c>
      <c r="I189" s="54" t="s">
        <v>4362</v>
      </c>
      <c r="J189" s="54" t="s">
        <v>4002</v>
      </c>
      <c r="K189" s="54" t="s">
        <v>3964</v>
      </c>
      <c r="L189" s="54" t="s">
        <v>134</v>
      </c>
      <c r="M189" s="54" t="s">
        <v>587</v>
      </c>
      <c r="N189" s="54" t="s">
        <v>576</v>
      </c>
      <c r="O189" s="54" t="s">
        <v>3956</v>
      </c>
      <c r="P189" s="54" t="s">
        <v>3076</v>
      </c>
      <c r="Q189" s="54">
        <v>166</v>
      </c>
      <c r="R189" s="54" t="s">
        <v>587</v>
      </c>
      <c r="S189" s="54" t="s">
        <v>587</v>
      </c>
      <c r="T189" s="54" t="s">
        <v>3965</v>
      </c>
      <c r="U189" s="54" t="s">
        <v>1652</v>
      </c>
      <c r="V189" s="57" t="s">
        <v>495</v>
      </c>
    </row>
    <row r="190" spans="1:22" ht="15" customHeight="1" x14ac:dyDescent="0.25">
      <c r="A190" s="50" t="s">
        <v>4363</v>
      </c>
      <c r="B190" s="50" t="s">
        <v>1542</v>
      </c>
      <c r="C190" s="50" t="s">
        <v>1673</v>
      </c>
      <c r="D190" s="50" t="s">
        <v>3987</v>
      </c>
      <c r="E190" s="51">
        <v>0.1842</v>
      </c>
      <c r="F190" s="51">
        <v>0.13869999999999999</v>
      </c>
      <c r="G190" s="51">
        <f t="shared" si="10"/>
        <v>0.05</v>
      </c>
      <c r="H190" s="60">
        <f t="shared" si="11"/>
        <v>75.3</v>
      </c>
      <c r="I190" s="50" t="s">
        <v>4364</v>
      </c>
      <c r="J190" s="50" t="s">
        <v>3982</v>
      </c>
      <c r="K190" s="50" t="s">
        <v>4017</v>
      </c>
      <c r="L190" s="50" t="s">
        <v>3944</v>
      </c>
      <c r="M190" s="50" t="s">
        <v>587</v>
      </c>
      <c r="N190" s="50" t="s">
        <v>587</v>
      </c>
      <c r="O190" s="50" t="s">
        <v>3512</v>
      </c>
      <c r="P190" s="50" t="s">
        <v>630</v>
      </c>
      <c r="Q190" s="50">
        <v>279</v>
      </c>
      <c r="R190" s="50" t="s">
        <v>576</v>
      </c>
      <c r="S190" s="50" t="s">
        <v>576</v>
      </c>
      <c r="T190" s="50" t="s">
        <v>3965</v>
      </c>
      <c r="U190" s="50" t="s">
        <v>3480</v>
      </c>
      <c r="V190" s="53" t="s">
        <v>266</v>
      </c>
    </row>
    <row r="191" spans="1:22" ht="15" customHeight="1" x14ac:dyDescent="0.25">
      <c r="A191" s="54" t="s">
        <v>4365</v>
      </c>
      <c r="B191" s="54" t="s">
        <v>1746</v>
      </c>
      <c r="C191" s="54" t="s">
        <v>1666</v>
      </c>
      <c r="D191" s="54" t="s">
        <v>3930</v>
      </c>
      <c r="E191" s="55">
        <v>0.84760000000000002</v>
      </c>
      <c r="F191" s="55">
        <v>0.22819999999999999</v>
      </c>
      <c r="G191" s="55">
        <f t="shared" si="10"/>
        <v>0.62</v>
      </c>
      <c r="H191" s="59">
        <f t="shared" si="11"/>
        <v>26.9</v>
      </c>
      <c r="I191" s="54" t="s">
        <v>4366</v>
      </c>
      <c r="J191" s="54" t="s">
        <v>3943</v>
      </c>
      <c r="K191" s="54" t="s">
        <v>3955</v>
      </c>
      <c r="L191" s="54" t="s">
        <v>3944</v>
      </c>
      <c r="M191" s="54" t="s">
        <v>576</v>
      </c>
      <c r="N191" s="54" t="s">
        <v>576</v>
      </c>
      <c r="O191" s="54" t="s">
        <v>3983</v>
      </c>
      <c r="P191" s="54" t="s">
        <v>597</v>
      </c>
      <c r="Q191" s="54">
        <v>56</v>
      </c>
      <c r="R191" s="54" t="s">
        <v>576</v>
      </c>
      <c r="S191" s="54" t="s">
        <v>576</v>
      </c>
      <c r="T191" s="54" t="s">
        <v>3933</v>
      </c>
      <c r="U191" s="54" t="s">
        <v>3451</v>
      </c>
      <c r="V191" s="57" t="s">
        <v>495</v>
      </c>
    </row>
    <row r="192" spans="1:22" ht="15" customHeight="1" x14ac:dyDescent="0.25">
      <c r="A192" s="54" t="s">
        <v>4367</v>
      </c>
      <c r="B192" s="54" t="s">
        <v>4368</v>
      </c>
      <c r="C192" s="54" t="s">
        <v>1666</v>
      </c>
      <c r="D192" s="54" t="s">
        <v>4004</v>
      </c>
      <c r="E192" s="55">
        <v>3.1739999999999999</v>
      </c>
      <c r="F192" s="55">
        <v>0.58399999999999996</v>
      </c>
      <c r="G192" s="55">
        <f t="shared" si="10"/>
        <v>2.59</v>
      </c>
      <c r="H192" s="59">
        <f t="shared" si="11"/>
        <v>18.399999999999999</v>
      </c>
      <c r="I192" s="54" t="s">
        <v>4369</v>
      </c>
      <c r="J192" s="54" t="s">
        <v>3954</v>
      </c>
      <c r="K192" s="54" t="s">
        <v>3955</v>
      </c>
      <c r="L192" s="54" t="s">
        <v>134</v>
      </c>
      <c r="M192" s="54" t="s">
        <v>576</v>
      </c>
      <c r="N192" s="54" t="s">
        <v>576</v>
      </c>
      <c r="O192" s="54" t="s">
        <v>3983</v>
      </c>
      <c r="P192" s="54" t="s">
        <v>688</v>
      </c>
      <c r="Q192" s="54">
        <v>383</v>
      </c>
      <c r="R192" s="54" t="s">
        <v>576</v>
      </c>
      <c r="S192" s="54" t="s">
        <v>3480</v>
      </c>
      <c r="T192" s="54" t="s">
        <v>1652</v>
      </c>
      <c r="U192" s="54" t="s">
        <v>3480</v>
      </c>
      <c r="V192" s="57" t="s">
        <v>495</v>
      </c>
    </row>
    <row r="193" spans="1:22" ht="15" customHeight="1" x14ac:dyDescent="0.25">
      <c r="A193" s="46" t="s">
        <v>4370</v>
      </c>
      <c r="B193" s="46" t="s">
        <v>1937</v>
      </c>
      <c r="C193" s="46" t="s">
        <v>3967</v>
      </c>
      <c r="D193" s="46" t="s">
        <v>3958</v>
      </c>
      <c r="E193" s="47">
        <v>7.2643000000000004</v>
      </c>
      <c r="F193" s="47">
        <v>4.5289999999999999</v>
      </c>
      <c r="G193" s="47">
        <f t="shared" si="10"/>
        <v>2.74</v>
      </c>
      <c r="H193" s="61">
        <f t="shared" si="11"/>
        <v>62.3</v>
      </c>
      <c r="I193" s="46" t="s">
        <v>4371</v>
      </c>
      <c r="J193" s="46" t="s">
        <v>3937</v>
      </c>
      <c r="K193" s="46" t="s">
        <v>3991</v>
      </c>
      <c r="L193" s="46" t="s">
        <v>99</v>
      </c>
      <c r="M193" s="46" t="s">
        <v>576</v>
      </c>
      <c r="N193" s="46" t="s">
        <v>587</v>
      </c>
      <c r="O193" s="46" t="s">
        <v>3956</v>
      </c>
      <c r="P193" s="46" t="s">
        <v>3052</v>
      </c>
      <c r="Q193" s="46">
        <v>199</v>
      </c>
      <c r="R193" s="46" t="s">
        <v>576</v>
      </c>
      <c r="S193" s="46" t="s">
        <v>587</v>
      </c>
      <c r="T193" s="46" t="s">
        <v>3480</v>
      </c>
      <c r="U193" s="46" t="s">
        <v>3480</v>
      </c>
      <c r="V193" s="49" t="s">
        <v>321</v>
      </c>
    </row>
    <row r="194" spans="1:22" ht="15" customHeight="1" x14ac:dyDescent="0.25">
      <c r="A194" s="54" t="s">
        <v>4372</v>
      </c>
      <c r="B194" s="54" t="s">
        <v>1009</v>
      </c>
      <c r="C194" s="54" t="s">
        <v>4007</v>
      </c>
      <c r="D194" s="54" t="s">
        <v>3974</v>
      </c>
      <c r="E194" s="55">
        <v>4.8731999999999998</v>
      </c>
      <c r="F194" s="55">
        <v>0.44619999999999999</v>
      </c>
      <c r="G194" s="55">
        <f t="shared" si="10"/>
        <v>4.43</v>
      </c>
      <c r="H194" s="59">
        <f t="shared" si="11"/>
        <v>9.1999999999999993</v>
      </c>
      <c r="I194" s="54" t="s">
        <v>4373</v>
      </c>
      <c r="J194" s="54" t="s">
        <v>3982</v>
      </c>
      <c r="K194" s="54" t="s">
        <v>3955</v>
      </c>
      <c r="L194" s="54" t="s">
        <v>141</v>
      </c>
      <c r="M194" s="54" t="s">
        <v>587</v>
      </c>
      <c r="N194" s="54" t="s">
        <v>576</v>
      </c>
      <c r="O194" s="54" t="s">
        <v>3983</v>
      </c>
      <c r="P194" s="54" t="s">
        <v>621</v>
      </c>
      <c r="Q194" s="54">
        <v>9</v>
      </c>
      <c r="R194" s="54" t="s">
        <v>587</v>
      </c>
      <c r="S194" s="54" t="s">
        <v>576</v>
      </c>
      <c r="T194" s="54" t="s">
        <v>3965</v>
      </c>
      <c r="U194" s="54" t="s">
        <v>1652</v>
      </c>
      <c r="V194" s="57" t="s">
        <v>495</v>
      </c>
    </row>
    <row r="195" spans="1:22" ht="15" customHeight="1" x14ac:dyDescent="0.25">
      <c r="A195" s="54" t="s">
        <v>4374</v>
      </c>
      <c r="B195" s="54" t="s">
        <v>2239</v>
      </c>
      <c r="C195" s="54" t="s">
        <v>3967</v>
      </c>
      <c r="D195" s="54" t="s">
        <v>3952</v>
      </c>
      <c r="E195" s="55">
        <v>8.7264999999999997</v>
      </c>
      <c r="F195" s="55">
        <v>0.65300000000000002</v>
      </c>
      <c r="G195" s="55">
        <f t="shared" ref="G195:G226" si="12">ROUND(E195-F195,2)</f>
        <v>8.07</v>
      </c>
      <c r="H195" s="59">
        <f t="shared" ref="H195:H202" si="13">ROUND(F195/E195*100,1)</f>
        <v>7.5</v>
      </c>
      <c r="I195" s="54" t="s">
        <v>4375</v>
      </c>
      <c r="J195" s="54" t="s">
        <v>3943</v>
      </c>
      <c r="K195" s="54" t="s">
        <v>3938</v>
      </c>
      <c r="L195" s="54" t="s">
        <v>141</v>
      </c>
      <c r="M195" s="54" t="s">
        <v>576</v>
      </c>
      <c r="N195" s="54" t="s">
        <v>576</v>
      </c>
      <c r="O195" s="54" t="s">
        <v>3940</v>
      </c>
      <c r="P195" s="54" t="s">
        <v>656</v>
      </c>
      <c r="Q195" s="54">
        <v>275</v>
      </c>
      <c r="R195" s="54" t="s">
        <v>587</v>
      </c>
      <c r="S195" s="54" t="s">
        <v>576</v>
      </c>
      <c r="T195" s="54" t="s">
        <v>1652</v>
      </c>
      <c r="U195" s="54" t="s">
        <v>3480</v>
      </c>
      <c r="V195" s="57" t="s">
        <v>495</v>
      </c>
    </row>
    <row r="196" spans="1:22" ht="15" customHeight="1" x14ac:dyDescent="0.25">
      <c r="A196" s="54" t="s">
        <v>4376</v>
      </c>
      <c r="B196" s="54" t="s">
        <v>3783</v>
      </c>
      <c r="C196" s="54" t="s">
        <v>3946</v>
      </c>
      <c r="D196" s="54" t="s">
        <v>3987</v>
      </c>
      <c r="E196" s="55">
        <v>8.0055999999999994</v>
      </c>
      <c r="F196" s="55">
        <v>2.5901000000000001</v>
      </c>
      <c r="G196" s="55">
        <f t="shared" si="12"/>
        <v>5.42</v>
      </c>
      <c r="H196" s="59">
        <f t="shared" si="13"/>
        <v>32.4</v>
      </c>
      <c r="I196" s="54" t="s">
        <v>4377</v>
      </c>
      <c r="J196" s="54" t="s">
        <v>3982</v>
      </c>
      <c r="K196" s="54" t="s">
        <v>4017</v>
      </c>
      <c r="L196" s="54" t="s">
        <v>3939</v>
      </c>
      <c r="M196" s="54" t="s">
        <v>587</v>
      </c>
      <c r="N196" s="54" t="s">
        <v>576</v>
      </c>
      <c r="O196" s="54" t="s">
        <v>3961</v>
      </c>
      <c r="P196" s="54" t="s">
        <v>649</v>
      </c>
      <c r="Q196" s="54">
        <v>181</v>
      </c>
      <c r="R196" s="54" t="s">
        <v>587</v>
      </c>
      <c r="S196" s="54" t="s">
        <v>587</v>
      </c>
      <c r="T196" s="54" t="s">
        <v>1652</v>
      </c>
      <c r="U196" s="54" t="s">
        <v>3480</v>
      </c>
      <c r="V196" s="57" t="s">
        <v>495</v>
      </c>
    </row>
    <row r="197" spans="1:22" ht="15" customHeight="1" x14ac:dyDescent="0.25">
      <c r="A197" s="54" t="s">
        <v>4378</v>
      </c>
      <c r="B197" s="54" t="s">
        <v>3537</v>
      </c>
      <c r="C197" s="54" t="s">
        <v>4007</v>
      </c>
      <c r="D197" s="54" t="s">
        <v>3974</v>
      </c>
      <c r="E197" s="55">
        <v>5.0353000000000003</v>
      </c>
      <c r="F197" s="55">
        <v>1.3227</v>
      </c>
      <c r="G197" s="55">
        <f t="shared" si="12"/>
        <v>3.71</v>
      </c>
      <c r="H197" s="59">
        <f t="shared" si="13"/>
        <v>26.3</v>
      </c>
      <c r="I197" s="54" t="s">
        <v>4379</v>
      </c>
      <c r="J197" s="54" t="s">
        <v>3943</v>
      </c>
      <c r="K197" s="54" t="s">
        <v>3960</v>
      </c>
      <c r="L197" s="54" t="s">
        <v>3939</v>
      </c>
      <c r="M197" s="54" t="s">
        <v>587</v>
      </c>
      <c r="N197" s="54" t="s">
        <v>576</v>
      </c>
      <c r="O197" s="54" t="s">
        <v>3940</v>
      </c>
      <c r="P197" s="54" t="s">
        <v>667</v>
      </c>
      <c r="Q197" s="54">
        <v>304</v>
      </c>
      <c r="R197" s="54" t="s">
        <v>587</v>
      </c>
      <c r="S197" s="54" t="s">
        <v>587</v>
      </c>
      <c r="T197" s="54" t="s">
        <v>1652</v>
      </c>
      <c r="U197" s="54" t="s">
        <v>1652</v>
      </c>
      <c r="V197" s="57" t="s">
        <v>495</v>
      </c>
    </row>
    <row r="198" spans="1:22" ht="15" customHeight="1" x14ac:dyDescent="0.25">
      <c r="A198" s="50" t="s">
        <v>4380</v>
      </c>
      <c r="B198" s="50" t="s">
        <v>1509</v>
      </c>
      <c r="C198" s="50" t="s">
        <v>3929</v>
      </c>
      <c r="D198" s="50" t="s">
        <v>3935</v>
      </c>
      <c r="E198" s="51">
        <v>5.4846000000000004</v>
      </c>
      <c r="F198" s="51">
        <v>4.9139999999999997</v>
      </c>
      <c r="G198" s="51">
        <f t="shared" si="12"/>
        <v>0.56999999999999995</v>
      </c>
      <c r="H198" s="60">
        <f t="shared" si="13"/>
        <v>89.6</v>
      </c>
      <c r="I198" s="50" t="s">
        <v>4381</v>
      </c>
      <c r="J198" s="50" t="s">
        <v>3982</v>
      </c>
      <c r="K198" s="50" t="s">
        <v>3949</v>
      </c>
      <c r="L198" s="50" t="s">
        <v>99</v>
      </c>
      <c r="M198" s="50" t="s">
        <v>587</v>
      </c>
      <c r="N198" s="50" t="s">
        <v>576</v>
      </c>
      <c r="O198" s="50" t="s">
        <v>3956</v>
      </c>
      <c r="P198" s="50" t="s">
        <v>688</v>
      </c>
      <c r="Q198" s="50">
        <v>273</v>
      </c>
      <c r="R198" s="50" t="s">
        <v>587</v>
      </c>
      <c r="S198" s="50" t="s">
        <v>3480</v>
      </c>
      <c r="T198" s="50" t="s">
        <v>3933</v>
      </c>
      <c r="U198" s="50" t="s">
        <v>1652</v>
      </c>
      <c r="V198" s="53" t="s">
        <v>266</v>
      </c>
    </row>
    <row r="199" spans="1:22" ht="15" customHeight="1" x14ac:dyDescent="0.25">
      <c r="A199" s="50" t="s">
        <v>4382</v>
      </c>
      <c r="B199" s="50" t="s">
        <v>1073</v>
      </c>
      <c r="C199" s="50" t="s">
        <v>3474</v>
      </c>
      <c r="D199" s="50" t="s">
        <v>3947</v>
      </c>
      <c r="E199" s="51">
        <v>6.9051999999999998</v>
      </c>
      <c r="F199" s="51">
        <v>6.1101999999999999</v>
      </c>
      <c r="G199" s="51">
        <f t="shared" si="12"/>
        <v>0.8</v>
      </c>
      <c r="H199" s="60">
        <f t="shared" si="13"/>
        <v>88.5</v>
      </c>
      <c r="I199" s="50" t="s">
        <v>4383</v>
      </c>
      <c r="J199" s="50" t="s">
        <v>3943</v>
      </c>
      <c r="K199" s="50" t="s">
        <v>4017</v>
      </c>
      <c r="L199" s="50" t="s">
        <v>141</v>
      </c>
      <c r="M199" s="50" t="s">
        <v>587</v>
      </c>
      <c r="N199" s="50" t="s">
        <v>587</v>
      </c>
      <c r="O199" s="50" t="s">
        <v>3940</v>
      </c>
      <c r="P199" s="50" t="s">
        <v>649</v>
      </c>
      <c r="Q199" s="50">
        <v>95</v>
      </c>
      <c r="R199" s="50" t="s">
        <v>587</v>
      </c>
      <c r="S199" s="50" t="s">
        <v>587</v>
      </c>
      <c r="T199" s="50" t="s">
        <v>3992</v>
      </c>
      <c r="U199" s="50" t="s">
        <v>3480</v>
      </c>
      <c r="V199" s="53" t="s">
        <v>266</v>
      </c>
    </row>
    <row r="200" spans="1:22" ht="15" customHeight="1" x14ac:dyDescent="0.25">
      <c r="A200" s="54" t="s">
        <v>4384</v>
      </c>
      <c r="B200" s="54" t="s">
        <v>957</v>
      </c>
      <c r="C200" s="54" t="s">
        <v>1673</v>
      </c>
      <c r="D200" s="54" t="s">
        <v>3987</v>
      </c>
      <c r="E200" s="55">
        <v>9.5190999999999999</v>
      </c>
      <c r="F200" s="55">
        <v>1.4221999999999999</v>
      </c>
      <c r="G200" s="55">
        <f t="shared" si="12"/>
        <v>8.1</v>
      </c>
      <c r="H200" s="59">
        <f t="shared" si="13"/>
        <v>14.9</v>
      </c>
      <c r="I200" s="54" t="s">
        <v>4385</v>
      </c>
      <c r="J200" s="54" t="s">
        <v>3937</v>
      </c>
      <c r="K200" s="54" t="s">
        <v>3960</v>
      </c>
      <c r="L200" s="54" t="s">
        <v>134</v>
      </c>
      <c r="M200" s="54" t="s">
        <v>576</v>
      </c>
      <c r="N200" s="54" t="s">
        <v>576</v>
      </c>
      <c r="O200" s="54" t="s">
        <v>3495</v>
      </c>
      <c r="P200" s="54" t="s">
        <v>661</v>
      </c>
      <c r="Q200" s="54">
        <v>156</v>
      </c>
      <c r="R200" s="54" t="s">
        <v>576</v>
      </c>
      <c r="S200" s="54" t="s">
        <v>576</v>
      </c>
      <c r="T200" s="54" t="s">
        <v>3480</v>
      </c>
      <c r="U200" s="54" t="s">
        <v>3451</v>
      </c>
      <c r="V200" s="57" t="s">
        <v>495</v>
      </c>
    </row>
    <row r="201" spans="1:22" ht="15" customHeight="1" x14ac:dyDescent="0.25">
      <c r="A201" s="54" t="s">
        <v>4386</v>
      </c>
      <c r="B201" s="54" t="s">
        <v>1459</v>
      </c>
      <c r="C201" s="54" t="s">
        <v>3929</v>
      </c>
      <c r="D201" s="54" t="s">
        <v>3947</v>
      </c>
      <c r="E201" s="55">
        <v>8.8829999999999991</v>
      </c>
      <c r="F201" s="55">
        <v>3.7671999999999999</v>
      </c>
      <c r="G201" s="55">
        <f t="shared" si="12"/>
        <v>5.12</v>
      </c>
      <c r="H201" s="59">
        <f t="shared" si="13"/>
        <v>42.4</v>
      </c>
      <c r="I201" s="54" t="s">
        <v>4387</v>
      </c>
      <c r="J201" s="54" t="s">
        <v>4002</v>
      </c>
      <c r="K201" s="54" t="s">
        <v>3932</v>
      </c>
      <c r="L201" s="54" t="s">
        <v>3944</v>
      </c>
      <c r="M201" s="54" t="s">
        <v>587</v>
      </c>
      <c r="N201" s="54" t="s">
        <v>587</v>
      </c>
      <c r="O201" s="54" t="s">
        <v>3961</v>
      </c>
      <c r="P201" s="54" t="s">
        <v>3076</v>
      </c>
      <c r="Q201" s="54">
        <v>203</v>
      </c>
      <c r="R201" s="54" t="s">
        <v>587</v>
      </c>
      <c r="S201" s="54" t="s">
        <v>576</v>
      </c>
      <c r="T201" s="54" t="s">
        <v>3992</v>
      </c>
      <c r="U201" s="54" t="s">
        <v>3451</v>
      </c>
      <c r="V201" s="57" t="s">
        <v>495</v>
      </c>
    </row>
    <row r="202" spans="1:22" ht="15" customHeight="1" x14ac:dyDescent="0.25">
      <c r="A202" s="54" t="s">
        <v>4388</v>
      </c>
      <c r="B202" s="54" t="s">
        <v>2265</v>
      </c>
      <c r="C202" s="54" t="s">
        <v>3967</v>
      </c>
      <c r="D202" s="54" t="s">
        <v>3947</v>
      </c>
      <c r="E202" s="55">
        <v>0.12959999999999999</v>
      </c>
      <c r="F202" s="55">
        <v>3.8899999999999997E-2</v>
      </c>
      <c r="G202" s="55">
        <f t="shared" si="12"/>
        <v>0.09</v>
      </c>
      <c r="H202" s="59">
        <f t="shared" si="13"/>
        <v>30</v>
      </c>
      <c r="I202" s="54" t="s">
        <v>4389</v>
      </c>
      <c r="J202" s="54" t="s">
        <v>3937</v>
      </c>
      <c r="K202" s="54" t="s">
        <v>3964</v>
      </c>
      <c r="L202" s="54" t="s">
        <v>3944</v>
      </c>
      <c r="M202" s="54" t="s">
        <v>576</v>
      </c>
      <c r="N202" s="54" t="s">
        <v>576</v>
      </c>
      <c r="O202" s="54" t="s">
        <v>3495</v>
      </c>
      <c r="P202" s="54" t="s">
        <v>3076</v>
      </c>
      <c r="Q202" s="54">
        <v>97</v>
      </c>
      <c r="R202" s="54" t="s">
        <v>576</v>
      </c>
      <c r="S202" s="54" t="s">
        <v>3480</v>
      </c>
      <c r="T202" s="54" t="s">
        <v>3480</v>
      </c>
      <c r="U202" s="54" t="s">
        <v>1652</v>
      </c>
      <c r="V202" s="57" t="s">
        <v>495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2"/>
  <sheetViews>
    <sheetView zoomScaleNormal="100" workbookViewId="0">
      <pane xSplit="2" ySplit="2" topLeftCell="G3" activePane="bottomRight" state="frozen"/>
      <selection pane="topRight" activeCell="G1" sqref="G1"/>
      <selection pane="bottomLeft" activeCell="A3" sqref="A3"/>
      <selection pane="bottomRight" activeCell="H8" sqref="H8"/>
    </sheetView>
  </sheetViews>
  <sheetFormatPr defaultColWidth="8.7109375" defaultRowHeight="15" x14ac:dyDescent="0.25"/>
  <cols>
    <col min="1" max="1" width="11.5703125" customWidth="1"/>
    <col min="2" max="2" width="15.28515625" customWidth="1"/>
    <col min="3" max="3" width="19.42578125" customWidth="1"/>
    <col min="4" max="4" width="10.42578125" customWidth="1"/>
    <col min="5" max="5" width="20.28515625" customWidth="1"/>
    <col min="6" max="6" width="15.85546875" customWidth="1"/>
    <col min="7" max="7" width="15" customWidth="1"/>
    <col min="8" max="8" width="16.42578125" customWidth="1"/>
    <col min="9" max="9" width="18.7109375" customWidth="1"/>
    <col min="10" max="10" width="13.5703125" customWidth="1"/>
    <col min="11" max="11" width="21.42578125" customWidth="1"/>
    <col min="12" max="12" width="21" customWidth="1"/>
    <col min="13" max="13" width="14" customWidth="1"/>
    <col min="14" max="14" width="13.140625" customWidth="1"/>
    <col min="15" max="15" width="16" customWidth="1"/>
    <col min="16" max="16" width="14" customWidth="1"/>
    <col min="17" max="17" width="16.42578125" customWidth="1"/>
    <col min="18" max="18" width="14.7109375" customWidth="1"/>
    <col min="19" max="19" width="16.5703125" customWidth="1"/>
    <col min="20" max="20" width="18.140625" customWidth="1"/>
    <col min="21" max="21" width="8.28515625" customWidth="1"/>
    <col min="22" max="22" width="7" customWidth="1"/>
  </cols>
  <sheetData>
    <row r="1" spans="1:22" ht="37.5" customHeight="1" x14ac:dyDescent="0.25">
      <c r="A1" s="138" t="s">
        <v>4390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</row>
    <row r="2" spans="1:22" ht="21.75" customHeight="1" x14ac:dyDescent="0.25">
      <c r="A2" s="58" t="s">
        <v>4391</v>
      </c>
      <c r="B2" s="58" t="s">
        <v>4392</v>
      </c>
      <c r="C2" s="58" t="s">
        <v>4393</v>
      </c>
      <c r="D2" s="58" t="s">
        <v>4394</v>
      </c>
      <c r="E2" s="58" t="s">
        <v>4395</v>
      </c>
      <c r="F2" s="58" t="s">
        <v>4396</v>
      </c>
      <c r="G2" s="58" t="s">
        <v>4397</v>
      </c>
      <c r="H2" s="58" t="s">
        <v>4398</v>
      </c>
      <c r="I2" s="58" t="s">
        <v>4399</v>
      </c>
      <c r="J2" s="58" t="s">
        <v>4400</v>
      </c>
      <c r="K2" s="58" t="s">
        <v>4401</v>
      </c>
      <c r="L2" s="58" t="s">
        <v>4402</v>
      </c>
      <c r="M2" s="58" t="s">
        <v>4403</v>
      </c>
      <c r="N2" s="58" t="s">
        <v>4404</v>
      </c>
      <c r="O2" s="58" t="s">
        <v>4405</v>
      </c>
      <c r="P2" s="58" t="s">
        <v>4406</v>
      </c>
      <c r="Q2" s="58" t="s">
        <v>4407</v>
      </c>
      <c r="R2" s="58" t="s">
        <v>4408</v>
      </c>
      <c r="S2" s="58" t="s">
        <v>4409</v>
      </c>
      <c r="T2" s="58" t="s">
        <v>2735</v>
      </c>
      <c r="U2" s="58" t="s">
        <v>567</v>
      </c>
      <c r="V2" s="58" t="s">
        <v>568</v>
      </c>
    </row>
    <row r="3" spans="1:22" ht="15" customHeight="1" x14ac:dyDescent="0.25">
      <c r="A3" s="54" t="s">
        <v>4410</v>
      </c>
      <c r="B3" s="54" t="s">
        <v>4411</v>
      </c>
      <c r="C3" s="54" t="s">
        <v>4412</v>
      </c>
      <c r="D3" s="54" t="s">
        <v>622</v>
      </c>
      <c r="E3" s="55">
        <v>292.12</v>
      </c>
      <c r="F3" s="54" t="s">
        <v>4413</v>
      </c>
      <c r="G3" s="54" t="s">
        <v>4414</v>
      </c>
      <c r="H3" s="56">
        <v>98.56</v>
      </c>
      <c r="I3" s="56">
        <v>98.41</v>
      </c>
      <c r="J3" s="54" t="str">
        <f t="shared" ref="J3:J34" si="0">IF(I3&lt;H3,"Yes","No")</f>
        <v>Yes</v>
      </c>
      <c r="K3" s="54">
        <v>2.1</v>
      </c>
      <c r="L3" s="54" t="s">
        <v>4415</v>
      </c>
      <c r="M3" s="56">
        <v>73.099999999999994</v>
      </c>
      <c r="N3" s="54" t="s">
        <v>587</v>
      </c>
      <c r="O3" s="54" t="s">
        <v>576</v>
      </c>
      <c r="P3" s="54" t="s">
        <v>576</v>
      </c>
      <c r="Q3" s="54" t="s">
        <v>4416</v>
      </c>
      <c r="R3" s="54">
        <v>14</v>
      </c>
      <c r="S3" s="54">
        <v>5</v>
      </c>
      <c r="T3" s="54" t="s">
        <v>4417</v>
      </c>
      <c r="U3" s="54" t="s">
        <v>622</v>
      </c>
      <c r="V3" s="57" t="s">
        <v>495</v>
      </c>
    </row>
    <row r="4" spans="1:22" ht="25.5" customHeight="1" x14ac:dyDescent="0.25">
      <c r="A4" s="54" t="s">
        <v>4418</v>
      </c>
      <c r="B4" s="54" t="s">
        <v>4419</v>
      </c>
      <c r="C4" s="54" t="s">
        <v>4420</v>
      </c>
      <c r="D4" s="54" t="s">
        <v>622</v>
      </c>
      <c r="E4" s="55">
        <v>172.06</v>
      </c>
      <c r="F4" s="54" t="s">
        <v>4421</v>
      </c>
      <c r="G4" s="54" t="s">
        <v>4422</v>
      </c>
      <c r="H4" s="56">
        <v>98.17</v>
      </c>
      <c r="I4" s="56">
        <v>97.77</v>
      </c>
      <c r="J4" s="54" t="str">
        <f t="shared" si="0"/>
        <v>Yes</v>
      </c>
      <c r="K4" s="54">
        <v>3.8</v>
      </c>
      <c r="L4" s="54" t="s">
        <v>4415</v>
      </c>
      <c r="M4" s="56">
        <v>65.400000000000006</v>
      </c>
      <c r="N4" s="54" t="s">
        <v>4423</v>
      </c>
      <c r="O4" s="54" t="s">
        <v>4423</v>
      </c>
      <c r="P4" s="54" t="s">
        <v>1684</v>
      </c>
      <c r="Q4" s="54" t="s">
        <v>4416</v>
      </c>
      <c r="R4" s="54">
        <v>8</v>
      </c>
      <c r="S4" s="54">
        <v>18</v>
      </c>
      <c r="T4" s="54" t="s">
        <v>4424</v>
      </c>
      <c r="U4" s="54" t="s">
        <v>622</v>
      </c>
      <c r="V4" s="57" t="s">
        <v>495</v>
      </c>
    </row>
    <row r="5" spans="1:22" ht="15" customHeight="1" x14ac:dyDescent="0.25">
      <c r="A5" s="46" t="s">
        <v>4425</v>
      </c>
      <c r="B5" s="46" t="s">
        <v>4426</v>
      </c>
      <c r="C5" s="46" t="s">
        <v>4427</v>
      </c>
      <c r="D5" s="46" t="s">
        <v>1640</v>
      </c>
      <c r="E5" s="47">
        <v>351.07</v>
      </c>
      <c r="F5" s="46" t="s">
        <v>4428</v>
      </c>
      <c r="G5" s="46" t="s">
        <v>1615</v>
      </c>
      <c r="H5" s="48">
        <v>98.63</v>
      </c>
      <c r="I5" s="48">
        <v>95.38</v>
      </c>
      <c r="J5" s="46" t="str">
        <f t="shared" si="0"/>
        <v>Yes</v>
      </c>
      <c r="K5" s="46">
        <v>1.5</v>
      </c>
      <c r="L5" s="46" t="s">
        <v>4415</v>
      </c>
      <c r="M5" s="48">
        <v>20.6</v>
      </c>
      <c r="N5" s="46" t="s">
        <v>544</v>
      </c>
      <c r="O5" s="46" t="s">
        <v>544</v>
      </c>
      <c r="P5" s="46" t="s">
        <v>3015</v>
      </c>
      <c r="Q5" s="46" t="s">
        <v>587</v>
      </c>
      <c r="R5" s="46">
        <v>11</v>
      </c>
      <c r="S5" s="46">
        <v>16</v>
      </c>
      <c r="T5" s="46" t="s">
        <v>2739</v>
      </c>
      <c r="U5" s="46" t="s">
        <v>1640</v>
      </c>
      <c r="V5" s="49" t="s">
        <v>321</v>
      </c>
    </row>
    <row r="6" spans="1:22" ht="15" customHeight="1" x14ac:dyDescent="0.25">
      <c r="A6" s="54" t="s">
        <v>4429</v>
      </c>
      <c r="B6" s="54" t="s">
        <v>4430</v>
      </c>
      <c r="C6" s="54" t="s">
        <v>4431</v>
      </c>
      <c r="D6" s="54" t="s">
        <v>3472</v>
      </c>
      <c r="E6" s="55">
        <v>596.97</v>
      </c>
      <c r="F6" s="54" t="s">
        <v>4432</v>
      </c>
      <c r="G6" s="54" t="s">
        <v>4433</v>
      </c>
      <c r="H6" s="56">
        <v>98.42</v>
      </c>
      <c r="I6" s="56">
        <v>95.62</v>
      </c>
      <c r="J6" s="54" t="str">
        <f t="shared" si="0"/>
        <v>Yes</v>
      </c>
      <c r="K6" s="54">
        <v>4.4000000000000004</v>
      </c>
      <c r="L6" s="54" t="s">
        <v>4434</v>
      </c>
      <c r="M6" s="56">
        <v>36.6</v>
      </c>
      <c r="N6" s="54" t="s">
        <v>587</v>
      </c>
      <c r="O6" s="54" t="s">
        <v>576</v>
      </c>
      <c r="P6" s="54" t="s">
        <v>1684</v>
      </c>
      <c r="Q6" s="54" t="s">
        <v>576</v>
      </c>
      <c r="R6" s="54">
        <v>3</v>
      </c>
      <c r="S6" s="54">
        <v>5</v>
      </c>
      <c r="T6" s="54" t="s">
        <v>4424</v>
      </c>
      <c r="U6" s="54" t="s">
        <v>622</v>
      </c>
      <c r="V6" s="57" t="s">
        <v>495</v>
      </c>
    </row>
    <row r="7" spans="1:22" ht="15" customHeight="1" x14ac:dyDescent="0.25">
      <c r="A7" s="46" t="s">
        <v>4435</v>
      </c>
      <c r="B7" s="46" t="s">
        <v>4436</v>
      </c>
      <c r="C7" s="46" t="s">
        <v>4437</v>
      </c>
      <c r="D7" s="46" t="s">
        <v>1676</v>
      </c>
      <c r="E7" s="47">
        <v>588.74</v>
      </c>
      <c r="F7" s="46" t="s">
        <v>4438</v>
      </c>
      <c r="G7" s="46" t="s">
        <v>1107</v>
      </c>
      <c r="H7" s="48">
        <v>99.48</v>
      </c>
      <c r="I7" s="48">
        <v>96.84</v>
      </c>
      <c r="J7" s="46" t="str">
        <f t="shared" si="0"/>
        <v>Yes</v>
      </c>
      <c r="K7" s="46">
        <v>1.4</v>
      </c>
      <c r="L7" s="46" t="s">
        <v>4439</v>
      </c>
      <c r="M7" s="48">
        <v>35.9</v>
      </c>
      <c r="N7" s="46" t="s">
        <v>4423</v>
      </c>
      <c r="O7" s="46" t="s">
        <v>587</v>
      </c>
      <c r="P7" s="46" t="s">
        <v>1684</v>
      </c>
      <c r="Q7" s="46" t="s">
        <v>4416</v>
      </c>
      <c r="R7" s="46">
        <v>2</v>
      </c>
      <c r="S7" s="46">
        <v>2</v>
      </c>
      <c r="T7" s="46" t="s">
        <v>2739</v>
      </c>
      <c r="U7" s="46" t="s">
        <v>1640</v>
      </c>
      <c r="V7" s="49" t="s">
        <v>321</v>
      </c>
    </row>
    <row r="8" spans="1:22" ht="15" customHeight="1" x14ac:dyDescent="0.25">
      <c r="A8" s="54" t="s">
        <v>4440</v>
      </c>
      <c r="B8" s="54" t="s">
        <v>4441</v>
      </c>
      <c r="C8" s="54" t="s">
        <v>4437</v>
      </c>
      <c r="D8" s="54" t="s">
        <v>622</v>
      </c>
      <c r="E8" s="55">
        <v>317.70999999999998</v>
      </c>
      <c r="F8" s="54" t="s">
        <v>4442</v>
      </c>
      <c r="G8" s="54" t="s">
        <v>4443</v>
      </c>
      <c r="H8" s="56">
        <v>98.78</v>
      </c>
      <c r="I8" s="56">
        <v>95.36</v>
      </c>
      <c r="J8" s="54" t="str">
        <f t="shared" si="0"/>
        <v>Yes</v>
      </c>
      <c r="K8" s="54">
        <v>1.7</v>
      </c>
      <c r="L8" s="54" t="s">
        <v>4444</v>
      </c>
      <c r="M8" s="56">
        <v>19.7</v>
      </c>
      <c r="N8" s="54" t="s">
        <v>587</v>
      </c>
      <c r="O8" s="54" t="s">
        <v>576</v>
      </c>
      <c r="P8" s="54" t="s">
        <v>1684</v>
      </c>
      <c r="Q8" s="54" t="s">
        <v>576</v>
      </c>
      <c r="R8" s="54">
        <v>13</v>
      </c>
      <c r="S8" s="54">
        <v>15</v>
      </c>
      <c r="T8" s="54" t="s">
        <v>4417</v>
      </c>
      <c r="U8" s="54" t="s">
        <v>622</v>
      </c>
      <c r="V8" s="57" t="s">
        <v>495</v>
      </c>
    </row>
    <row r="9" spans="1:22" ht="15" customHeight="1" x14ac:dyDescent="0.25">
      <c r="A9" s="54" t="s">
        <v>4445</v>
      </c>
      <c r="B9" s="54" t="s">
        <v>4446</v>
      </c>
      <c r="C9" s="54" t="s">
        <v>4447</v>
      </c>
      <c r="D9" s="54" t="s">
        <v>622</v>
      </c>
      <c r="E9" s="55">
        <v>478.23</v>
      </c>
      <c r="F9" s="54" t="s">
        <v>4448</v>
      </c>
      <c r="G9" s="54" t="s">
        <v>4449</v>
      </c>
      <c r="H9" s="56">
        <v>98.44</v>
      </c>
      <c r="I9" s="56">
        <v>95</v>
      </c>
      <c r="J9" s="54" t="str">
        <f t="shared" si="0"/>
        <v>Yes</v>
      </c>
      <c r="K9" s="54">
        <v>1.8</v>
      </c>
      <c r="L9" s="54" t="s">
        <v>4444</v>
      </c>
      <c r="M9" s="56">
        <v>78.2</v>
      </c>
      <c r="N9" s="54" t="s">
        <v>587</v>
      </c>
      <c r="O9" s="54" t="s">
        <v>576</v>
      </c>
      <c r="P9" s="54" t="s">
        <v>1684</v>
      </c>
      <c r="Q9" s="54" t="s">
        <v>4416</v>
      </c>
      <c r="R9" s="54">
        <v>10</v>
      </c>
      <c r="S9" s="54">
        <v>8</v>
      </c>
      <c r="T9" s="54" t="s">
        <v>4417</v>
      </c>
      <c r="U9" s="54" t="s">
        <v>622</v>
      </c>
      <c r="V9" s="57" t="s">
        <v>495</v>
      </c>
    </row>
    <row r="10" spans="1:22" ht="15" customHeight="1" x14ac:dyDescent="0.25">
      <c r="A10" s="54" t="s">
        <v>4450</v>
      </c>
      <c r="B10" s="54" t="s">
        <v>4451</v>
      </c>
      <c r="C10" s="54" t="s">
        <v>4437</v>
      </c>
      <c r="D10" s="54" t="s">
        <v>3472</v>
      </c>
      <c r="E10" s="55">
        <v>453.82</v>
      </c>
      <c r="F10" s="54" t="s">
        <v>4452</v>
      </c>
      <c r="G10" s="54" t="s">
        <v>4453</v>
      </c>
      <c r="H10" s="56">
        <v>98.48</v>
      </c>
      <c r="I10" s="56">
        <v>96.13</v>
      </c>
      <c r="J10" s="54" t="str">
        <f t="shared" si="0"/>
        <v>Yes</v>
      </c>
      <c r="K10" s="54">
        <v>3.4</v>
      </c>
      <c r="L10" s="54" t="s">
        <v>4434</v>
      </c>
      <c r="M10" s="56">
        <v>35.1</v>
      </c>
      <c r="N10" s="54" t="s">
        <v>544</v>
      </c>
      <c r="O10" s="54" t="s">
        <v>587</v>
      </c>
      <c r="P10" s="54" t="s">
        <v>3015</v>
      </c>
      <c r="Q10" s="54" t="s">
        <v>4416</v>
      </c>
      <c r="R10" s="54">
        <v>13</v>
      </c>
      <c r="S10" s="54">
        <v>7</v>
      </c>
      <c r="T10" s="54" t="s">
        <v>4424</v>
      </c>
      <c r="U10" s="54" t="s">
        <v>622</v>
      </c>
      <c r="V10" s="57" t="s">
        <v>495</v>
      </c>
    </row>
    <row r="11" spans="1:22" ht="25.5" customHeight="1" x14ac:dyDescent="0.25">
      <c r="A11" s="54" t="s">
        <v>4454</v>
      </c>
      <c r="B11" s="54" t="s">
        <v>4455</v>
      </c>
      <c r="C11" s="54" t="s">
        <v>4412</v>
      </c>
      <c r="D11" s="54" t="s">
        <v>3472</v>
      </c>
      <c r="E11" s="55">
        <v>96.12</v>
      </c>
      <c r="F11" s="54" t="s">
        <v>1420</v>
      </c>
      <c r="G11" s="54" t="s">
        <v>4456</v>
      </c>
      <c r="H11" s="56">
        <v>99.2</v>
      </c>
      <c r="I11" s="56">
        <v>98.66</v>
      </c>
      <c r="J11" s="54" t="str">
        <f t="shared" si="0"/>
        <v>Yes</v>
      </c>
      <c r="K11" s="54">
        <v>4.5999999999999996</v>
      </c>
      <c r="L11" s="54" t="s">
        <v>4457</v>
      </c>
      <c r="M11" s="56">
        <v>19</v>
      </c>
      <c r="N11" s="54" t="s">
        <v>544</v>
      </c>
      <c r="O11" s="54" t="s">
        <v>576</v>
      </c>
      <c r="P11" s="54" t="s">
        <v>587</v>
      </c>
      <c r="Q11" s="54" t="s">
        <v>587</v>
      </c>
      <c r="R11" s="54">
        <v>2</v>
      </c>
      <c r="S11" s="54">
        <v>20</v>
      </c>
      <c r="T11" s="54" t="s">
        <v>4424</v>
      </c>
      <c r="U11" s="54" t="s">
        <v>622</v>
      </c>
      <c r="V11" s="57" t="s">
        <v>495</v>
      </c>
    </row>
    <row r="12" spans="1:22" ht="25.5" customHeight="1" x14ac:dyDescent="0.25">
      <c r="A12" s="46" t="s">
        <v>4458</v>
      </c>
      <c r="B12" s="46" t="s">
        <v>4459</v>
      </c>
      <c r="C12" s="46" t="s">
        <v>4460</v>
      </c>
      <c r="D12" s="46" t="s">
        <v>1676</v>
      </c>
      <c r="E12" s="47">
        <v>521.25</v>
      </c>
      <c r="F12" s="46" t="s">
        <v>4461</v>
      </c>
      <c r="G12" s="46" t="s">
        <v>4462</v>
      </c>
      <c r="H12" s="48">
        <v>99.41</v>
      </c>
      <c r="I12" s="48">
        <v>97.99</v>
      </c>
      <c r="J12" s="46" t="str">
        <f t="shared" si="0"/>
        <v>Yes</v>
      </c>
      <c r="K12" s="46">
        <v>1.1000000000000001</v>
      </c>
      <c r="L12" s="46" t="s">
        <v>4434</v>
      </c>
      <c r="M12" s="48">
        <v>56.1</v>
      </c>
      <c r="N12" s="46" t="s">
        <v>587</v>
      </c>
      <c r="O12" s="46" t="s">
        <v>4423</v>
      </c>
      <c r="P12" s="46" t="s">
        <v>3015</v>
      </c>
      <c r="Q12" s="46" t="s">
        <v>587</v>
      </c>
      <c r="R12" s="46">
        <v>3</v>
      </c>
      <c r="S12" s="46">
        <v>6</v>
      </c>
      <c r="T12" s="46" t="s">
        <v>2739</v>
      </c>
      <c r="U12" s="46" t="s">
        <v>1640</v>
      </c>
      <c r="V12" s="49" t="s">
        <v>321</v>
      </c>
    </row>
    <row r="13" spans="1:22" ht="15" customHeight="1" x14ac:dyDescent="0.25">
      <c r="A13" s="46" t="s">
        <v>4463</v>
      </c>
      <c r="B13" s="46" t="s">
        <v>4464</v>
      </c>
      <c r="C13" s="46" t="s">
        <v>4465</v>
      </c>
      <c r="D13" s="46" t="s">
        <v>1640</v>
      </c>
      <c r="E13" s="47">
        <v>194.41</v>
      </c>
      <c r="F13" s="46" t="s">
        <v>4466</v>
      </c>
      <c r="G13" s="46" t="s">
        <v>4467</v>
      </c>
      <c r="H13" s="48">
        <v>99.54</v>
      </c>
      <c r="I13" s="48">
        <v>97.43</v>
      </c>
      <c r="J13" s="46" t="str">
        <f t="shared" si="0"/>
        <v>Yes</v>
      </c>
      <c r="K13" s="46">
        <v>1</v>
      </c>
      <c r="L13" s="46" t="s">
        <v>4415</v>
      </c>
      <c r="M13" s="48">
        <v>60.8</v>
      </c>
      <c r="N13" s="46" t="s">
        <v>544</v>
      </c>
      <c r="O13" s="46" t="s">
        <v>576</v>
      </c>
      <c r="P13" s="46" t="s">
        <v>1684</v>
      </c>
      <c r="Q13" s="46" t="s">
        <v>4416</v>
      </c>
      <c r="R13" s="46">
        <v>9</v>
      </c>
      <c r="S13" s="46">
        <v>11</v>
      </c>
      <c r="T13" s="46" t="s">
        <v>2739</v>
      </c>
      <c r="U13" s="46" t="s">
        <v>1640</v>
      </c>
      <c r="V13" s="49" t="s">
        <v>321</v>
      </c>
    </row>
    <row r="14" spans="1:22" ht="15" customHeight="1" x14ac:dyDescent="0.25">
      <c r="A14" s="46" t="s">
        <v>4468</v>
      </c>
      <c r="B14" s="46" t="s">
        <v>4469</v>
      </c>
      <c r="C14" s="46" t="s">
        <v>4437</v>
      </c>
      <c r="D14" s="46" t="s">
        <v>1676</v>
      </c>
      <c r="E14" s="47">
        <v>85.69</v>
      </c>
      <c r="F14" s="46" t="s">
        <v>4470</v>
      </c>
      <c r="G14" s="46" t="s">
        <v>1413</v>
      </c>
      <c r="H14" s="48">
        <v>99.4</v>
      </c>
      <c r="I14" s="48">
        <v>97.79</v>
      </c>
      <c r="J14" s="46" t="str">
        <f t="shared" si="0"/>
        <v>Yes</v>
      </c>
      <c r="K14" s="46">
        <v>3.5</v>
      </c>
      <c r="L14" s="46" t="s">
        <v>4471</v>
      </c>
      <c r="M14" s="48">
        <v>37.9</v>
      </c>
      <c r="N14" s="46" t="s">
        <v>576</v>
      </c>
      <c r="O14" s="46" t="s">
        <v>544</v>
      </c>
      <c r="P14" s="46" t="s">
        <v>1684</v>
      </c>
      <c r="Q14" s="46" t="s">
        <v>4416</v>
      </c>
      <c r="R14" s="46">
        <v>2</v>
      </c>
      <c r="S14" s="46">
        <v>2</v>
      </c>
      <c r="T14" s="46" t="s">
        <v>4424</v>
      </c>
      <c r="U14" s="46" t="s">
        <v>1640</v>
      </c>
      <c r="V14" s="49" t="s">
        <v>321</v>
      </c>
    </row>
    <row r="15" spans="1:22" ht="15" customHeight="1" x14ac:dyDescent="0.25">
      <c r="A15" s="54" t="s">
        <v>4472</v>
      </c>
      <c r="B15" s="54" t="s">
        <v>4473</v>
      </c>
      <c r="C15" s="54" t="s">
        <v>4474</v>
      </c>
      <c r="D15" s="54" t="s">
        <v>622</v>
      </c>
      <c r="E15" s="55">
        <v>577.98</v>
      </c>
      <c r="F15" s="54" t="s">
        <v>4475</v>
      </c>
      <c r="G15" s="54" t="s">
        <v>4476</v>
      </c>
      <c r="H15" s="56">
        <v>98.06</v>
      </c>
      <c r="I15" s="56">
        <v>95.64</v>
      </c>
      <c r="J15" s="54" t="str">
        <f t="shared" si="0"/>
        <v>Yes</v>
      </c>
      <c r="K15" s="54">
        <v>1.5</v>
      </c>
      <c r="L15" s="54" t="s">
        <v>4434</v>
      </c>
      <c r="M15" s="56">
        <v>29.2</v>
      </c>
      <c r="N15" s="54" t="s">
        <v>544</v>
      </c>
      <c r="O15" s="54" t="s">
        <v>576</v>
      </c>
      <c r="P15" s="54" t="s">
        <v>587</v>
      </c>
      <c r="Q15" s="54" t="s">
        <v>587</v>
      </c>
      <c r="R15" s="54">
        <v>4</v>
      </c>
      <c r="S15" s="54">
        <v>20</v>
      </c>
      <c r="T15" s="54" t="s">
        <v>2739</v>
      </c>
      <c r="U15" s="54" t="s">
        <v>622</v>
      </c>
      <c r="V15" s="57" t="s">
        <v>495</v>
      </c>
    </row>
    <row r="16" spans="1:22" ht="25.5" customHeight="1" x14ac:dyDescent="0.25">
      <c r="A16" s="54" t="s">
        <v>4477</v>
      </c>
      <c r="B16" s="54" t="s">
        <v>4478</v>
      </c>
      <c r="C16" s="54" t="s">
        <v>4420</v>
      </c>
      <c r="D16" s="54" t="s">
        <v>622</v>
      </c>
      <c r="E16" s="55">
        <v>442.31</v>
      </c>
      <c r="F16" s="54" t="s">
        <v>4479</v>
      </c>
      <c r="G16" s="54" t="s">
        <v>4480</v>
      </c>
      <c r="H16" s="56">
        <v>99.75</v>
      </c>
      <c r="I16" s="56">
        <v>96.81</v>
      </c>
      <c r="J16" s="54" t="str">
        <f t="shared" si="0"/>
        <v>Yes</v>
      </c>
      <c r="K16" s="54">
        <v>1.9</v>
      </c>
      <c r="L16" s="54" t="s">
        <v>4444</v>
      </c>
      <c r="M16" s="56">
        <v>45</v>
      </c>
      <c r="N16" s="54" t="s">
        <v>587</v>
      </c>
      <c r="O16" s="54" t="s">
        <v>587</v>
      </c>
      <c r="P16" s="54" t="s">
        <v>587</v>
      </c>
      <c r="Q16" s="54" t="s">
        <v>587</v>
      </c>
      <c r="R16" s="54">
        <v>10</v>
      </c>
      <c r="S16" s="54">
        <v>9</v>
      </c>
      <c r="T16" s="54" t="s">
        <v>4417</v>
      </c>
      <c r="U16" s="54" t="s">
        <v>622</v>
      </c>
      <c r="V16" s="57" t="s">
        <v>495</v>
      </c>
    </row>
    <row r="17" spans="1:22" ht="15" customHeight="1" x14ac:dyDescent="0.25">
      <c r="A17" s="54" t="s">
        <v>4481</v>
      </c>
      <c r="B17" s="54" t="s">
        <v>4482</v>
      </c>
      <c r="C17" s="54" t="s">
        <v>3586</v>
      </c>
      <c r="D17" s="54" t="s">
        <v>3472</v>
      </c>
      <c r="E17" s="55">
        <v>535.48</v>
      </c>
      <c r="F17" s="54" t="s">
        <v>4483</v>
      </c>
      <c r="G17" s="54" t="s">
        <v>2005</v>
      </c>
      <c r="H17" s="56">
        <v>98.58</v>
      </c>
      <c r="I17" s="56">
        <v>97.99</v>
      </c>
      <c r="J17" s="54" t="str">
        <f t="shared" si="0"/>
        <v>Yes</v>
      </c>
      <c r="K17" s="54">
        <v>4</v>
      </c>
      <c r="L17" s="54" t="s">
        <v>4439</v>
      </c>
      <c r="M17" s="56">
        <v>84.2</v>
      </c>
      <c r="N17" s="54" t="s">
        <v>544</v>
      </c>
      <c r="O17" s="54" t="s">
        <v>587</v>
      </c>
      <c r="P17" s="54" t="s">
        <v>576</v>
      </c>
      <c r="Q17" s="54" t="s">
        <v>576</v>
      </c>
      <c r="R17" s="54">
        <v>8</v>
      </c>
      <c r="S17" s="54">
        <v>7</v>
      </c>
      <c r="T17" s="54" t="s">
        <v>4424</v>
      </c>
      <c r="U17" s="54" t="s">
        <v>622</v>
      </c>
      <c r="V17" s="57" t="s">
        <v>495</v>
      </c>
    </row>
    <row r="18" spans="1:22" ht="15" customHeight="1" x14ac:dyDescent="0.25">
      <c r="A18" s="54" t="s">
        <v>4484</v>
      </c>
      <c r="B18" s="54" t="s">
        <v>4485</v>
      </c>
      <c r="C18" s="54" t="s">
        <v>4447</v>
      </c>
      <c r="D18" s="54" t="s">
        <v>3472</v>
      </c>
      <c r="E18" s="55">
        <v>420.14</v>
      </c>
      <c r="F18" s="54" t="s">
        <v>4486</v>
      </c>
      <c r="G18" s="54" t="s">
        <v>4487</v>
      </c>
      <c r="H18" s="56">
        <v>99.4</v>
      </c>
      <c r="I18" s="56">
        <v>96.12</v>
      </c>
      <c r="J18" s="54" t="str">
        <f t="shared" si="0"/>
        <v>Yes</v>
      </c>
      <c r="K18" s="54">
        <v>1.5</v>
      </c>
      <c r="L18" s="54" t="s">
        <v>4434</v>
      </c>
      <c r="M18" s="56">
        <v>53.8</v>
      </c>
      <c r="N18" s="54" t="s">
        <v>576</v>
      </c>
      <c r="O18" s="54" t="s">
        <v>4423</v>
      </c>
      <c r="P18" s="54" t="s">
        <v>1684</v>
      </c>
      <c r="Q18" s="54" t="s">
        <v>587</v>
      </c>
      <c r="R18" s="54">
        <v>0</v>
      </c>
      <c r="S18" s="54">
        <v>19</v>
      </c>
      <c r="T18" s="54" t="s">
        <v>2739</v>
      </c>
      <c r="U18" s="54" t="s">
        <v>622</v>
      </c>
      <c r="V18" s="57" t="s">
        <v>495</v>
      </c>
    </row>
    <row r="19" spans="1:22" ht="25.5" customHeight="1" x14ac:dyDescent="0.25">
      <c r="A19" s="46" t="s">
        <v>4488</v>
      </c>
      <c r="B19" s="46" t="s">
        <v>4489</v>
      </c>
      <c r="C19" s="46" t="s">
        <v>4437</v>
      </c>
      <c r="D19" s="46" t="s">
        <v>1640</v>
      </c>
      <c r="E19" s="47">
        <v>66.31</v>
      </c>
      <c r="F19" s="46" t="s">
        <v>4490</v>
      </c>
      <c r="G19" s="46" t="s">
        <v>3748</v>
      </c>
      <c r="H19" s="48">
        <v>99.79</v>
      </c>
      <c r="I19" s="48">
        <v>98.15</v>
      </c>
      <c r="J19" s="46" t="str">
        <f t="shared" si="0"/>
        <v>Yes</v>
      </c>
      <c r="K19" s="46">
        <v>2.2999999999999998</v>
      </c>
      <c r="L19" s="46" t="s">
        <v>4434</v>
      </c>
      <c r="M19" s="48">
        <v>21.4</v>
      </c>
      <c r="N19" s="46" t="s">
        <v>544</v>
      </c>
      <c r="O19" s="46" t="s">
        <v>576</v>
      </c>
      <c r="P19" s="46" t="s">
        <v>576</v>
      </c>
      <c r="Q19" s="46" t="s">
        <v>4416</v>
      </c>
      <c r="R19" s="46">
        <v>5</v>
      </c>
      <c r="S19" s="46">
        <v>12</v>
      </c>
      <c r="T19" s="46" t="s">
        <v>4417</v>
      </c>
      <c r="U19" s="46" t="s">
        <v>1640</v>
      </c>
      <c r="V19" s="49" t="s">
        <v>321</v>
      </c>
    </row>
    <row r="20" spans="1:22" ht="15" customHeight="1" x14ac:dyDescent="0.25">
      <c r="A20" s="54" t="s">
        <v>4491</v>
      </c>
      <c r="B20" s="54" t="s">
        <v>4492</v>
      </c>
      <c r="C20" s="54" t="s">
        <v>4431</v>
      </c>
      <c r="D20" s="54" t="s">
        <v>3472</v>
      </c>
      <c r="E20" s="55">
        <v>21.16</v>
      </c>
      <c r="F20" s="54" t="s">
        <v>4493</v>
      </c>
      <c r="G20" s="54" t="s">
        <v>2869</v>
      </c>
      <c r="H20" s="56">
        <v>99.23</v>
      </c>
      <c r="I20" s="56">
        <v>98.6</v>
      </c>
      <c r="J20" s="54" t="str">
        <f t="shared" si="0"/>
        <v>Yes</v>
      </c>
      <c r="K20" s="54">
        <v>3.3</v>
      </c>
      <c r="L20" s="54" t="s">
        <v>4471</v>
      </c>
      <c r="M20" s="56">
        <v>13</v>
      </c>
      <c r="N20" s="54" t="s">
        <v>587</v>
      </c>
      <c r="O20" s="54" t="s">
        <v>587</v>
      </c>
      <c r="P20" s="54" t="s">
        <v>1684</v>
      </c>
      <c r="Q20" s="54" t="s">
        <v>587</v>
      </c>
      <c r="R20" s="54">
        <v>12</v>
      </c>
      <c r="S20" s="54">
        <v>13</v>
      </c>
      <c r="T20" s="54" t="s">
        <v>4424</v>
      </c>
      <c r="U20" s="54" t="s">
        <v>622</v>
      </c>
      <c r="V20" s="57" t="s">
        <v>495</v>
      </c>
    </row>
    <row r="21" spans="1:22" ht="25.5" customHeight="1" x14ac:dyDescent="0.25">
      <c r="A21" s="46" t="s">
        <v>4494</v>
      </c>
      <c r="B21" s="46" t="s">
        <v>4495</v>
      </c>
      <c r="C21" s="46" t="s">
        <v>4437</v>
      </c>
      <c r="D21" s="46" t="s">
        <v>1676</v>
      </c>
      <c r="E21" s="47">
        <v>361.97</v>
      </c>
      <c r="F21" s="46" t="s">
        <v>1772</v>
      </c>
      <c r="G21" s="46" t="s">
        <v>4496</v>
      </c>
      <c r="H21" s="48">
        <v>98.47</v>
      </c>
      <c r="I21" s="48">
        <v>96.59</v>
      </c>
      <c r="J21" s="46" t="str">
        <f t="shared" si="0"/>
        <v>Yes</v>
      </c>
      <c r="K21" s="46">
        <v>1.4</v>
      </c>
      <c r="L21" s="46" t="s">
        <v>4457</v>
      </c>
      <c r="M21" s="48">
        <v>17.899999999999999</v>
      </c>
      <c r="N21" s="46" t="s">
        <v>576</v>
      </c>
      <c r="O21" s="46" t="s">
        <v>587</v>
      </c>
      <c r="P21" s="46" t="s">
        <v>576</v>
      </c>
      <c r="Q21" s="46" t="s">
        <v>4416</v>
      </c>
      <c r="R21" s="46">
        <v>7</v>
      </c>
      <c r="S21" s="46">
        <v>9</v>
      </c>
      <c r="T21" s="46" t="s">
        <v>2739</v>
      </c>
      <c r="U21" s="46" t="s">
        <v>1640</v>
      </c>
      <c r="V21" s="49" t="s">
        <v>321</v>
      </c>
    </row>
    <row r="22" spans="1:22" ht="25.5" customHeight="1" x14ac:dyDescent="0.25">
      <c r="A22" s="46" t="s">
        <v>4497</v>
      </c>
      <c r="B22" s="46" t="s">
        <v>4498</v>
      </c>
      <c r="C22" s="46" t="s">
        <v>4420</v>
      </c>
      <c r="D22" s="46" t="s">
        <v>1640</v>
      </c>
      <c r="E22" s="47">
        <v>393.95</v>
      </c>
      <c r="F22" s="46" t="s">
        <v>1144</v>
      </c>
      <c r="G22" s="46" t="s">
        <v>4499</v>
      </c>
      <c r="H22" s="48">
        <v>98.75</v>
      </c>
      <c r="I22" s="48">
        <v>96.39</v>
      </c>
      <c r="J22" s="46" t="str">
        <f t="shared" si="0"/>
        <v>Yes</v>
      </c>
      <c r="K22" s="46">
        <v>3</v>
      </c>
      <c r="L22" s="46" t="s">
        <v>4471</v>
      </c>
      <c r="M22" s="48">
        <v>33</v>
      </c>
      <c r="N22" s="46" t="s">
        <v>587</v>
      </c>
      <c r="O22" s="46" t="s">
        <v>587</v>
      </c>
      <c r="P22" s="46" t="s">
        <v>3015</v>
      </c>
      <c r="Q22" s="46" t="s">
        <v>4416</v>
      </c>
      <c r="R22" s="46">
        <v>7</v>
      </c>
      <c r="S22" s="46">
        <v>7</v>
      </c>
      <c r="T22" s="46" t="s">
        <v>4424</v>
      </c>
      <c r="U22" s="46" t="s">
        <v>1640</v>
      </c>
      <c r="V22" s="49" t="s">
        <v>321</v>
      </c>
    </row>
    <row r="23" spans="1:22" ht="15" customHeight="1" x14ac:dyDescent="0.25">
      <c r="A23" s="54" t="s">
        <v>4500</v>
      </c>
      <c r="B23" s="54" t="s">
        <v>4501</v>
      </c>
      <c r="C23" s="54" t="s">
        <v>4460</v>
      </c>
      <c r="D23" s="54" t="s">
        <v>622</v>
      </c>
      <c r="E23" s="55">
        <v>286.22000000000003</v>
      </c>
      <c r="F23" s="54" t="s">
        <v>4502</v>
      </c>
      <c r="G23" s="54" t="s">
        <v>2614</v>
      </c>
      <c r="H23" s="56">
        <v>98.87</v>
      </c>
      <c r="I23" s="56">
        <v>96.73</v>
      </c>
      <c r="J23" s="54" t="str">
        <f t="shared" si="0"/>
        <v>Yes</v>
      </c>
      <c r="K23" s="54">
        <v>3.9</v>
      </c>
      <c r="L23" s="54" t="s">
        <v>4439</v>
      </c>
      <c r="M23" s="56">
        <v>46.9</v>
      </c>
      <c r="N23" s="54" t="s">
        <v>544</v>
      </c>
      <c r="O23" s="54" t="s">
        <v>4423</v>
      </c>
      <c r="P23" s="54" t="s">
        <v>587</v>
      </c>
      <c r="Q23" s="54" t="s">
        <v>587</v>
      </c>
      <c r="R23" s="54">
        <v>7</v>
      </c>
      <c r="S23" s="54">
        <v>17</v>
      </c>
      <c r="T23" s="54" t="s">
        <v>4424</v>
      </c>
      <c r="U23" s="54" t="s">
        <v>622</v>
      </c>
      <c r="V23" s="57" t="s">
        <v>495</v>
      </c>
    </row>
    <row r="24" spans="1:22" ht="15" customHeight="1" x14ac:dyDescent="0.25">
      <c r="A24" s="46" t="s">
        <v>4503</v>
      </c>
      <c r="B24" s="46" t="s">
        <v>4504</v>
      </c>
      <c r="C24" s="46" t="s">
        <v>4420</v>
      </c>
      <c r="D24" s="46" t="s">
        <v>1676</v>
      </c>
      <c r="E24" s="47">
        <v>566.54999999999995</v>
      </c>
      <c r="F24" s="46" t="s">
        <v>4505</v>
      </c>
      <c r="G24" s="46" t="s">
        <v>2265</v>
      </c>
      <c r="H24" s="48">
        <v>98.04</v>
      </c>
      <c r="I24" s="48">
        <v>97.1</v>
      </c>
      <c r="J24" s="46" t="str">
        <f t="shared" si="0"/>
        <v>Yes</v>
      </c>
      <c r="K24" s="46">
        <v>2.4</v>
      </c>
      <c r="L24" s="46" t="s">
        <v>4444</v>
      </c>
      <c r="M24" s="48">
        <v>59.1</v>
      </c>
      <c r="N24" s="46" t="s">
        <v>544</v>
      </c>
      <c r="O24" s="46" t="s">
        <v>587</v>
      </c>
      <c r="P24" s="46" t="s">
        <v>3015</v>
      </c>
      <c r="Q24" s="46" t="s">
        <v>4416</v>
      </c>
      <c r="R24" s="46">
        <v>8</v>
      </c>
      <c r="S24" s="46">
        <v>15</v>
      </c>
      <c r="T24" s="46" t="s">
        <v>4417</v>
      </c>
      <c r="U24" s="46" t="s">
        <v>1640</v>
      </c>
      <c r="V24" s="49" t="s">
        <v>321</v>
      </c>
    </row>
    <row r="25" spans="1:22" ht="15" customHeight="1" x14ac:dyDescent="0.25">
      <c r="A25" s="54" t="s">
        <v>4506</v>
      </c>
      <c r="B25" s="54" t="s">
        <v>4507</v>
      </c>
      <c r="C25" s="54" t="s">
        <v>4412</v>
      </c>
      <c r="D25" s="54" t="s">
        <v>3472</v>
      </c>
      <c r="E25" s="55">
        <v>153</v>
      </c>
      <c r="F25" s="54" t="s">
        <v>4508</v>
      </c>
      <c r="G25" s="54" t="s">
        <v>4509</v>
      </c>
      <c r="H25" s="56">
        <v>98.56</v>
      </c>
      <c r="I25" s="56">
        <v>97.83</v>
      </c>
      <c r="J25" s="54" t="str">
        <f t="shared" si="0"/>
        <v>Yes</v>
      </c>
      <c r="K25" s="54">
        <v>3.4</v>
      </c>
      <c r="L25" s="54" t="s">
        <v>4415</v>
      </c>
      <c r="M25" s="56">
        <v>44.4</v>
      </c>
      <c r="N25" s="54" t="s">
        <v>576</v>
      </c>
      <c r="O25" s="54" t="s">
        <v>4423</v>
      </c>
      <c r="P25" s="54" t="s">
        <v>1684</v>
      </c>
      <c r="Q25" s="54" t="s">
        <v>576</v>
      </c>
      <c r="R25" s="54">
        <v>6</v>
      </c>
      <c r="S25" s="54">
        <v>0</v>
      </c>
      <c r="T25" s="54" t="s">
        <v>4424</v>
      </c>
      <c r="U25" s="54" t="s">
        <v>622</v>
      </c>
      <c r="V25" s="57" t="s">
        <v>495</v>
      </c>
    </row>
    <row r="26" spans="1:22" ht="15" customHeight="1" x14ac:dyDescent="0.25">
      <c r="A26" s="54" t="s">
        <v>4510</v>
      </c>
      <c r="B26" s="54" t="s">
        <v>4511</v>
      </c>
      <c r="C26" s="54" t="s">
        <v>3586</v>
      </c>
      <c r="D26" s="54" t="s">
        <v>1640</v>
      </c>
      <c r="E26" s="55">
        <v>168.01</v>
      </c>
      <c r="F26" s="54" t="s">
        <v>4512</v>
      </c>
      <c r="G26" s="54" t="s">
        <v>4513</v>
      </c>
      <c r="H26" s="56">
        <v>99.86</v>
      </c>
      <c r="I26" s="56">
        <v>96.41</v>
      </c>
      <c r="J26" s="54" t="str">
        <f t="shared" si="0"/>
        <v>Yes</v>
      </c>
      <c r="K26" s="54">
        <v>4</v>
      </c>
      <c r="L26" s="54" t="s">
        <v>4439</v>
      </c>
      <c r="M26" s="56">
        <v>64.8</v>
      </c>
      <c r="N26" s="54" t="s">
        <v>4423</v>
      </c>
      <c r="O26" s="54" t="s">
        <v>544</v>
      </c>
      <c r="P26" s="54" t="s">
        <v>1684</v>
      </c>
      <c r="Q26" s="54" t="s">
        <v>587</v>
      </c>
      <c r="R26" s="54">
        <v>8</v>
      </c>
      <c r="S26" s="54">
        <v>14</v>
      </c>
      <c r="T26" s="54" t="s">
        <v>4424</v>
      </c>
      <c r="U26" s="54" t="s">
        <v>622</v>
      </c>
      <c r="V26" s="57" t="s">
        <v>495</v>
      </c>
    </row>
    <row r="27" spans="1:22" ht="15" customHeight="1" x14ac:dyDescent="0.25">
      <c r="A27" s="46" t="s">
        <v>4514</v>
      </c>
      <c r="B27" s="46" t="s">
        <v>4515</v>
      </c>
      <c r="C27" s="46" t="s">
        <v>3586</v>
      </c>
      <c r="D27" s="46" t="s">
        <v>1676</v>
      </c>
      <c r="E27" s="47">
        <v>421.97</v>
      </c>
      <c r="F27" s="46" t="s">
        <v>4516</v>
      </c>
      <c r="G27" s="46" t="s">
        <v>2916</v>
      </c>
      <c r="H27" s="48">
        <v>99.74</v>
      </c>
      <c r="I27" s="48">
        <v>96.71</v>
      </c>
      <c r="J27" s="46" t="str">
        <f t="shared" si="0"/>
        <v>Yes</v>
      </c>
      <c r="K27" s="46">
        <v>2.7</v>
      </c>
      <c r="L27" s="46" t="s">
        <v>4444</v>
      </c>
      <c r="M27" s="48">
        <v>17.2</v>
      </c>
      <c r="N27" s="46" t="s">
        <v>544</v>
      </c>
      <c r="O27" s="46" t="s">
        <v>544</v>
      </c>
      <c r="P27" s="46" t="s">
        <v>576</v>
      </c>
      <c r="Q27" s="46" t="s">
        <v>576</v>
      </c>
      <c r="R27" s="46">
        <v>0</v>
      </c>
      <c r="S27" s="46">
        <v>6</v>
      </c>
      <c r="T27" s="46" t="s">
        <v>4424</v>
      </c>
      <c r="U27" s="46" t="s">
        <v>1640</v>
      </c>
      <c r="V27" s="49" t="s">
        <v>321</v>
      </c>
    </row>
    <row r="28" spans="1:22" ht="15" customHeight="1" x14ac:dyDescent="0.25">
      <c r="A28" s="46" t="s">
        <v>4517</v>
      </c>
      <c r="B28" s="46" t="s">
        <v>4518</v>
      </c>
      <c r="C28" s="46" t="s">
        <v>4465</v>
      </c>
      <c r="D28" s="46" t="s">
        <v>1640</v>
      </c>
      <c r="E28" s="47">
        <v>478.69</v>
      </c>
      <c r="F28" s="46" t="s">
        <v>4519</v>
      </c>
      <c r="G28" s="46" t="s">
        <v>4520</v>
      </c>
      <c r="H28" s="48">
        <v>98.78</v>
      </c>
      <c r="I28" s="48">
        <v>95.88</v>
      </c>
      <c r="J28" s="46" t="str">
        <f t="shared" si="0"/>
        <v>Yes</v>
      </c>
      <c r="K28" s="46">
        <v>2.7</v>
      </c>
      <c r="L28" s="46" t="s">
        <v>4434</v>
      </c>
      <c r="M28" s="48">
        <v>37.700000000000003</v>
      </c>
      <c r="N28" s="46" t="s">
        <v>544</v>
      </c>
      <c r="O28" s="46" t="s">
        <v>576</v>
      </c>
      <c r="P28" s="46" t="s">
        <v>1684</v>
      </c>
      <c r="Q28" s="46" t="s">
        <v>576</v>
      </c>
      <c r="R28" s="46">
        <v>3</v>
      </c>
      <c r="S28" s="46">
        <v>12</v>
      </c>
      <c r="T28" s="46" t="s">
        <v>4424</v>
      </c>
      <c r="U28" s="46" t="s">
        <v>1640</v>
      </c>
      <c r="V28" s="49" t="s">
        <v>321</v>
      </c>
    </row>
    <row r="29" spans="1:22" ht="15" customHeight="1" x14ac:dyDescent="0.25">
      <c r="A29" s="54" t="s">
        <v>4521</v>
      </c>
      <c r="B29" s="54" t="s">
        <v>4522</v>
      </c>
      <c r="C29" s="54" t="s">
        <v>4427</v>
      </c>
      <c r="D29" s="54" t="s">
        <v>1640</v>
      </c>
      <c r="E29" s="55">
        <v>160.15</v>
      </c>
      <c r="F29" s="54" t="s">
        <v>4523</v>
      </c>
      <c r="G29" s="54" t="s">
        <v>4524</v>
      </c>
      <c r="H29" s="56">
        <v>98.57</v>
      </c>
      <c r="I29" s="56">
        <v>97.84</v>
      </c>
      <c r="J29" s="54" t="str">
        <f t="shared" si="0"/>
        <v>Yes</v>
      </c>
      <c r="K29" s="54">
        <v>4.9000000000000004</v>
      </c>
      <c r="L29" s="54" t="s">
        <v>4439</v>
      </c>
      <c r="M29" s="56">
        <v>85.4</v>
      </c>
      <c r="N29" s="54" t="s">
        <v>4423</v>
      </c>
      <c r="O29" s="54" t="s">
        <v>4423</v>
      </c>
      <c r="P29" s="54" t="s">
        <v>576</v>
      </c>
      <c r="Q29" s="54" t="s">
        <v>587</v>
      </c>
      <c r="R29" s="54">
        <v>10</v>
      </c>
      <c r="S29" s="54">
        <v>0</v>
      </c>
      <c r="T29" s="54" t="s">
        <v>4424</v>
      </c>
      <c r="U29" s="54" t="s">
        <v>622</v>
      </c>
      <c r="V29" s="57" t="s">
        <v>495</v>
      </c>
    </row>
    <row r="30" spans="1:22" ht="15" customHeight="1" x14ac:dyDescent="0.25">
      <c r="A30" s="46" t="s">
        <v>4525</v>
      </c>
      <c r="B30" s="46" t="s">
        <v>4526</v>
      </c>
      <c r="C30" s="46" t="s">
        <v>4412</v>
      </c>
      <c r="D30" s="46" t="s">
        <v>1640</v>
      </c>
      <c r="E30" s="47">
        <v>470.02</v>
      </c>
      <c r="F30" s="46" t="s">
        <v>4527</v>
      </c>
      <c r="G30" s="46" t="s">
        <v>4528</v>
      </c>
      <c r="H30" s="48">
        <v>98.96</v>
      </c>
      <c r="I30" s="48">
        <v>97.87</v>
      </c>
      <c r="J30" s="46" t="str">
        <f t="shared" si="0"/>
        <v>Yes</v>
      </c>
      <c r="K30" s="46">
        <v>1.5</v>
      </c>
      <c r="L30" s="46" t="s">
        <v>4434</v>
      </c>
      <c r="M30" s="48">
        <v>73.7</v>
      </c>
      <c r="N30" s="46" t="s">
        <v>544</v>
      </c>
      <c r="O30" s="46" t="s">
        <v>587</v>
      </c>
      <c r="P30" s="46" t="s">
        <v>1684</v>
      </c>
      <c r="Q30" s="46" t="s">
        <v>576</v>
      </c>
      <c r="R30" s="46">
        <v>15</v>
      </c>
      <c r="S30" s="46">
        <v>17</v>
      </c>
      <c r="T30" s="46" t="s">
        <v>2739</v>
      </c>
      <c r="U30" s="46" t="s">
        <v>1640</v>
      </c>
      <c r="V30" s="49" t="s">
        <v>321</v>
      </c>
    </row>
    <row r="31" spans="1:22" ht="15" customHeight="1" x14ac:dyDescent="0.25">
      <c r="A31" s="54" t="s">
        <v>4529</v>
      </c>
      <c r="B31" s="54" t="s">
        <v>4530</v>
      </c>
      <c r="C31" s="54" t="s">
        <v>4437</v>
      </c>
      <c r="D31" s="54" t="s">
        <v>622</v>
      </c>
      <c r="E31" s="55">
        <v>540.21</v>
      </c>
      <c r="F31" s="54" t="s">
        <v>703</v>
      </c>
      <c r="G31" s="54" t="s">
        <v>4531</v>
      </c>
      <c r="H31" s="56">
        <v>99.91</v>
      </c>
      <c r="I31" s="56">
        <v>96.95</v>
      </c>
      <c r="J31" s="54" t="str">
        <f t="shared" si="0"/>
        <v>Yes</v>
      </c>
      <c r="K31" s="54">
        <v>2.2999999999999998</v>
      </c>
      <c r="L31" s="54" t="s">
        <v>4434</v>
      </c>
      <c r="M31" s="56">
        <v>83</v>
      </c>
      <c r="N31" s="54" t="s">
        <v>544</v>
      </c>
      <c r="O31" s="54" t="s">
        <v>544</v>
      </c>
      <c r="P31" s="54" t="s">
        <v>1684</v>
      </c>
      <c r="Q31" s="54" t="s">
        <v>4416</v>
      </c>
      <c r="R31" s="54">
        <v>5</v>
      </c>
      <c r="S31" s="54">
        <v>12</v>
      </c>
      <c r="T31" s="54" t="s">
        <v>4417</v>
      </c>
      <c r="U31" s="54" t="s">
        <v>622</v>
      </c>
      <c r="V31" s="57" t="s">
        <v>495</v>
      </c>
    </row>
    <row r="32" spans="1:22" ht="25.5" customHeight="1" x14ac:dyDescent="0.25">
      <c r="A32" s="54" t="s">
        <v>4532</v>
      </c>
      <c r="B32" s="54" t="s">
        <v>4533</v>
      </c>
      <c r="C32" s="54" t="s">
        <v>4460</v>
      </c>
      <c r="D32" s="54" t="s">
        <v>3472</v>
      </c>
      <c r="E32" s="55">
        <v>379.37</v>
      </c>
      <c r="F32" s="54" t="s">
        <v>1597</v>
      </c>
      <c r="G32" s="54" t="s">
        <v>4534</v>
      </c>
      <c r="H32" s="56">
        <v>99.14</v>
      </c>
      <c r="I32" s="56">
        <v>96.48</v>
      </c>
      <c r="J32" s="54" t="str">
        <f t="shared" si="0"/>
        <v>Yes</v>
      </c>
      <c r="K32" s="54">
        <v>2.6</v>
      </c>
      <c r="L32" s="54" t="s">
        <v>4439</v>
      </c>
      <c r="M32" s="56">
        <v>83.8</v>
      </c>
      <c r="N32" s="54" t="s">
        <v>4423</v>
      </c>
      <c r="O32" s="54" t="s">
        <v>587</v>
      </c>
      <c r="P32" s="54" t="s">
        <v>3015</v>
      </c>
      <c r="Q32" s="54" t="s">
        <v>4416</v>
      </c>
      <c r="R32" s="54">
        <v>11</v>
      </c>
      <c r="S32" s="54">
        <v>7</v>
      </c>
      <c r="T32" s="54" t="s">
        <v>4424</v>
      </c>
      <c r="U32" s="54" t="s">
        <v>622</v>
      </c>
      <c r="V32" s="57" t="s">
        <v>495</v>
      </c>
    </row>
    <row r="33" spans="1:22" ht="15" customHeight="1" x14ac:dyDescent="0.25">
      <c r="A33" s="54" t="s">
        <v>4535</v>
      </c>
      <c r="B33" s="54" t="s">
        <v>4536</v>
      </c>
      <c r="C33" s="54" t="s">
        <v>3586</v>
      </c>
      <c r="D33" s="54" t="s">
        <v>3472</v>
      </c>
      <c r="E33" s="55">
        <v>17.93</v>
      </c>
      <c r="F33" s="54" t="s">
        <v>4537</v>
      </c>
      <c r="G33" s="54" t="s">
        <v>1062</v>
      </c>
      <c r="H33" s="56">
        <v>99.2</v>
      </c>
      <c r="I33" s="56">
        <v>98.91</v>
      </c>
      <c r="J33" s="54" t="str">
        <f t="shared" si="0"/>
        <v>Yes</v>
      </c>
      <c r="K33" s="54">
        <v>4.2</v>
      </c>
      <c r="L33" s="54" t="s">
        <v>4434</v>
      </c>
      <c r="M33" s="56">
        <v>27.7</v>
      </c>
      <c r="N33" s="54" t="s">
        <v>544</v>
      </c>
      <c r="O33" s="54" t="s">
        <v>4423</v>
      </c>
      <c r="P33" s="54" t="s">
        <v>587</v>
      </c>
      <c r="Q33" s="54" t="s">
        <v>4416</v>
      </c>
      <c r="R33" s="54">
        <v>15</v>
      </c>
      <c r="S33" s="54">
        <v>14</v>
      </c>
      <c r="T33" s="54" t="s">
        <v>4424</v>
      </c>
      <c r="U33" s="54" t="s">
        <v>622</v>
      </c>
      <c r="V33" s="57" t="s">
        <v>495</v>
      </c>
    </row>
    <row r="34" spans="1:22" ht="25.5" customHeight="1" x14ac:dyDescent="0.25">
      <c r="A34" s="46" t="s">
        <v>4538</v>
      </c>
      <c r="B34" s="46" t="s">
        <v>4539</v>
      </c>
      <c r="C34" s="46" t="s">
        <v>4447</v>
      </c>
      <c r="D34" s="46" t="s">
        <v>1676</v>
      </c>
      <c r="E34" s="47">
        <v>456.6</v>
      </c>
      <c r="F34" s="46" t="s">
        <v>4540</v>
      </c>
      <c r="G34" s="46" t="s">
        <v>4541</v>
      </c>
      <c r="H34" s="48">
        <v>98.83</v>
      </c>
      <c r="I34" s="48">
        <v>98.65</v>
      </c>
      <c r="J34" s="46" t="str">
        <f t="shared" si="0"/>
        <v>Yes</v>
      </c>
      <c r="K34" s="46">
        <v>1.8</v>
      </c>
      <c r="L34" s="46" t="s">
        <v>4415</v>
      </c>
      <c r="M34" s="48">
        <v>28.3</v>
      </c>
      <c r="N34" s="46" t="s">
        <v>544</v>
      </c>
      <c r="O34" s="46" t="s">
        <v>4423</v>
      </c>
      <c r="P34" s="46" t="s">
        <v>587</v>
      </c>
      <c r="Q34" s="46" t="s">
        <v>4416</v>
      </c>
      <c r="R34" s="46">
        <v>8</v>
      </c>
      <c r="S34" s="46">
        <v>12</v>
      </c>
      <c r="T34" s="46" t="s">
        <v>4417</v>
      </c>
      <c r="U34" s="46" t="s">
        <v>1640</v>
      </c>
      <c r="V34" s="49" t="s">
        <v>321</v>
      </c>
    </row>
    <row r="35" spans="1:22" ht="15" customHeight="1" x14ac:dyDescent="0.25">
      <c r="A35" s="46" t="s">
        <v>4542</v>
      </c>
      <c r="B35" s="46" t="s">
        <v>4543</v>
      </c>
      <c r="C35" s="46" t="s">
        <v>4465</v>
      </c>
      <c r="D35" s="46" t="s">
        <v>1676</v>
      </c>
      <c r="E35" s="47">
        <v>449.59</v>
      </c>
      <c r="F35" s="46" t="s">
        <v>4544</v>
      </c>
      <c r="G35" s="46" t="s">
        <v>4545</v>
      </c>
      <c r="H35" s="48">
        <v>99.07</v>
      </c>
      <c r="I35" s="48">
        <v>96.71</v>
      </c>
      <c r="J35" s="46" t="str">
        <f t="shared" ref="J35:J66" si="1">IF(I35&lt;H35,"Yes","No")</f>
        <v>Yes</v>
      </c>
      <c r="K35" s="46">
        <v>1.6</v>
      </c>
      <c r="L35" s="46" t="s">
        <v>4471</v>
      </c>
      <c r="M35" s="48">
        <v>41.5</v>
      </c>
      <c r="N35" s="46" t="s">
        <v>4423</v>
      </c>
      <c r="O35" s="46" t="s">
        <v>576</v>
      </c>
      <c r="P35" s="46" t="s">
        <v>1684</v>
      </c>
      <c r="Q35" s="46" t="s">
        <v>4416</v>
      </c>
      <c r="R35" s="46">
        <v>1</v>
      </c>
      <c r="S35" s="46">
        <v>14</v>
      </c>
      <c r="T35" s="46" t="s">
        <v>4417</v>
      </c>
      <c r="U35" s="46" t="s">
        <v>1640</v>
      </c>
      <c r="V35" s="49" t="s">
        <v>321</v>
      </c>
    </row>
    <row r="36" spans="1:22" ht="15" customHeight="1" x14ac:dyDescent="0.25">
      <c r="A36" s="54" t="s">
        <v>4546</v>
      </c>
      <c r="B36" s="54" t="s">
        <v>4547</v>
      </c>
      <c r="C36" s="54" t="s">
        <v>4474</v>
      </c>
      <c r="D36" s="54" t="s">
        <v>3472</v>
      </c>
      <c r="E36" s="55">
        <v>532.12</v>
      </c>
      <c r="F36" s="54" t="s">
        <v>4548</v>
      </c>
      <c r="G36" s="54" t="s">
        <v>4549</v>
      </c>
      <c r="H36" s="56">
        <v>98.92</v>
      </c>
      <c r="I36" s="56">
        <v>95.82</v>
      </c>
      <c r="J36" s="54" t="str">
        <f t="shared" si="1"/>
        <v>Yes</v>
      </c>
      <c r="K36" s="54">
        <v>1.7</v>
      </c>
      <c r="L36" s="54" t="s">
        <v>4415</v>
      </c>
      <c r="M36" s="56">
        <v>85.7</v>
      </c>
      <c r="N36" s="54" t="s">
        <v>4423</v>
      </c>
      <c r="O36" s="54" t="s">
        <v>587</v>
      </c>
      <c r="P36" s="54" t="s">
        <v>1684</v>
      </c>
      <c r="Q36" s="54" t="s">
        <v>587</v>
      </c>
      <c r="R36" s="54">
        <v>10</v>
      </c>
      <c r="S36" s="54">
        <v>1</v>
      </c>
      <c r="T36" s="54" t="s">
        <v>4417</v>
      </c>
      <c r="U36" s="54" t="s">
        <v>622</v>
      </c>
      <c r="V36" s="57" t="s">
        <v>495</v>
      </c>
    </row>
    <row r="37" spans="1:22" ht="15" customHeight="1" x14ac:dyDescent="0.25">
      <c r="A37" s="54" t="s">
        <v>4550</v>
      </c>
      <c r="B37" s="54" t="s">
        <v>4551</v>
      </c>
      <c r="C37" s="54" t="s">
        <v>4465</v>
      </c>
      <c r="D37" s="54" t="s">
        <v>1676</v>
      </c>
      <c r="E37" s="55">
        <v>489.16</v>
      </c>
      <c r="F37" s="54" t="s">
        <v>4552</v>
      </c>
      <c r="G37" s="54" t="s">
        <v>4553</v>
      </c>
      <c r="H37" s="56">
        <v>99.22</v>
      </c>
      <c r="I37" s="56">
        <v>96.83</v>
      </c>
      <c r="J37" s="54" t="str">
        <f t="shared" si="1"/>
        <v>Yes</v>
      </c>
      <c r="K37" s="54">
        <v>3.6</v>
      </c>
      <c r="L37" s="54" t="s">
        <v>4457</v>
      </c>
      <c r="M37" s="56">
        <v>81.3</v>
      </c>
      <c r="N37" s="54" t="s">
        <v>544</v>
      </c>
      <c r="O37" s="54" t="s">
        <v>587</v>
      </c>
      <c r="P37" s="54" t="s">
        <v>3015</v>
      </c>
      <c r="Q37" s="54" t="s">
        <v>576</v>
      </c>
      <c r="R37" s="54">
        <v>14</v>
      </c>
      <c r="S37" s="54">
        <v>14</v>
      </c>
      <c r="T37" s="54" t="s">
        <v>4424</v>
      </c>
      <c r="U37" s="54" t="s">
        <v>622</v>
      </c>
      <c r="V37" s="57" t="s">
        <v>495</v>
      </c>
    </row>
    <row r="38" spans="1:22" ht="15" customHeight="1" x14ac:dyDescent="0.25">
      <c r="A38" s="54" t="s">
        <v>4554</v>
      </c>
      <c r="B38" s="54" t="s">
        <v>4555</v>
      </c>
      <c r="C38" s="54" t="s">
        <v>4460</v>
      </c>
      <c r="D38" s="54" t="s">
        <v>3472</v>
      </c>
      <c r="E38" s="55">
        <v>577.57000000000005</v>
      </c>
      <c r="F38" s="54" t="s">
        <v>4051</v>
      </c>
      <c r="G38" s="54" t="s">
        <v>4556</v>
      </c>
      <c r="H38" s="56">
        <v>98.93</v>
      </c>
      <c r="I38" s="56">
        <v>96.98</v>
      </c>
      <c r="J38" s="54" t="str">
        <f t="shared" si="1"/>
        <v>Yes</v>
      </c>
      <c r="K38" s="54">
        <v>2.1</v>
      </c>
      <c r="L38" s="54" t="s">
        <v>4457</v>
      </c>
      <c r="M38" s="56">
        <v>84.1</v>
      </c>
      <c r="N38" s="54" t="s">
        <v>576</v>
      </c>
      <c r="O38" s="54" t="s">
        <v>544</v>
      </c>
      <c r="P38" s="54" t="s">
        <v>1684</v>
      </c>
      <c r="Q38" s="54" t="s">
        <v>587</v>
      </c>
      <c r="R38" s="54">
        <v>11</v>
      </c>
      <c r="S38" s="54">
        <v>2</v>
      </c>
      <c r="T38" s="54" t="s">
        <v>4417</v>
      </c>
      <c r="U38" s="54" t="s">
        <v>622</v>
      </c>
      <c r="V38" s="57" t="s">
        <v>495</v>
      </c>
    </row>
    <row r="39" spans="1:22" ht="15" customHeight="1" x14ac:dyDescent="0.25">
      <c r="A39" s="54" t="s">
        <v>4557</v>
      </c>
      <c r="B39" s="54" t="s">
        <v>4558</v>
      </c>
      <c r="C39" s="54" t="s">
        <v>4460</v>
      </c>
      <c r="D39" s="54" t="s">
        <v>1676</v>
      </c>
      <c r="E39" s="55">
        <v>213.69</v>
      </c>
      <c r="F39" s="54" t="s">
        <v>4559</v>
      </c>
      <c r="G39" s="54" t="s">
        <v>1583</v>
      </c>
      <c r="H39" s="56">
        <v>99.5</v>
      </c>
      <c r="I39" s="56">
        <v>96.82</v>
      </c>
      <c r="J39" s="54" t="str">
        <f t="shared" si="1"/>
        <v>Yes</v>
      </c>
      <c r="K39" s="54">
        <v>3.6</v>
      </c>
      <c r="L39" s="54" t="s">
        <v>4471</v>
      </c>
      <c r="M39" s="56">
        <v>15</v>
      </c>
      <c r="N39" s="54" t="s">
        <v>576</v>
      </c>
      <c r="O39" s="54" t="s">
        <v>576</v>
      </c>
      <c r="P39" s="54" t="s">
        <v>576</v>
      </c>
      <c r="Q39" s="54" t="s">
        <v>4416</v>
      </c>
      <c r="R39" s="54">
        <v>8</v>
      </c>
      <c r="S39" s="54">
        <v>1</v>
      </c>
      <c r="T39" s="54" t="s">
        <v>4424</v>
      </c>
      <c r="U39" s="54" t="s">
        <v>622</v>
      </c>
      <c r="V39" s="57" t="s">
        <v>495</v>
      </c>
    </row>
    <row r="40" spans="1:22" ht="15" customHeight="1" x14ac:dyDescent="0.25">
      <c r="A40" s="46" t="s">
        <v>4560</v>
      </c>
      <c r="B40" s="46" t="s">
        <v>4561</v>
      </c>
      <c r="C40" s="46" t="s">
        <v>4562</v>
      </c>
      <c r="D40" s="46" t="s">
        <v>1640</v>
      </c>
      <c r="E40" s="47">
        <v>242.06</v>
      </c>
      <c r="F40" s="46" t="s">
        <v>4563</v>
      </c>
      <c r="G40" s="46" t="s">
        <v>4564</v>
      </c>
      <c r="H40" s="48">
        <v>99.48</v>
      </c>
      <c r="I40" s="48">
        <v>96.95</v>
      </c>
      <c r="J40" s="46" t="str">
        <f t="shared" si="1"/>
        <v>Yes</v>
      </c>
      <c r="K40" s="46">
        <v>2.4</v>
      </c>
      <c r="L40" s="46" t="s">
        <v>4439</v>
      </c>
      <c r="M40" s="48">
        <v>93.6</v>
      </c>
      <c r="N40" s="46" t="s">
        <v>544</v>
      </c>
      <c r="O40" s="46" t="s">
        <v>544</v>
      </c>
      <c r="P40" s="46" t="s">
        <v>3015</v>
      </c>
      <c r="Q40" s="46" t="s">
        <v>576</v>
      </c>
      <c r="R40" s="46">
        <v>10</v>
      </c>
      <c r="S40" s="46">
        <v>5</v>
      </c>
      <c r="T40" s="46" t="s">
        <v>4417</v>
      </c>
      <c r="U40" s="46" t="s">
        <v>1640</v>
      </c>
      <c r="V40" s="49" t="s">
        <v>321</v>
      </c>
    </row>
    <row r="41" spans="1:22" ht="25.5" customHeight="1" x14ac:dyDescent="0.25">
      <c r="A41" s="54" t="s">
        <v>4565</v>
      </c>
      <c r="B41" s="54" t="s">
        <v>4566</v>
      </c>
      <c r="C41" s="54" t="s">
        <v>4474</v>
      </c>
      <c r="D41" s="54" t="s">
        <v>622</v>
      </c>
      <c r="E41" s="55">
        <v>565.17999999999995</v>
      </c>
      <c r="F41" s="54" t="s">
        <v>4567</v>
      </c>
      <c r="G41" s="54" t="s">
        <v>4568</v>
      </c>
      <c r="H41" s="56">
        <v>99.71</v>
      </c>
      <c r="I41" s="56">
        <v>99.58</v>
      </c>
      <c r="J41" s="54" t="str">
        <f t="shared" si="1"/>
        <v>Yes</v>
      </c>
      <c r="K41" s="54">
        <v>2.9</v>
      </c>
      <c r="L41" s="54" t="s">
        <v>4439</v>
      </c>
      <c r="M41" s="56">
        <v>72.599999999999994</v>
      </c>
      <c r="N41" s="54" t="s">
        <v>576</v>
      </c>
      <c r="O41" s="54" t="s">
        <v>576</v>
      </c>
      <c r="P41" s="54" t="s">
        <v>587</v>
      </c>
      <c r="Q41" s="54" t="s">
        <v>587</v>
      </c>
      <c r="R41" s="54">
        <v>11</v>
      </c>
      <c r="S41" s="54">
        <v>13</v>
      </c>
      <c r="T41" s="54" t="s">
        <v>4424</v>
      </c>
      <c r="U41" s="54" t="s">
        <v>622</v>
      </c>
      <c r="V41" s="57" t="s">
        <v>495</v>
      </c>
    </row>
    <row r="42" spans="1:22" ht="25.5" customHeight="1" x14ac:dyDescent="0.25">
      <c r="A42" s="54" t="s">
        <v>4569</v>
      </c>
      <c r="B42" s="54" t="s">
        <v>4570</v>
      </c>
      <c r="C42" s="54" t="s">
        <v>4431</v>
      </c>
      <c r="D42" s="54" t="s">
        <v>3472</v>
      </c>
      <c r="E42" s="55">
        <v>362</v>
      </c>
      <c r="F42" s="54" t="s">
        <v>1323</v>
      </c>
      <c r="G42" s="54" t="s">
        <v>4571</v>
      </c>
      <c r="H42" s="56">
        <v>99.66</v>
      </c>
      <c r="I42" s="56">
        <v>96.18</v>
      </c>
      <c r="J42" s="54" t="str">
        <f t="shared" si="1"/>
        <v>Yes</v>
      </c>
      <c r="K42" s="54">
        <v>1.3</v>
      </c>
      <c r="L42" s="54" t="s">
        <v>4444</v>
      </c>
      <c r="M42" s="56">
        <v>68</v>
      </c>
      <c r="N42" s="54" t="s">
        <v>544</v>
      </c>
      <c r="O42" s="54" t="s">
        <v>587</v>
      </c>
      <c r="P42" s="54" t="s">
        <v>1684</v>
      </c>
      <c r="Q42" s="54" t="s">
        <v>587</v>
      </c>
      <c r="R42" s="54">
        <v>12</v>
      </c>
      <c r="S42" s="54">
        <v>13</v>
      </c>
      <c r="T42" s="54" t="s">
        <v>2739</v>
      </c>
      <c r="U42" s="54" t="s">
        <v>622</v>
      </c>
      <c r="V42" s="57" t="s">
        <v>495</v>
      </c>
    </row>
    <row r="43" spans="1:22" ht="15" customHeight="1" x14ac:dyDescent="0.25">
      <c r="A43" s="46" t="s">
        <v>4572</v>
      </c>
      <c r="B43" s="46" t="s">
        <v>4573</v>
      </c>
      <c r="C43" s="46" t="s">
        <v>4431</v>
      </c>
      <c r="D43" s="46" t="s">
        <v>1640</v>
      </c>
      <c r="E43" s="47">
        <v>439.45</v>
      </c>
      <c r="F43" s="46" t="s">
        <v>4574</v>
      </c>
      <c r="G43" s="46" t="s">
        <v>3676</v>
      </c>
      <c r="H43" s="48">
        <v>99.02</v>
      </c>
      <c r="I43" s="48">
        <v>96.35</v>
      </c>
      <c r="J43" s="46" t="str">
        <f t="shared" si="1"/>
        <v>Yes</v>
      </c>
      <c r="K43" s="46">
        <v>2.6</v>
      </c>
      <c r="L43" s="46" t="s">
        <v>4415</v>
      </c>
      <c r="M43" s="48">
        <v>66.900000000000006</v>
      </c>
      <c r="N43" s="46" t="s">
        <v>544</v>
      </c>
      <c r="O43" s="46" t="s">
        <v>544</v>
      </c>
      <c r="P43" s="46" t="s">
        <v>1684</v>
      </c>
      <c r="Q43" s="46" t="s">
        <v>587</v>
      </c>
      <c r="R43" s="46">
        <v>12</v>
      </c>
      <c r="S43" s="46">
        <v>17</v>
      </c>
      <c r="T43" s="46" t="s">
        <v>4424</v>
      </c>
      <c r="U43" s="46" t="s">
        <v>1640</v>
      </c>
      <c r="V43" s="49" t="s">
        <v>321</v>
      </c>
    </row>
    <row r="44" spans="1:22" ht="15" customHeight="1" x14ac:dyDescent="0.25">
      <c r="A44" s="54" t="s">
        <v>4575</v>
      </c>
      <c r="B44" s="54" t="s">
        <v>4576</v>
      </c>
      <c r="C44" s="54" t="s">
        <v>4420</v>
      </c>
      <c r="D44" s="54" t="s">
        <v>3472</v>
      </c>
      <c r="E44" s="55">
        <v>445.52</v>
      </c>
      <c r="F44" s="54" t="s">
        <v>4577</v>
      </c>
      <c r="G44" s="54" t="s">
        <v>4578</v>
      </c>
      <c r="H44" s="56">
        <v>98.68</v>
      </c>
      <c r="I44" s="56">
        <v>96.58</v>
      </c>
      <c r="J44" s="54" t="str">
        <f t="shared" si="1"/>
        <v>Yes</v>
      </c>
      <c r="K44" s="54">
        <v>2.5</v>
      </c>
      <c r="L44" s="54" t="s">
        <v>4439</v>
      </c>
      <c r="M44" s="56">
        <v>64.599999999999994</v>
      </c>
      <c r="N44" s="54" t="s">
        <v>576</v>
      </c>
      <c r="O44" s="54" t="s">
        <v>4423</v>
      </c>
      <c r="P44" s="54" t="s">
        <v>587</v>
      </c>
      <c r="Q44" s="54" t="s">
        <v>4416</v>
      </c>
      <c r="R44" s="54">
        <v>7</v>
      </c>
      <c r="S44" s="54">
        <v>7</v>
      </c>
      <c r="T44" s="54" t="s">
        <v>4417</v>
      </c>
      <c r="U44" s="54" t="s">
        <v>622</v>
      </c>
      <c r="V44" s="57" t="s">
        <v>495</v>
      </c>
    </row>
    <row r="45" spans="1:22" ht="15" customHeight="1" x14ac:dyDescent="0.25">
      <c r="A45" s="54" t="s">
        <v>4579</v>
      </c>
      <c r="B45" s="54" t="s">
        <v>4580</v>
      </c>
      <c r="C45" s="54" t="s">
        <v>3586</v>
      </c>
      <c r="D45" s="54" t="s">
        <v>622</v>
      </c>
      <c r="E45" s="55">
        <v>346.68</v>
      </c>
      <c r="F45" s="54" t="s">
        <v>4581</v>
      </c>
      <c r="G45" s="54" t="s">
        <v>2629</v>
      </c>
      <c r="H45" s="56">
        <v>99.7</v>
      </c>
      <c r="I45" s="56">
        <v>98.6</v>
      </c>
      <c r="J45" s="54" t="str">
        <f t="shared" si="1"/>
        <v>Yes</v>
      </c>
      <c r="K45" s="54">
        <v>4.4000000000000004</v>
      </c>
      <c r="L45" s="54" t="s">
        <v>4434</v>
      </c>
      <c r="M45" s="56">
        <v>30.6</v>
      </c>
      <c r="N45" s="54" t="s">
        <v>4423</v>
      </c>
      <c r="O45" s="54" t="s">
        <v>587</v>
      </c>
      <c r="P45" s="54" t="s">
        <v>587</v>
      </c>
      <c r="Q45" s="54" t="s">
        <v>576</v>
      </c>
      <c r="R45" s="54">
        <v>8</v>
      </c>
      <c r="S45" s="54">
        <v>1</v>
      </c>
      <c r="T45" s="54" t="s">
        <v>4424</v>
      </c>
      <c r="U45" s="54" t="s">
        <v>622</v>
      </c>
      <c r="V45" s="57" t="s">
        <v>495</v>
      </c>
    </row>
    <row r="46" spans="1:22" ht="15" customHeight="1" x14ac:dyDescent="0.25">
      <c r="A46" s="54" t="s">
        <v>4582</v>
      </c>
      <c r="B46" s="54" t="s">
        <v>4583</v>
      </c>
      <c r="C46" s="54" t="s">
        <v>4447</v>
      </c>
      <c r="D46" s="54" t="s">
        <v>3472</v>
      </c>
      <c r="E46" s="55">
        <v>133.69</v>
      </c>
      <c r="F46" s="54" t="s">
        <v>4584</v>
      </c>
      <c r="G46" s="54" t="s">
        <v>2840</v>
      </c>
      <c r="H46" s="56">
        <v>98.06</v>
      </c>
      <c r="I46" s="56">
        <v>96.36</v>
      </c>
      <c r="J46" s="54" t="str">
        <f t="shared" si="1"/>
        <v>Yes</v>
      </c>
      <c r="K46" s="54">
        <v>2.8</v>
      </c>
      <c r="L46" s="54" t="s">
        <v>4471</v>
      </c>
      <c r="M46" s="56">
        <v>28.1</v>
      </c>
      <c r="N46" s="54" t="s">
        <v>576</v>
      </c>
      <c r="O46" s="54" t="s">
        <v>4423</v>
      </c>
      <c r="P46" s="54" t="s">
        <v>1684</v>
      </c>
      <c r="Q46" s="54" t="s">
        <v>4416</v>
      </c>
      <c r="R46" s="54">
        <v>10</v>
      </c>
      <c r="S46" s="54">
        <v>5</v>
      </c>
      <c r="T46" s="54" t="s">
        <v>4424</v>
      </c>
      <c r="U46" s="54" t="s">
        <v>622</v>
      </c>
      <c r="V46" s="57" t="s">
        <v>495</v>
      </c>
    </row>
    <row r="47" spans="1:22" ht="15" customHeight="1" x14ac:dyDescent="0.25">
      <c r="A47" s="46" t="s">
        <v>4585</v>
      </c>
      <c r="B47" s="46" t="s">
        <v>4586</v>
      </c>
      <c r="C47" s="46" t="s">
        <v>4460</v>
      </c>
      <c r="D47" s="46" t="s">
        <v>1676</v>
      </c>
      <c r="E47" s="47">
        <v>183.04</v>
      </c>
      <c r="F47" s="46" t="s">
        <v>4587</v>
      </c>
      <c r="G47" s="46" t="s">
        <v>1218</v>
      </c>
      <c r="H47" s="48">
        <v>98.65</v>
      </c>
      <c r="I47" s="48">
        <v>97.73</v>
      </c>
      <c r="J47" s="46" t="str">
        <f t="shared" si="1"/>
        <v>Yes</v>
      </c>
      <c r="K47" s="46">
        <v>1.4</v>
      </c>
      <c r="L47" s="46" t="s">
        <v>4434</v>
      </c>
      <c r="M47" s="48">
        <v>84.3</v>
      </c>
      <c r="N47" s="46" t="s">
        <v>587</v>
      </c>
      <c r="O47" s="46" t="s">
        <v>587</v>
      </c>
      <c r="P47" s="46" t="s">
        <v>1684</v>
      </c>
      <c r="Q47" s="46" t="s">
        <v>4416</v>
      </c>
      <c r="R47" s="46">
        <v>7</v>
      </c>
      <c r="S47" s="46">
        <v>11</v>
      </c>
      <c r="T47" s="46" t="s">
        <v>2739</v>
      </c>
      <c r="U47" s="46" t="s">
        <v>1640</v>
      </c>
      <c r="V47" s="49" t="s">
        <v>321</v>
      </c>
    </row>
    <row r="48" spans="1:22" ht="15" customHeight="1" x14ac:dyDescent="0.25">
      <c r="A48" s="46" t="s">
        <v>4588</v>
      </c>
      <c r="B48" s="46" t="s">
        <v>4589</v>
      </c>
      <c r="C48" s="46" t="s">
        <v>4431</v>
      </c>
      <c r="D48" s="46" t="s">
        <v>1676</v>
      </c>
      <c r="E48" s="47">
        <v>251.1</v>
      </c>
      <c r="F48" s="46" t="s">
        <v>1393</v>
      </c>
      <c r="G48" s="46" t="s">
        <v>4590</v>
      </c>
      <c r="H48" s="48">
        <v>98.19</v>
      </c>
      <c r="I48" s="48">
        <v>97.87</v>
      </c>
      <c r="J48" s="46" t="str">
        <f t="shared" si="1"/>
        <v>Yes</v>
      </c>
      <c r="K48" s="46">
        <v>1.8</v>
      </c>
      <c r="L48" s="46" t="s">
        <v>4457</v>
      </c>
      <c r="M48" s="48">
        <v>16.5</v>
      </c>
      <c r="N48" s="46" t="s">
        <v>587</v>
      </c>
      <c r="O48" s="46" t="s">
        <v>576</v>
      </c>
      <c r="P48" s="46" t="s">
        <v>587</v>
      </c>
      <c r="Q48" s="46" t="s">
        <v>587</v>
      </c>
      <c r="R48" s="46">
        <v>11</v>
      </c>
      <c r="S48" s="46">
        <v>6</v>
      </c>
      <c r="T48" s="46" t="s">
        <v>4417</v>
      </c>
      <c r="U48" s="46" t="s">
        <v>1640</v>
      </c>
      <c r="V48" s="49" t="s">
        <v>321</v>
      </c>
    </row>
    <row r="49" spans="1:22" ht="25.5" customHeight="1" x14ac:dyDescent="0.25">
      <c r="A49" s="54" t="s">
        <v>4591</v>
      </c>
      <c r="B49" s="54" t="s">
        <v>4592</v>
      </c>
      <c r="C49" s="54" t="s">
        <v>4460</v>
      </c>
      <c r="D49" s="54" t="s">
        <v>1676</v>
      </c>
      <c r="E49" s="55">
        <v>464.61</v>
      </c>
      <c r="F49" s="54" t="s">
        <v>4593</v>
      </c>
      <c r="G49" s="54" t="s">
        <v>1921</v>
      </c>
      <c r="H49" s="56">
        <v>99.89</v>
      </c>
      <c r="I49" s="56">
        <v>96.62</v>
      </c>
      <c r="J49" s="54" t="str">
        <f t="shared" si="1"/>
        <v>Yes</v>
      </c>
      <c r="K49" s="54">
        <v>4.0999999999999996</v>
      </c>
      <c r="L49" s="54" t="s">
        <v>4457</v>
      </c>
      <c r="M49" s="56">
        <v>64.2</v>
      </c>
      <c r="N49" s="54" t="s">
        <v>576</v>
      </c>
      <c r="O49" s="54" t="s">
        <v>544</v>
      </c>
      <c r="P49" s="54" t="s">
        <v>3015</v>
      </c>
      <c r="Q49" s="54" t="s">
        <v>587</v>
      </c>
      <c r="R49" s="54">
        <v>1</v>
      </c>
      <c r="S49" s="54">
        <v>18</v>
      </c>
      <c r="T49" s="54" t="s">
        <v>4424</v>
      </c>
      <c r="U49" s="54" t="s">
        <v>622</v>
      </c>
      <c r="V49" s="57" t="s">
        <v>495</v>
      </c>
    </row>
    <row r="50" spans="1:22" ht="25.5" customHeight="1" x14ac:dyDescent="0.25">
      <c r="A50" s="54" t="s">
        <v>4594</v>
      </c>
      <c r="B50" s="54" t="s">
        <v>4595</v>
      </c>
      <c r="C50" s="54" t="s">
        <v>4465</v>
      </c>
      <c r="D50" s="54" t="s">
        <v>1640</v>
      </c>
      <c r="E50" s="55">
        <v>425</v>
      </c>
      <c r="F50" s="54" t="s">
        <v>4596</v>
      </c>
      <c r="G50" s="54" t="s">
        <v>4597</v>
      </c>
      <c r="H50" s="56">
        <v>98.66</v>
      </c>
      <c r="I50" s="56">
        <v>95.83</v>
      </c>
      <c r="J50" s="54" t="str">
        <f t="shared" si="1"/>
        <v>Yes</v>
      </c>
      <c r="K50" s="54">
        <v>4.4000000000000004</v>
      </c>
      <c r="L50" s="54" t="s">
        <v>4444</v>
      </c>
      <c r="M50" s="56">
        <v>42</v>
      </c>
      <c r="N50" s="54" t="s">
        <v>544</v>
      </c>
      <c r="O50" s="54" t="s">
        <v>587</v>
      </c>
      <c r="P50" s="54" t="s">
        <v>587</v>
      </c>
      <c r="Q50" s="54" t="s">
        <v>4416</v>
      </c>
      <c r="R50" s="54">
        <v>6</v>
      </c>
      <c r="S50" s="54">
        <v>3</v>
      </c>
      <c r="T50" s="54" t="s">
        <v>4424</v>
      </c>
      <c r="U50" s="54" t="s">
        <v>622</v>
      </c>
      <c r="V50" s="57" t="s">
        <v>495</v>
      </c>
    </row>
    <row r="51" spans="1:22" ht="25.5" customHeight="1" x14ac:dyDescent="0.25">
      <c r="A51" s="54" t="s">
        <v>4598</v>
      </c>
      <c r="B51" s="54" t="s">
        <v>4599</v>
      </c>
      <c r="C51" s="54" t="s">
        <v>4437</v>
      </c>
      <c r="D51" s="54" t="s">
        <v>622</v>
      </c>
      <c r="E51" s="55">
        <v>190.07</v>
      </c>
      <c r="F51" s="54" t="s">
        <v>1135</v>
      </c>
      <c r="G51" s="54" t="s">
        <v>4600</v>
      </c>
      <c r="H51" s="56">
        <v>99.46</v>
      </c>
      <c r="I51" s="56">
        <v>95.99</v>
      </c>
      <c r="J51" s="54" t="str">
        <f t="shared" si="1"/>
        <v>Yes</v>
      </c>
      <c r="K51" s="54">
        <v>4.8</v>
      </c>
      <c r="L51" s="54" t="s">
        <v>4444</v>
      </c>
      <c r="M51" s="56">
        <v>79.599999999999994</v>
      </c>
      <c r="N51" s="54" t="s">
        <v>4423</v>
      </c>
      <c r="O51" s="54" t="s">
        <v>587</v>
      </c>
      <c r="P51" s="54" t="s">
        <v>3015</v>
      </c>
      <c r="Q51" s="54" t="s">
        <v>576</v>
      </c>
      <c r="R51" s="54">
        <v>5</v>
      </c>
      <c r="S51" s="54">
        <v>9</v>
      </c>
      <c r="T51" s="54" t="s">
        <v>4424</v>
      </c>
      <c r="U51" s="54" t="s">
        <v>622</v>
      </c>
      <c r="V51" s="57" t="s">
        <v>495</v>
      </c>
    </row>
    <row r="52" spans="1:22" ht="15" customHeight="1" x14ac:dyDescent="0.25">
      <c r="A52" s="54" t="s">
        <v>4601</v>
      </c>
      <c r="B52" s="54" t="s">
        <v>4602</v>
      </c>
      <c r="C52" s="54" t="s">
        <v>4420</v>
      </c>
      <c r="D52" s="54" t="s">
        <v>3472</v>
      </c>
      <c r="E52" s="55">
        <v>415.04</v>
      </c>
      <c r="F52" s="54" t="s">
        <v>4603</v>
      </c>
      <c r="G52" s="54" t="s">
        <v>2897</v>
      </c>
      <c r="H52" s="56">
        <v>99.95</v>
      </c>
      <c r="I52" s="56">
        <v>96.99</v>
      </c>
      <c r="J52" s="54" t="str">
        <f t="shared" si="1"/>
        <v>Yes</v>
      </c>
      <c r="K52" s="54">
        <v>4.4000000000000004</v>
      </c>
      <c r="L52" s="54" t="s">
        <v>4434</v>
      </c>
      <c r="M52" s="56">
        <v>88.5</v>
      </c>
      <c r="N52" s="54" t="s">
        <v>587</v>
      </c>
      <c r="O52" s="54" t="s">
        <v>576</v>
      </c>
      <c r="P52" s="54" t="s">
        <v>3015</v>
      </c>
      <c r="Q52" s="54" t="s">
        <v>576</v>
      </c>
      <c r="R52" s="54">
        <v>15</v>
      </c>
      <c r="S52" s="54">
        <v>6</v>
      </c>
      <c r="T52" s="54" t="s">
        <v>4424</v>
      </c>
      <c r="U52" s="54" t="s">
        <v>622</v>
      </c>
      <c r="V52" s="57" t="s">
        <v>495</v>
      </c>
    </row>
    <row r="53" spans="1:22" ht="25.5" customHeight="1" x14ac:dyDescent="0.25">
      <c r="A53" s="62" t="s">
        <v>4604</v>
      </c>
      <c r="B53" s="62" t="s">
        <v>4605</v>
      </c>
      <c r="C53" s="62" t="s">
        <v>4606</v>
      </c>
      <c r="D53" s="63" t="s">
        <v>622</v>
      </c>
      <c r="E53" s="62">
        <v>89.48</v>
      </c>
      <c r="F53" s="62" t="s">
        <v>4607</v>
      </c>
      <c r="G53" s="62" t="s">
        <v>1875</v>
      </c>
      <c r="H53" s="62">
        <v>99.76</v>
      </c>
      <c r="I53" s="62">
        <v>98.76</v>
      </c>
      <c r="J53" s="62" t="s">
        <v>576</v>
      </c>
      <c r="K53" s="62">
        <v>4.5999999999999996</v>
      </c>
      <c r="L53" s="62" t="s">
        <v>4439</v>
      </c>
      <c r="M53" s="62">
        <v>79.2</v>
      </c>
      <c r="N53" s="62" t="s">
        <v>576</v>
      </c>
      <c r="O53" s="62" t="s">
        <v>576</v>
      </c>
      <c r="P53" s="62" t="s">
        <v>587</v>
      </c>
      <c r="Q53" s="62" t="s">
        <v>587</v>
      </c>
      <c r="R53" s="62">
        <v>1</v>
      </c>
      <c r="S53" s="62">
        <v>10</v>
      </c>
      <c r="T53" s="62" t="s">
        <v>4424</v>
      </c>
      <c r="U53" s="63" t="s">
        <v>622</v>
      </c>
      <c r="V53" s="63" t="s">
        <v>495</v>
      </c>
    </row>
    <row r="54" spans="1:22" ht="25.5" customHeight="1" x14ac:dyDescent="0.25">
      <c r="A54" s="64" t="s">
        <v>4608</v>
      </c>
      <c r="B54" s="64" t="s">
        <v>4609</v>
      </c>
      <c r="C54" s="64" t="s">
        <v>4431</v>
      </c>
      <c r="D54" s="65" t="s">
        <v>1676</v>
      </c>
      <c r="E54" s="64">
        <v>89.34</v>
      </c>
      <c r="F54" s="64" t="s">
        <v>4610</v>
      </c>
      <c r="G54" s="64" t="s">
        <v>1344</v>
      </c>
      <c r="H54" s="64">
        <v>98.49</v>
      </c>
      <c r="I54" s="64">
        <v>97.39</v>
      </c>
      <c r="J54" s="64" t="s">
        <v>576</v>
      </c>
      <c r="K54" s="64">
        <v>4.9000000000000004</v>
      </c>
      <c r="L54" s="64" t="s">
        <v>4434</v>
      </c>
      <c r="M54" s="64">
        <v>1.1000000000000001</v>
      </c>
      <c r="N54" s="64" t="s">
        <v>576</v>
      </c>
      <c r="O54" s="64" t="s">
        <v>576</v>
      </c>
      <c r="P54" s="64" t="s">
        <v>576</v>
      </c>
      <c r="Q54" s="64" t="s">
        <v>4416</v>
      </c>
      <c r="R54" s="64">
        <v>8</v>
      </c>
      <c r="S54" s="64">
        <v>5</v>
      </c>
      <c r="T54" s="64" t="s">
        <v>4424</v>
      </c>
      <c r="U54" s="63" t="s">
        <v>622</v>
      </c>
      <c r="V54" s="63" t="s">
        <v>495</v>
      </c>
    </row>
    <row r="55" spans="1:22" ht="25.5" customHeight="1" x14ac:dyDescent="0.25">
      <c r="A55" s="62" t="s">
        <v>4611</v>
      </c>
      <c r="B55" s="62" t="s">
        <v>4612</v>
      </c>
      <c r="C55" s="62" t="s">
        <v>4606</v>
      </c>
      <c r="D55" s="63" t="s">
        <v>622</v>
      </c>
      <c r="E55" s="62">
        <v>358.73</v>
      </c>
      <c r="F55" s="62" t="s">
        <v>4613</v>
      </c>
      <c r="G55" s="62" t="s">
        <v>857</v>
      </c>
      <c r="H55" s="62">
        <v>99.34</v>
      </c>
      <c r="I55" s="62">
        <v>97.64</v>
      </c>
      <c r="J55" s="62" t="s">
        <v>576</v>
      </c>
      <c r="K55" s="62">
        <v>3.9</v>
      </c>
      <c r="L55" s="62" t="s">
        <v>4457</v>
      </c>
      <c r="M55" s="62">
        <v>35.6</v>
      </c>
      <c r="N55" s="62" t="s">
        <v>576</v>
      </c>
      <c r="O55" s="62" t="s">
        <v>587</v>
      </c>
      <c r="P55" s="62" t="s">
        <v>3015</v>
      </c>
      <c r="Q55" s="62" t="s">
        <v>4416</v>
      </c>
      <c r="R55" s="62">
        <v>1</v>
      </c>
      <c r="S55" s="62">
        <v>15</v>
      </c>
      <c r="T55" s="62" t="s">
        <v>4424</v>
      </c>
      <c r="U55" s="66" t="s">
        <v>1640</v>
      </c>
      <c r="V55" s="66" t="s">
        <v>321</v>
      </c>
    </row>
    <row r="56" spans="1:22" ht="15" customHeight="1" x14ac:dyDescent="0.25">
      <c r="A56" s="64" t="s">
        <v>4614</v>
      </c>
      <c r="B56" s="64" t="s">
        <v>4615</v>
      </c>
      <c r="C56" s="64" t="s">
        <v>4420</v>
      </c>
      <c r="D56" s="63" t="s">
        <v>3472</v>
      </c>
      <c r="E56" s="64">
        <v>203.62</v>
      </c>
      <c r="F56" s="64" t="s">
        <v>4616</v>
      </c>
      <c r="G56" s="64" t="s">
        <v>4617</v>
      </c>
      <c r="H56" s="64">
        <v>98.77</v>
      </c>
      <c r="I56" s="64">
        <v>97.47</v>
      </c>
      <c r="J56" s="64" t="s">
        <v>576</v>
      </c>
      <c r="K56" s="64">
        <v>2.7</v>
      </c>
      <c r="L56" s="64" t="s">
        <v>4439</v>
      </c>
      <c r="M56" s="64">
        <v>72.599999999999994</v>
      </c>
      <c r="N56" s="63" t="s">
        <v>544</v>
      </c>
      <c r="O56" s="64" t="s">
        <v>576</v>
      </c>
      <c r="P56" s="64" t="s">
        <v>576</v>
      </c>
      <c r="Q56" s="64" t="s">
        <v>4416</v>
      </c>
      <c r="R56" s="64">
        <v>8</v>
      </c>
      <c r="S56" s="64">
        <v>3</v>
      </c>
      <c r="T56" s="64" t="s">
        <v>4424</v>
      </c>
      <c r="U56" s="65" t="s">
        <v>1676</v>
      </c>
      <c r="V56" s="65" t="s">
        <v>266</v>
      </c>
    </row>
    <row r="57" spans="1:22" ht="15" customHeight="1" x14ac:dyDescent="0.25">
      <c r="A57" s="62" t="s">
        <v>4618</v>
      </c>
      <c r="B57" s="62" t="s">
        <v>4619</v>
      </c>
      <c r="C57" s="62" t="s">
        <v>4447</v>
      </c>
      <c r="D57" s="63" t="s">
        <v>622</v>
      </c>
      <c r="E57" s="62">
        <v>385.39</v>
      </c>
      <c r="F57" s="62" t="s">
        <v>4620</v>
      </c>
      <c r="G57" s="62" t="s">
        <v>1045</v>
      </c>
      <c r="H57" s="62">
        <v>98.93</v>
      </c>
      <c r="I57" s="62">
        <v>98.04</v>
      </c>
      <c r="J57" s="62" t="s">
        <v>576</v>
      </c>
      <c r="K57" s="62">
        <v>2.6</v>
      </c>
      <c r="L57" s="62" t="s">
        <v>4444</v>
      </c>
      <c r="M57" s="62">
        <v>91.9</v>
      </c>
      <c r="N57" s="63" t="s">
        <v>544</v>
      </c>
      <c r="O57" s="62" t="s">
        <v>576</v>
      </c>
      <c r="P57" s="62" t="s">
        <v>587</v>
      </c>
      <c r="Q57" s="62" t="s">
        <v>4416</v>
      </c>
      <c r="R57" s="62">
        <v>6</v>
      </c>
      <c r="S57" s="62">
        <v>7</v>
      </c>
      <c r="T57" s="62" t="s">
        <v>4424</v>
      </c>
      <c r="U57" s="65" t="s">
        <v>1676</v>
      </c>
      <c r="V57" s="65" t="s">
        <v>266</v>
      </c>
    </row>
    <row r="58" spans="1:22" ht="15" customHeight="1" x14ac:dyDescent="0.25">
      <c r="A58" s="64" t="s">
        <v>4621</v>
      </c>
      <c r="B58" s="64" t="s">
        <v>4622</v>
      </c>
      <c r="C58" s="64" t="s">
        <v>4427</v>
      </c>
      <c r="D58" s="66" t="s">
        <v>1640</v>
      </c>
      <c r="E58" s="64">
        <v>175.62</v>
      </c>
      <c r="F58" s="64" t="s">
        <v>4623</v>
      </c>
      <c r="G58" s="64" t="s">
        <v>2115</v>
      </c>
      <c r="H58" s="64">
        <v>99.46</v>
      </c>
      <c r="I58" s="64">
        <v>99.43</v>
      </c>
      <c r="J58" s="64" t="s">
        <v>587</v>
      </c>
      <c r="K58" s="64">
        <v>3.9</v>
      </c>
      <c r="L58" s="64" t="s">
        <v>4439</v>
      </c>
      <c r="M58" s="64">
        <v>15.9</v>
      </c>
      <c r="N58" s="64" t="s">
        <v>587</v>
      </c>
      <c r="O58" s="64" t="s">
        <v>587</v>
      </c>
      <c r="P58" s="64" t="s">
        <v>587</v>
      </c>
      <c r="Q58" s="64" t="s">
        <v>4416</v>
      </c>
      <c r="R58" s="64">
        <v>6</v>
      </c>
      <c r="S58" s="64">
        <v>12</v>
      </c>
      <c r="T58" s="64" t="s">
        <v>4417</v>
      </c>
      <c r="U58" s="66" t="s">
        <v>1640</v>
      </c>
      <c r="V58" s="66" t="s">
        <v>321</v>
      </c>
    </row>
    <row r="59" spans="1:22" ht="15" customHeight="1" x14ac:dyDescent="0.25">
      <c r="A59" s="62" t="s">
        <v>4624</v>
      </c>
      <c r="B59" s="62" t="s">
        <v>4625</v>
      </c>
      <c r="C59" s="62" t="s">
        <v>4626</v>
      </c>
      <c r="D59" s="66" t="s">
        <v>1640</v>
      </c>
      <c r="E59" s="62">
        <v>287.8</v>
      </c>
      <c r="F59" s="62" t="s">
        <v>4627</v>
      </c>
      <c r="G59" s="62" t="s">
        <v>706</v>
      </c>
      <c r="H59" s="62">
        <v>98.64</v>
      </c>
      <c r="I59" s="62">
        <v>98.23</v>
      </c>
      <c r="J59" s="62" t="s">
        <v>587</v>
      </c>
      <c r="K59" s="62">
        <v>3.5</v>
      </c>
      <c r="L59" s="62" t="s">
        <v>4415</v>
      </c>
      <c r="M59" s="62">
        <v>57</v>
      </c>
      <c r="N59" s="62" t="s">
        <v>576</v>
      </c>
      <c r="O59" s="62" t="s">
        <v>587</v>
      </c>
      <c r="P59" s="62" t="s">
        <v>587</v>
      </c>
      <c r="Q59" s="62" t="s">
        <v>576</v>
      </c>
      <c r="R59" s="62">
        <v>9</v>
      </c>
      <c r="S59" s="62">
        <v>8</v>
      </c>
      <c r="T59" s="62" t="s">
        <v>4417</v>
      </c>
      <c r="U59" s="66" t="s">
        <v>1640</v>
      </c>
      <c r="V59" s="66" t="s">
        <v>321</v>
      </c>
    </row>
    <row r="60" spans="1:22" ht="15" customHeight="1" x14ac:dyDescent="0.25">
      <c r="A60" s="64" t="s">
        <v>4628</v>
      </c>
      <c r="B60" s="64" t="s">
        <v>4629</v>
      </c>
      <c r="C60" s="64" t="s">
        <v>4562</v>
      </c>
      <c r="D60" s="63" t="s">
        <v>3472</v>
      </c>
      <c r="E60" s="64">
        <v>382.23</v>
      </c>
      <c r="F60" s="64" t="s">
        <v>4630</v>
      </c>
      <c r="G60" s="64" t="s">
        <v>1828</v>
      </c>
      <c r="H60" s="64">
        <v>99.15</v>
      </c>
      <c r="I60" s="64">
        <v>97.93</v>
      </c>
      <c r="J60" s="64" t="s">
        <v>576</v>
      </c>
      <c r="K60" s="64">
        <v>2.8</v>
      </c>
      <c r="L60" s="64" t="s">
        <v>4439</v>
      </c>
      <c r="M60" s="64">
        <v>48</v>
      </c>
      <c r="N60" s="63" t="s">
        <v>544</v>
      </c>
      <c r="O60" s="64" t="s">
        <v>587</v>
      </c>
      <c r="P60" s="64" t="s">
        <v>587</v>
      </c>
      <c r="Q60" s="64" t="s">
        <v>4416</v>
      </c>
      <c r="R60" s="64">
        <v>4</v>
      </c>
      <c r="S60" s="64">
        <v>2</v>
      </c>
      <c r="T60" s="64" t="s">
        <v>4424</v>
      </c>
      <c r="U60" s="65" t="s">
        <v>1676</v>
      </c>
      <c r="V60" s="65" t="s">
        <v>266</v>
      </c>
    </row>
    <row r="61" spans="1:22" ht="15" customHeight="1" x14ac:dyDescent="0.25">
      <c r="A61" s="62" t="s">
        <v>4631</v>
      </c>
      <c r="B61" s="62" t="s">
        <v>4632</v>
      </c>
      <c r="C61" s="62" t="s">
        <v>4474</v>
      </c>
      <c r="D61" s="65" t="s">
        <v>1676</v>
      </c>
      <c r="E61" s="62">
        <v>242.73</v>
      </c>
      <c r="F61" s="62" t="s">
        <v>4633</v>
      </c>
      <c r="G61" s="62" t="s">
        <v>2375</v>
      </c>
      <c r="H61" s="62">
        <v>99.1</v>
      </c>
      <c r="I61" s="62">
        <v>97.91</v>
      </c>
      <c r="J61" s="62" t="s">
        <v>576</v>
      </c>
      <c r="K61" s="62">
        <v>2.2000000000000002</v>
      </c>
      <c r="L61" s="62" t="s">
        <v>4439</v>
      </c>
      <c r="M61" s="62">
        <v>50.3</v>
      </c>
      <c r="N61" s="63" t="s">
        <v>544</v>
      </c>
      <c r="O61" s="62" t="s">
        <v>587</v>
      </c>
      <c r="P61" s="62" t="s">
        <v>3015</v>
      </c>
      <c r="Q61" s="62" t="s">
        <v>4416</v>
      </c>
      <c r="R61" s="62">
        <v>9</v>
      </c>
      <c r="S61" s="62">
        <v>9</v>
      </c>
      <c r="T61" s="62" t="s">
        <v>4424</v>
      </c>
      <c r="U61" s="65" t="s">
        <v>1676</v>
      </c>
      <c r="V61" s="65" t="s">
        <v>266</v>
      </c>
    </row>
    <row r="62" spans="1:22" ht="15" customHeight="1" x14ac:dyDescent="0.25">
      <c r="A62" s="64" t="s">
        <v>4634</v>
      </c>
      <c r="B62" s="64" t="s">
        <v>4635</v>
      </c>
      <c r="C62" s="64" t="s">
        <v>4562</v>
      </c>
      <c r="D62" s="66" t="s">
        <v>1640</v>
      </c>
      <c r="E62" s="64">
        <v>38.56</v>
      </c>
      <c r="F62" s="64" t="s">
        <v>4636</v>
      </c>
      <c r="G62" s="64" t="s">
        <v>4637</v>
      </c>
      <c r="H62" s="64">
        <v>99.6</v>
      </c>
      <c r="I62" s="64">
        <v>98</v>
      </c>
      <c r="J62" s="64" t="s">
        <v>576</v>
      </c>
      <c r="K62" s="64">
        <v>4.4000000000000004</v>
      </c>
      <c r="L62" s="64" t="s">
        <v>4434</v>
      </c>
      <c r="M62" s="64">
        <v>41.7</v>
      </c>
      <c r="N62" s="64" t="s">
        <v>576</v>
      </c>
      <c r="O62" s="64" t="s">
        <v>587</v>
      </c>
      <c r="P62" s="64" t="s">
        <v>587</v>
      </c>
      <c r="Q62" s="64" t="s">
        <v>4416</v>
      </c>
      <c r="R62" s="64">
        <v>10</v>
      </c>
      <c r="S62" s="64">
        <v>10</v>
      </c>
      <c r="T62" s="64" t="s">
        <v>4424</v>
      </c>
      <c r="U62" s="63" t="s">
        <v>622</v>
      </c>
      <c r="V62" s="63" t="s">
        <v>495</v>
      </c>
    </row>
    <row r="63" spans="1:22" ht="25.5" customHeight="1" x14ac:dyDescent="0.25">
      <c r="A63" s="62" t="s">
        <v>4638</v>
      </c>
      <c r="B63" s="62" t="s">
        <v>4639</v>
      </c>
      <c r="C63" s="62" t="s">
        <v>4606</v>
      </c>
      <c r="D63" s="65" t="s">
        <v>1676</v>
      </c>
      <c r="E63" s="62">
        <v>366.8</v>
      </c>
      <c r="F63" s="62" t="s">
        <v>4640</v>
      </c>
      <c r="G63" s="62" t="s">
        <v>4641</v>
      </c>
      <c r="H63" s="62">
        <v>98.21</v>
      </c>
      <c r="I63" s="62">
        <v>97.45</v>
      </c>
      <c r="J63" s="62" t="s">
        <v>576</v>
      </c>
      <c r="K63" s="62">
        <v>4.0999999999999996</v>
      </c>
      <c r="L63" s="62" t="s">
        <v>4415</v>
      </c>
      <c r="M63" s="62">
        <v>3.8</v>
      </c>
      <c r="N63" s="62" t="s">
        <v>587</v>
      </c>
      <c r="O63" s="62" t="s">
        <v>587</v>
      </c>
      <c r="P63" s="62" t="s">
        <v>576</v>
      </c>
      <c r="Q63" s="62" t="s">
        <v>4416</v>
      </c>
      <c r="R63" s="62">
        <v>2</v>
      </c>
      <c r="S63" s="62">
        <v>12</v>
      </c>
      <c r="T63" s="62" t="s">
        <v>4424</v>
      </c>
      <c r="U63" s="63" t="s">
        <v>622</v>
      </c>
      <c r="V63" s="63" t="s">
        <v>495</v>
      </c>
    </row>
    <row r="64" spans="1:22" ht="15" customHeight="1" x14ac:dyDescent="0.25">
      <c r="A64" s="64" t="s">
        <v>4642</v>
      </c>
      <c r="B64" s="64" t="s">
        <v>4643</v>
      </c>
      <c r="C64" s="64" t="s">
        <v>3586</v>
      </c>
      <c r="D64" s="66" t="s">
        <v>1640</v>
      </c>
      <c r="E64" s="64">
        <v>482.46</v>
      </c>
      <c r="F64" s="64" t="s">
        <v>4644</v>
      </c>
      <c r="G64" s="64" t="s">
        <v>4645</v>
      </c>
      <c r="H64" s="64">
        <v>98.33</v>
      </c>
      <c r="I64" s="64">
        <v>98.05</v>
      </c>
      <c r="J64" s="64" t="s">
        <v>587</v>
      </c>
      <c r="K64" s="64">
        <v>2.8</v>
      </c>
      <c r="L64" s="64" t="s">
        <v>4444</v>
      </c>
      <c r="M64" s="64">
        <v>40.6</v>
      </c>
      <c r="N64" s="63" t="s">
        <v>544</v>
      </c>
      <c r="O64" s="64" t="s">
        <v>4423</v>
      </c>
      <c r="P64" s="64" t="s">
        <v>576</v>
      </c>
      <c r="Q64" s="64" t="s">
        <v>576</v>
      </c>
      <c r="R64" s="64">
        <v>8</v>
      </c>
      <c r="S64" s="64">
        <v>5</v>
      </c>
      <c r="T64" s="64" t="s">
        <v>2739</v>
      </c>
      <c r="U64" s="65" t="s">
        <v>1676</v>
      </c>
      <c r="V64" s="65" t="s">
        <v>266</v>
      </c>
    </row>
    <row r="65" spans="1:22" ht="15" customHeight="1" x14ac:dyDescent="0.25">
      <c r="A65" s="62" t="s">
        <v>4646</v>
      </c>
      <c r="B65" s="62" t="s">
        <v>4647</v>
      </c>
      <c r="C65" s="62" t="s">
        <v>4447</v>
      </c>
      <c r="D65" s="66" t="s">
        <v>1640</v>
      </c>
      <c r="E65" s="62">
        <v>179.93</v>
      </c>
      <c r="F65" s="62" t="s">
        <v>4648</v>
      </c>
      <c r="G65" s="62" t="s">
        <v>1039</v>
      </c>
      <c r="H65" s="62">
        <v>98</v>
      </c>
      <c r="I65" s="62">
        <v>96.25</v>
      </c>
      <c r="J65" s="62" t="s">
        <v>576</v>
      </c>
      <c r="K65" s="62">
        <v>3.3</v>
      </c>
      <c r="L65" s="62" t="s">
        <v>4457</v>
      </c>
      <c r="M65" s="62">
        <v>87.6</v>
      </c>
      <c r="N65" s="62" t="s">
        <v>576</v>
      </c>
      <c r="O65" s="62" t="s">
        <v>587</v>
      </c>
      <c r="P65" s="62" t="s">
        <v>587</v>
      </c>
      <c r="Q65" s="62" t="s">
        <v>587</v>
      </c>
      <c r="R65" s="62">
        <v>10</v>
      </c>
      <c r="S65" s="62">
        <v>7</v>
      </c>
      <c r="T65" s="62" t="s">
        <v>4424</v>
      </c>
      <c r="U65" s="66" t="s">
        <v>1640</v>
      </c>
      <c r="V65" s="66" t="s">
        <v>321</v>
      </c>
    </row>
    <row r="66" spans="1:22" ht="25.5" customHeight="1" x14ac:dyDescent="0.25">
      <c r="A66" s="64" t="s">
        <v>4649</v>
      </c>
      <c r="B66" s="64" t="s">
        <v>4650</v>
      </c>
      <c r="C66" s="64" t="s">
        <v>4465</v>
      </c>
      <c r="D66" s="65" t="s">
        <v>1676</v>
      </c>
      <c r="E66" s="64">
        <v>131.69</v>
      </c>
      <c r="F66" s="64" t="s">
        <v>4651</v>
      </c>
      <c r="G66" s="64" t="s">
        <v>4652</v>
      </c>
      <c r="H66" s="64">
        <v>98.69</v>
      </c>
      <c r="I66" s="64">
        <v>96.72</v>
      </c>
      <c r="J66" s="64" t="s">
        <v>576</v>
      </c>
      <c r="K66" s="64">
        <v>1.9</v>
      </c>
      <c r="L66" s="64" t="s">
        <v>4457</v>
      </c>
      <c r="M66" s="64">
        <v>92.6</v>
      </c>
      <c r="N66" s="64" t="s">
        <v>587</v>
      </c>
      <c r="O66" s="64" t="s">
        <v>587</v>
      </c>
      <c r="P66" s="64" t="s">
        <v>576</v>
      </c>
      <c r="Q66" s="64" t="s">
        <v>576</v>
      </c>
      <c r="R66" s="64">
        <v>0</v>
      </c>
      <c r="S66" s="64">
        <v>6</v>
      </c>
      <c r="T66" s="64" t="s">
        <v>4424</v>
      </c>
      <c r="U66" s="65" t="s">
        <v>1676</v>
      </c>
      <c r="V66" s="65" t="s">
        <v>266</v>
      </c>
    </row>
    <row r="67" spans="1:22" ht="15" customHeight="1" x14ac:dyDescent="0.25">
      <c r="A67" s="62" t="s">
        <v>4653</v>
      </c>
      <c r="B67" s="62" t="s">
        <v>4654</v>
      </c>
      <c r="C67" s="62" t="s">
        <v>3586</v>
      </c>
      <c r="D67" s="66" t="s">
        <v>1640</v>
      </c>
      <c r="E67" s="62">
        <v>360.38</v>
      </c>
      <c r="F67" s="62" t="s">
        <v>4655</v>
      </c>
      <c r="G67" s="62" t="s">
        <v>4656</v>
      </c>
      <c r="H67" s="62">
        <v>98.2</v>
      </c>
      <c r="I67" s="62">
        <v>96.42</v>
      </c>
      <c r="J67" s="62" t="s">
        <v>576</v>
      </c>
      <c r="K67" s="62">
        <v>4.0999999999999996</v>
      </c>
      <c r="L67" s="62" t="s">
        <v>4471</v>
      </c>
      <c r="M67" s="62">
        <v>64.900000000000006</v>
      </c>
      <c r="N67" s="62" t="s">
        <v>576</v>
      </c>
      <c r="O67" s="62" t="s">
        <v>587</v>
      </c>
      <c r="P67" s="62" t="s">
        <v>587</v>
      </c>
      <c r="Q67" s="62" t="s">
        <v>587</v>
      </c>
      <c r="R67" s="62">
        <v>1</v>
      </c>
      <c r="S67" s="62">
        <v>8</v>
      </c>
      <c r="T67" s="62" t="s">
        <v>4424</v>
      </c>
      <c r="U67" s="63" t="s">
        <v>622</v>
      </c>
      <c r="V67" s="63" t="s">
        <v>495</v>
      </c>
    </row>
    <row r="68" spans="1:22" ht="25.5" customHeight="1" x14ac:dyDescent="0.25">
      <c r="A68" s="64" t="s">
        <v>4657</v>
      </c>
      <c r="B68" s="64" t="s">
        <v>4658</v>
      </c>
      <c r="C68" s="64" t="s">
        <v>4465</v>
      </c>
      <c r="D68" s="63" t="s">
        <v>622</v>
      </c>
      <c r="E68" s="64">
        <v>412.91</v>
      </c>
      <c r="F68" s="64" t="s">
        <v>4659</v>
      </c>
      <c r="G68" s="64" t="s">
        <v>4660</v>
      </c>
      <c r="H68" s="64">
        <v>99.68</v>
      </c>
      <c r="I68" s="64">
        <v>97.7</v>
      </c>
      <c r="J68" s="64" t="s">
        <v>576</v>
      </c>
      <c r="K68" s="64">
        <v>2.7</v>
      </c>
      <c r="L68" s="64" t="s">
        <v>4415</v>
      </c>
      <c r="M68" s="64">
        <v>6.1</v>
      </c>
      <c r="N68" s="64" t="s">
        <v>587</v>
      </c>
      <c r="O68" s="64" t="s">
        <v>4423</v>
      </c>
      <c r="P68" s="64" t="s">
        <v>576</v>
      </c>
      <c r="Q68" s="64" t="s">
        <v>4416</v>
      </c>
      <c r="R68" s="64">
        <v>1</v>
      </c>
      <c r="S68" s="64">
        <v>15</v>
      </c>
      <c r="T68" s="64" t="s">
        <v>4424</v>
      </c>
      <c r="U68" s="65" t="s">
        <v>1676</v>
      </c>
      <c r="V68" s="65" t="s">
        <v>266</v>
      </c>
    </row>
    <row r="69" spans="1:22" ht="15" customHeight="1" x14ac:dyDescent="0.25">
      <c r="A69" s="62" t="s">
        <v>4661</v>
      </c>
      <c r="B69" s="62" t="s">
        <v>4662</v>
      </c>
      <c r="C69" s="62" t="s">
        <v>4626</v>
      </c>
      <c r="D69" s="65" t="s">
        <v>1676</v>
      </c>
      <c r="E69" s="62">
        <v>439.22</v>
      </c>
      <c r="F69" s="62" t="s">
        <v>4663</v>
      </c>
      <c r="G69" s="62" t="s">
        <v>1374</v>
      </c>
      <c r="H69" s="62">
        <v>98.22</v>
      </c>
      <c r="I69" s="62">
        <v>96.72</v>
      </c>
      <c r="J69" s="62" t="s">
        <v>576</v>
      </c>
      <c r="K69" s="62">
        <v>2.7</v>
      </c>
      <c r="L69" s="62" t="s">
        <v>4439</v>
      </c>
      <c r="M69" s="62">
        <v>13.2</v>
      </c>
      <c r="N69" s="62" t="s">
        <v>576</v>
      </c>
      <c r="O69" s="62" t="s">
        <v>587</v>
      </c>
      <c r="P69" s="62" t="s">
        <v>587</v>
      </c>
      <c r="Q69" s="62" t="s">
        <v>587</v>
      </c>
      <c r="R69" s="62">
        <v>4</v>
      </c>
      <c r="S69" s="62">
        <v>4</v>
      </c>
      <c r="T69" s="62" t="s">
        <v>4424</v>
      </c>
      <c r="U69" s="65" t="s">
        <v>1676</v>
      </c>
      <c r="V69" s="65" t="s">
        <v>266</v>
      </c>
    </row>
    <row r="70" spans="1:22" ht="25.5" customHeight="1" x14ac:dyDescent="0.25">
      <c r="A70" s="64" t="s">
        <v>4664</v>
      </c>
      <c r="B70" s="64" t="s">
        <v>4665</v>
      </c>
      <c r="C70" s="64" t="s">
        <v>4465</v>
      </c>
      <c r="D70" s="63" t="s">
        <v>3472</v>
      </c>
      <c r="E70" s="64">
        <v>197.3</v>
      </c>
      <c r="F70" s="64" t="s">
        <v>4666</v>
      </c>
      <c r="G70" s="64" t="s">
        <v>4667</v>
      </c>
      <c r="H70" s="64">
        <v>98.68</v>
      </c>
      <c r="I70" s="64">
        <v>97.84</v>
      </c>
      <c r="J70" s="64" t="s">
        <v>576</v>
      </c>
      <c r="K70" s="64">
        <v>4.5999999999999996</v>
      </c>
      <c r="L70" s="64" t="s">
        <v>4444</v>
      </c>
      <c r="M70" s="64">
        <v>82</v>
      </c>
      <c r="N70" s="64" t="s">
        <v>587</v>
      </c>
      <c r="O70" s="64" t="s">
        <v>576</v>
      </c>
      <c r="P70" s="64" t="s">
        <v>587</v>
      </c>
      <c r="Q70" s="64" t="s">
        <v>576</v>
      </c>
      <c r="R70" s="64">
        <v>6</v>
      </c>
      <c r="S70" s="64">
        <v>4</v>
      </c>
      <c r="T70" s="64" t="s">
        <v>4424</v>
      </c>
      <c r="U70" s="63" t="s">
        <v>622</v>
      </c>
      <c r="V70" s="63" t="s">
        <v>495</v>
      </c>
    </row>
    <row r="71" spans="1:22" ht="15" customHeight="1" x14ac:dyDescent="0.25">
      <c r="A71" s="62" t="s">
        <v>4668</v>
      </c>
      <c r="B71" s="62" t="s">
        <v>4669</v>
      </c>
      <c r="C71" s="62" t="s">
        <v>4626</v>
      </c>
      <c r="D71" s="63" t="s">
        <v>3472</v>
      </c>
      <c r="E71" s="62">
        <v>162.47999999999999</v>
      </c>
      <c r="F71" s="62" t="s">
        <v>4670</v>
      </c>
      <c r="G71" s="62" t="s">
        <v>4671</v>
      </c>
      <c r="H71" s="62">
        <v>99.19</v>
      </c>
      <c r="I71" s="62">
        <v>97.45</v>
      </c>
      <c r="J71" s="62" t="s">
        <v>576</v>
      </c>
      <c r="K71" s="62">
        <v>1.5</v>
      </c>
      <c r="L71" s="62" t="s">
        <v>4444</v>
      </c>
      <c r="M71" s="62">
        <v>77</v>
      </c>
      <c r="N71" s="62" t="s">
        <v>576</v>
      </c>
      <c r="O71" s="62" t="s">
        <v>576</v>
      </c>
      <c r="P71" s="62" t="s">
        <v>576</v>
      </c>
      <c r="Q71" s="62" t="s">
        <v>4416</v>
      </c>
      <c r="R71" s="62">
        <v>0</v>
      </c>
      <c r="S71" s="62">
        <v>10</v>
      </c>
      <c r="T71" s="62" t="s">
        <v>4424</v>
      </c>
      <c r="U71" s="65" t="s">
        <v>1676</v>
      </c>
      <c r="V71" s="65" t="s">
        <v>266</v>
      </c>
    </row>
    <row r="72" spans="1:22" ht="25.5" customHeight="1" x14ac:dyDescent="0.25">
      <c r="A72" s="64" t="s">
        <v>4672</v>
      </c>
      <c r="B72" s="64" t="s">
        <v>4673</v>
      </c>
      <c r="C72" s="64" t="s">
        <v>4606</v>
      </c>
      <c r="D72" s="63" t="s">
        <v>622</v>
      </c>
      <c r="E72" s="64">
        <v>466</v>
      </c>
      <c r="F72" s="64" t="s">
        <v>4674</v>
      </c>
      <c r="G72" s="64" t="s">
        <v>4675</v>
      </c>
      <c r="H72" s="64">
        <v>98.59</v>
      </c>
      <c r="I72" s="64">
        <v>97</v>
      </c>
      <c r="J72" s="64" t="s">
        <v>576</v>
      </c>
      <c r="K72" s="64">
        <v>2</v>
      </c>
      <c r="L72" s="64" t="s">
        <v>4471</v>
      </c>
      <c r="M72" s="64">
        <v>48.6</v>
      </c>
      <c r="N72" s="64" t="s">
        <v>587</v>
      </c>
      <c r="O72" s="64" t="s">
        <v>587</v>
      </c>
      <c r="P72" s="64" t="s">
        <v>3015</v>
      </c>
      <c r="Q72" s="64" t="s">
        <v>587</v>
      </c>
      <c r="R72" s="64">
        <v>10</v>
      </c>
      <c r="S72" s="64">
        <v>10</v>
      </c>
      <c r="T72" s="64" t="s">
        <v>4424</v>
      </c>
      <c r="U72" s="65" t="s">
        <v>1676</v>
      </c>
      <c r="V72" s="65" t="s">
        <v>266</v>
      </c>
    </row>
    <row r="73" spans="1:22" ht="15" customHeight="1" x14ac:dyDescent="0.25">
      <c r="A73" s="62" t="s">
        <v>4676</v>
      </c>
      <c r="B73" s="62" t="s">
        <v>4677</v>
      </c>
      <c r="C73" s="62" t="s">
        <v>4420</v>
      </c>
      <c r="D73" s="63" t="s">
        <v>622</v>
      </c>
      <c r="E73" s="62">
        <v>300.79000000000002</v>
      </c>
      <c r="F73" s="62" t="s">
        <v>4678</v>
      </c>
      <c r="G73" s="62" t="s">
        <v>1878</v>
      </c>
      <c r="H73" s="62">
        <v>98.19</v>
      </c>
      <c r="I73" s="62">
        <v>96.54</v>
      </c>
      <c r="J73" s="62" t="s">
        <v>576</v>
      </c>
      <c r="K73" s="62">
        <v>1.9</v>
      </c>
      <c r="L73" s="62" t="s">
        <v>4457</v>
      </c>
      <c r="M73" s="62">
        <v>31.9</v>
      </c>
      <c r="N73" s="62" t="s">
        <v>587</v>
      </c>
      <c r="O73" s="62" t="s">
        <v>576</v>
      </c>
      <c r="P73" s="62" t="s">
        <v>576</v>
      </c>
      <c r="Q73" s="62" t="s">
        <v>587</v>
      </c>
      <c r="R73" s="62">
        <v>5</v>
      </c>
      <c r="S73" s="62">
        <v>11</v>
      </c>
      <c r="T73" s="62" t="s">
        <v>4424</v>
      </c>
      <c r="U73" s="65" t="s">
        <v>1676</v>
      </c>
      <c r="V73" s="65" t="s">
        <v>266</v>
      </c>
    </row>
    <row r="74" spans="1:22" ht="25.5" customHeight="1" x14ac:dyDescent="0.25">
      <c r="A74" s="64" t="s">
        <v>4679</v>
      </c>
      <c r="B74" s="64" t="s">
        <v>4680</v>
      </c>
      <c r="C74" s="64" t="s">
        <v>4606</v>
      </c>
      <c r="D74" s="63" t="s">
        <v>3472</v>
      </c>
      <c r="E74" s="64">
        <v>83.95</v>
      </c>
      <c r="F74" s="64" t="s">
        <v>4681</v>
      </c>
      <c r="G74" s="64" t="s">
        <v>2933</v>
      </c>
      <c r="H74" s="64">
        <v>98.01</v>
      </c>
      <c r="I74" s="64">
        <v>97.51</v>
      </c>
      <c r="J74" s="64" t="s">
        <v>587</v>
      </c>
      <c r="K74" s="64">
        <v>1.5</v>
      </c>
      <c r="L74" s="64" t="s">
        <v>4457</v>
      </c>
      <c r="M74" s="64">
        <v>94.7</v>
      </c>
      <c r="N74" s="64" t="s">
        <v>576</v>
      </c>
      <c r="O74" s="64" t="s">
        <v>4423</v>
      </c>
      <c r="P74" s="64" t="s">
        <v>587</v>
      </c>
      <c r="Q74" s="64" t="s">
        <v>576</v>
      </c>
      <c r="R74" s="64">
        <v>10</v>
      </c>
      <c r="S74" s="64">
        <v>4</v>
      </c>
      <c r="T74" s="64" t="s">
        <v>2739</v>
      </c>
      <c r="U74" s="65" t="s">
        <v>1676</v>
      </c>
      <c r="V74" s="65" t="s">
        <v>266</v>
      </c>
    </row>
    <row r="75" spans="1:22" ht="15" customHeight="1" x14ac:dyDescent="0.25">
      <c r="A75" s="62" t="s">
        <v>4682</v>
      </c>
      <c r="B75" s="62" t="s">
        <v>4683</v>
      </c>
      <c r="C75" s="62" t="s">
        <v>4474</v>
      </c>
      <c r="D75" s="65" t="s">
        <v>1676</v>
      </c>
      <c r="E75" s="62">
        <v>79.37</v>
      </c>
      <c r="F75" s="62" t="s">
        <v>4684</v>
      </c>
      <c r="G75" s="62" t="s">
        <v>4685</v>
      </c>
      <c r="H75" s="62">
        <v>99.28</v>
      </c>
      <c r="I75" s="62">
        <v>97.82</v>
      </c>
      <c r="J75" s="62" t="s">
        <v>576</v>
      </c>
      <c r="K75" s="62">
        <v>3.5</v>
      </c>
      <c r="L75" s="62" t="s">
        <v>4415</v>
      </c>
      <c r="M75" s="62">
        <v>32.799999999999997</v>
      </c>
      <c r="N75" s="63" t="s">
        <v>544</v>
      </c>
      <c r="O75" s="62" t="s">
        <v>587</v>
      </c>
      <c r="P75" s="62" t="s">
        <v>3015</v>
      </c>
      <c r="Q75" s="62" t="s">
        <v>587</v>
      </c>
      <c r="R75" s="62">
        <v>2</v>
      </c>
      <c r="S75" s="62">
        <v>5</v>
      </c>
      <c r="T75" s="62" t="s">
        <v>4424</v>
      </c>
      <c r="U75" s="66" t="s">
        <v>1640</v>
      </c>
      <c r="V75" s="66" t="s">
        <v>321</v>
      </c>
    </row>
    <row r="76" spans="1:22" ht="25.5" customHeight="1" x14ac:dyDescent="0.25">
      <c r="A76" s="64" t="s">
        <v>4686</v>
      </c>
      <c r="B76" s="64" t="s">
        <v>4687</v>
      </c>
      <c r="C76" s="64" t="s">
        <v>4465</v>
      </c>
      <c r="D76" s="66" t="s">
        <v>1640</v>
      </c>
      <c r="E76" s="64">
        <v>85.99</v>
      </c>
      <c r="F76" s="64" t="s">
        <v>4688</v>
      </c>
      <c r="G76" s="64" t="s">
        <v>2644</v>
      </c>
      <c r="H76" s="64">
        <v>99.42</v>
      </c>
      <c r="I76" s="64">
        <v>98.79</v>
      </c>
      <c r="J76" s="64" t="s">
        <v>576</v>
      </c>
      <c r="K76" s="64">
        <v>2.6</v>
      </c>
      <c r="L76" s="64" t="s">
        <v>4415</v>
      </c>
      <c r="M76" s="64">
        <v>33.4</v>
      </c>
      <c r="N76" s="64" t="s">
        <v>587</v>
      </c>
      <c r="O76" s="64" t="s">
        <v>4423</v>
      </c>
      <c r="P76" s="64" t="s">
        <v>576</v>
      </c>
      <c r="Q76" s="64" t="s">
        <v>587</v>
      </c>
      <c r="R76" s="64">
        <v>1</v>
      </c>
      <c r="S76" s="64">
        <v>1</v>
      </c>
      <c r="T76" s="64" t="s">
        <v>4424</v>
      </c>
      <c r="U76" s="65" t="s">
        <v>1676</v>
      </c>
      <c r="V76" s="65" t="s">
        <v>266</v>
      </c>
    </row>
    <row r="77" spans="1:22" ht="15" customHeight="1" x14ac:dyDescent="0.25">
      <c r="A77" s="62" t="s">
        <v>4689</v>
      </c>
      <c r="B77" s="62" t="s">
        <v>4690</v>
      </c>
      <c r="C77" s="62" t="s">
        <v>4420</v>
      </c>
      <c r="D77" s="63" t="s">
        <v>3472</v>
      </c>
      <c r="E77" s="62">
        <v>265.02</v>
      </c>
      <c r="F77" s="62" t="s">
        <v>4691</v>
      </c>
      <c r="G77" s="62" t="s">
        <v>2229</v>
      </c>
      <c r="H77" s="62">
        <v>98.72</v>
      </c>
      <c r="I77" s="62">
        <v>97.52</v>
      </c>
      <c r="J77" s="62" t="s">
        <v>576</v>
      </c>
      <c r="K77" s="62">
        <v>2</v>
      </c>
      <c r="L77" s="62" t="s">
        <v>4444</v>
      </c>
      <c r="M77" s="62">
        <v>31.4</v>
      </c>
      <c r="N77" s="62" t="s">
        <v>587</v>
      </c>
      <c r="O77" s="62" t="s">
        <v>576</v>
      </c>
      <c r="P77" s="62" t="s">
        <v>587</v>
      </c>
      <c r="Q77" s="62" t="s">
        <v>4416</v>
      </c>
      <c r="R77" s="62">
        <v>3</v>
      </c>
      <c r="S77" s="62">
        <v>11</v>
      </c>
      <c r="T77" s="62" t="s">
        <v>4424</v>
      </c>
      <c r="U77" s="65" t="s">
        <v>1676</v>
      </c>
      <c r="V77" s="65" t="s">
        <v>266</v>
      </c>
    </row>
    <row r="78" spans="1:22" ht="15" customHeight="1" x14ac:dyDescent="0.25">
      <c r="A78" s="64" t="s">
        <v>4692</v>
      </c>
      <c r="B78" s="64" t="s">
        <v>4693</v>
      </c>
      <c r="C78" s="64" t="s">
        <v>4626</v>
      </c>
      <c r="D78" s="66" t="s">
        <v>1640</v>
      </c>
      <c r="E78" s="64">
        <v>219.74</v>
      </c>
      <c r="F78" s="64" t="s">
        <v>4694</v>
      </c>
      <c r="G78" s="64" t="s">
        <v>4695</v>
      </c>
      <c r="H78" s="64">
        <v>98.22</v>
      </c>
      <c r="I78" s="64">
        <v>96.64</v>
      </c>
      <c r="J78" s="64" t="s">
        <v>576</v>
      </c>
      <c r="K78" s="64">
        <v>2.8</v>
      </c>
      <c r="L78" s="64" t="s">
        <v>4471</v>
      </c>
      <c r="M78" s="64">
        <v>58.5</v>
      </c>
      <c r="N78" s="63" t="s">
        <v>544</v>
      </c>
      <c r="O78" s="64" t="s">
        <v>4423</v>
      </c>
      <c r="P78" s="64" t="s">
        <v>587</v>
      </c>
      <c r="Q78" s="64" t="s">
        <v>576</v>
      </c>
      <c r="R78" s="64">
        <v>4</v>
      </c>
      <c r="S78" s="64">
        <v>9</v>
      </c>
      <c r="T78" s="64" t="s">
        <v>4424</v>
      </c>
      <c r="U78" s="65" t="s">
        <v>1676</v>
      </c>
      <c r="V78" s="65" t="s">
        <v>266</v>
      </c>
    </row>
    <row r="79" spans="1:22" ht="25.5" customHeight="1" x14ac:dyDescent="0.25">
      <c r="A79" s="62" t="s">
        <v>4696</v>
      </c>
      <c r="B79" s="62" t="s">
        <v>4697</v>
      </c>
      <c r="C79" s="62" t="s">
        <v>4465</v>
      </c>
      <c r="D79" s="63" t="s">
        <v>622</v>
      </c>
      <c r="E79" s="62">
        <v>19.29</v>
      </c>
      <c r="F79" s="62" t="s">
        <v>4698</v>
      </c>
      <c r="G79" s="62" t="s">
        <v>4699</v>
      </c>
      <c r="H79" s="62">
        <v>99.02</v>
      </c>
      <c r="I79" s="62">
        <v>98.96</v>
      </c>
      <c r="J79" s="62" t="s">
        <v>587</v>
      </c>
      <c r="K79" s="62">
        <v>1.8</v>
      </c>
      <c r="L79" s="62" t="s">
        <v>4415</v>
      </c>
      <c r="M79" s="62">
        <v>22.6</v>
      </c>
      <c r="N79" s="62" t="s">
        <v>576</v>
      </c>
      <c r="O79" s="62" t="s">
        <v>576</v>
      </c>
      <c r="P79" s="62" t="s">
        <v>3015</v>
      </c>
      <c r="Q79" s="62" t="s">
        <v>576</v>
      </c>
      <c r="R79" s="62">
        <v>3</v>
      </c>
      <c r="S79" s="62">
        <v>5</v>
      </c>
      <c r="T79" s="62" t="s">
        <v>2739</v>
      </c>
      <c r="U79" s="65" t="s">
        <v>1676</v>
      </c>
      <c r="V79" s="65" t="s">
        <v>266</v>
      </c>
    </row>
    <row r="80" spans="1:22" ht="15" customHeight="1" x14ac:dyDescent="0.25">
      <c r="A80" s="64" t="s">
        <v>4700</v>
      </c>
      <c r="B80" s="64" t="s">
        <v>4701</v>
      </c>
      <c r="C80" s="64" t="s">
        <v>4562</v>
      </c>
      <c r="D80" s="63" t="s">
        <v>3472</v>
      </c>
      <c r="E80" s="64">
        <v>256.98</v>
      </c>
      <c r="F80" s="64" t="s">
        <v>4702</v>
      </c>
      <c r="G80" s="64" t="s">
        <v>4703</v>
      </c>
      <c r="H80" s="64">
        <v>99.77</v>
      </c>
      <c r="I80" s="64">
        <v>98.15</v>
      </c>
      <c r="J80" s="64" t="s">
        <v>576</v>
      </c>
      <c r="K80" s="64">
        <v>3.2</v>
      </c>
      <c r="L80" s="64" t="s">
        <v>4471</v>
      </c>
      <c r="M80" s="64">
        <v>79.599999999999994</v>
      </c>
      <c r="N80" s="64" t="s">
        <v>587</v>
      </c>
      <c r="O80" s="64" t="s">
        <v>4423</v>
      </c>
      <c r="P80" s="64" t="s">
        <v>587</v>
      </c>
      <c r="Q80" s="64" t="s">
        <v>576</v>
      </c>
      <c r="R80" s="64">
        <v>0</v>
      </c>
      <c r="S80" s="64">
        <v>9</v>
      </c>
      <c r="T80" s="64" t="s">
        <v>4424</v>
      </c>
      <c r="U80" s="66" t="s">
        <v>1640</v>
      </c>
      <c r="V80" s="66" t="s">
        <v>321</v>
      </c>
    </row>
    <row r="81" spans="1:22" ht="15" customHeight="1" x14ac:dyDescent="0.25">
      <c r="A81" s="62" t="s">
        <v>4704</v>
      </c>
      <c r="B81" s="62" t="s">
        <v>4705</v>
      </c>
      <c r="C81" s="62" t="s">
        <v>4427</v>
      </c>
      <c r="D81" s="65" t="s">
        <v>1676</v>
      </c>
      <c r="E81" s="62">
        <v>92.79</v>
      </c>
      <c r="F81" s="62" t="s">
        <v>4706</v>
      </c>
      <c r="G81" s="62" t="s">
        <v>2467</v>
      </c>
      <c r="H81" s="62">
        <v>98.62</v>
      </c>
      <c r="I81" s="62">
        <v>98.38</v>
      </c>
      <c r="J81" s="62" t="s">
        <v>587</v>
      </c>
      <c r="K81" s="62">
        <v>3.8</v>
      </c>
      <c r="L81" s="62" t="s">
        <v>4444</v>
      </c>
      <c r="M81" s="62">
        <v>33.299999999999997</v>
      </c>
      <c r="N81" s="63" t="s">
        <v>544</v>
      </c>
      <c r="O81" s="62" t="s">
        <v>576</v>
      </c>
      <c r="P81" s="62" t="s">
        <v>587</v>
      </c>
      <c r="Q81" s="62" t="s">
        <v>4416</v>
      </c>
      <c r="R81" s="62">
        <v>3</v>
      </c>
      <c r="S81" s="62">
        <v>15</v>
      </c>
      <c r="T81" s="62" t="s">
        <v>4417</v>
      </c>
      <c r="U81" s="66" t="s">
        <v>1640</v>
      </c>
      <c r="V81" s="66" t="s">
        <v>321</v>
      </c>
    </row>
    <row r="82" spans="1:22" ht="15" customHeight="1" x14ac:dyDescent="0.25">
      <c r="A82" s="64" t="s">
        <v>4707</v>
      </c>
      <c r="B82" s="64" t="s">
        <v>4708</v>
      </c>
      <c r="C82" s="64" t="s">
        <v>4427</v>
      </c>
      <c r="D82" s="63" t="s">
        <v>3472</v>
      </c>
      <c r="E82" s="64">
        <v>51.66</v>
      </c>
      <c r="F82" s="64" t="s">
        <v>4709</v>
      </c>
      <c r="G82" s="64" t="s">
        <v>1042</v>
      </c>
      <c r="H82" s="64">
        <v>98.71</v>
      </c>
      <c r="I82" s="64">
        <v>97.34</v>
      </c>
      <c r="J82" s="64" t="s">
        <v>576</v>
      </c>
      <c r="K82" s="64">
        <v>1.8</v>
      </c>
      <c r="L82" s="64" t="s">
        <v>4471</v>
      </c>
      <c r="M82" s="64">
        <v>87.1</v>
      </c>
      <c r="N82" s="64" t="s">
        <v>587</v>
      </c>
      <c r="O82" s="64" t="s">
        <v>576</v>
      </c>
      <c r="P82" s="64" t="s">
        <v>3015</v>
      </c>
      <c r="Q82" s="64" t="s">
        <v>587</v>
      </c>
      <c r="R82" s="64">
        <v>7</v>
      </c>
      <c r="S82" s="64">
        <v>12</v>
      </c>
      <c r="T82" s="64" t="s">
        <v>4424</v>
      </c>
      <c r="U82" s="65" t="s">
        <v>1676</v>
      </c>
      <c r="V82" s="65" t="s">
        <v>266</v>
      </c>
    </row>
    <row r="83" spans="1:22" ht="15" customHeight="1" x14ac:dyDescent="0.25">
      <c r="A83" s="62" t="s">
        <v>4710</v>
      </c>
      <c r="B83" s="62" t="s">
        <v>4711</v>
      </c>
      <c r="C83" s="62" t="s">
        <v>4626</v>
      </c>
      <c r="D83" s="65" t="s">
        <v>1676</v>
      </c>
      <c r="E83" s="62">
        <v>294.83999999999997</v>
      </c>
      <c r="F83" s="62" t="s">
        <v>4712</v>
      </c>
      <c r="G83" s="62" t="s">
        <v>4713</v>
      </c>
      <c r="H83" s="62">
        <v>98.45</v>
      </c>
      <c r="I83" s="62">
        <v>96.82</v>
      </c>
      <c r="J83" s="62" t="s">
        <v>576</v>
      </c>
      <c r="K83" s="62">
        <v>1.5</v>
      </c>
      <c r="L83" s="62" t="s">
        <v>4415</v>
      </c>
      <c r="M83" s="62">
        <v>58</v>
      </c>
      <c r="N83" s="62" t="s">
        <v>587</v>
      </c>
      <c r="O83" s="62" t="s">
        <v>4423</v>
      </c>
      <c r="P83" s="62" t="s">
        <v>587</v>
      </c>
      <c r="Q83" s="62" t="s">
        <v>587</v>
      </c>
      <c r="R83" s="62">
        <v>5</v>
      </c>
      <c r="S83" s="62">
        <v>1</v>
      </c>
      <c r="T83" s="62" t="s">
        <v>4424</v>
      </c>
      <c r="U83" s="65" t="s">
        <v>1676</v>
      </c>
      <c r="V83" s="65" t="s">
        <v>266</v>
      </c>
    </row>
    <row r="84" spans="1:22" ht="25.5" customHeight="1" x14ac:dyDescent="0.25">
      <c r="A84" s="64" t="s">
        <v>4714</v>
      </c>
      <c r="B84" s="64" t="s">
        <v>4715</v>
      </c>
      <c r="C84" s="64" t="s">
        <v>4465</v>
      </c>
      <c r="D84" s="63" t="s">
        <v>3472</v>
      </c>
      <c r="E84" s="64">
        <v>345.06</v>
      </c>
      <c r="F84" s="64" t="s">
        <v>4716</v>
      </c>
      <c r="G84" s="64" t="s">
        <v>1776</v>
      </c>
      <c r="H84" s="64">
        <v>99.06</v>
      </c>
      <c r="I84" s="64">
        <v>97.95</v>
      </c>
      <c r="J84" s="64" t="s">
        <v>576</v>
      </c>
      <c r="K84" s="64">
        <v>2.9</v>
      </c>
      <c r="L84" s="64" t="s">
        <v>4415</v>
      </c>
      <c r="M84" s="64">
        <v>2.7</v>
      </c>
      <c r="N84" s="64" t="s">
        <v>576</v>
      </c>
      <c r="O84" s="64" t="s">
        <v>4423</v>
      </c>
      <c r="P84" s="64" t="s">
        <v>3015</v>
      </c>
      <c r="Q84" s="64" t="s">
        <v>587</v>
      </c>
      <c r="R84" s="64">
        <v>2</v>
      </c>
      <c r="S84" s="64">
        <v>3</v>
      </c>
      <c r="T84" s="64" t="s">
        <v>4424</v>
      </c>
      <c r="U84" s="65" t="s">
        <v>1676</v>
      </c>
      <c r="V84" s="65" t="s">
        <v>266</v>
      </c>
    </row>
    <row r="85" spans="1:22" ht="25.5" customHeight="1" x14ac:dyDescent="0.25">
      <c r="A85" s="62" t="s">
        <v>4717</v>
      </c>
      <c r="B85" s="62" t="s">
        <v>4718</v>
      </c>
      <c r="C85" s="62" t="s">
        <v>4431</v>
      </c>
      <c r="D85" s="65" t="s">
        <v>1676</v>
      </c>
      <c r="E85" s="62">
        <v>332.12</v>
      </c>
      <c r="F85" s="62" t="s">
        <v>4719</v>
      </c>
      <c r="G85" s="62" t="s">
        <v>4720</v>
      </c>
      <c r="H85" s="62">
        <v>98.34</v>
      </c>
      <c r="I85" s="62">
        <v>97.75</v>
      </c>
      <c r="J85" s="62" t="s">
        <v>576</v>
      </c>
      <c r="K85" s="62">
        <v>2.1</v>
      </c>
      <c r="L85" s="62" t="s">
        <v>4415</v>
      </c>
      <c r="M85" s="62">
        <v>77.900000000000006</v>
      </c>
      <c r="N85" s="62" t="s">
        <v>587</v>
      </c>
      <c r="O85" s="62" t="s">
        <v>4423</v>
      </c>
      <c r="P85" s="62" t="s">
        <v>3015</v>
      </c>
      <c r="Q85" s="62" t="s">
        <v>4416</v>
      </c>
      <c r="R85" s="62">
        <v>7</v>
      </c>
      <c r="S85" s="62">
        <v>11</v>
      </c>
      <c r="T85" s="62" t="s">
        <v>4424</v>
      </c>
      <c r="U85" s="65" t="s">
        <v>1676</v>
      </c>
      <c r="V85" s="65" t="s">
        <v>266</v>
      </c>
    </row>
    <row r="86" spans="1:22" ht="15" customHeight="1" x14ac:dyDescent="0.25">
      <c r="A86" s="64" t="s">
        <v>4721</v>
      </c>
      <c r="B86" s="64" t="s">
        <v>4722</v>
      </c>
      <c r="C86" s="64" t="s">
        <v>4474</v>
      </c>
      <c r="D86" s="63" t="s">
        <v>622</v>
      </c>
      <c r="E86" s="64">
        <v>280.95999999999998</v>
      </c>
      <c r="F86" s="64" t="s">
        <v>4723</v>
      </c>
      <c r="G86" s="64" t="s">
        <v>4724</v>
      </c>
      <c r="H86" s="64">
        <v>98.65</v>
      </c>
      <c r="I86" s="64">
        <v>97.23</v>
      </c>
      <c r="J86" s="64" t="s">
        <v>576</v>
      </c>
      <c r="K86" s="64">
        <v>2.4</v>
      </c>
      <c r="L86" s="64" t="s">
        <v>4415</v>
      </c>
      <c r="M86" s="64">
        <v>13.5</v>
      </c>
      <c r="N86" s="63" t="s">
        <v>544</v>
      </c>
      <c r="O86" s="64" t="s">
        <v>4423</v>
      </c>
      <c r="P86" s="64" t="s">
        <v>576</v>
      </c>
      <c r="Q86" s="64" t="s">
        <v>4416</v>
      </c>
      <c r="R86" s="64">
        <v>0</v>
      </c>
      <c r="S86" s="64">
        <v>5</v>
      </c>
      <c r="T86" s="64" t="s">
        <v>4424</v>
      </c>
      <c r="U86" s="65" t="s">
        <v>1676</v>
      </c>
      <c r="V86" s="65" t="s">
        <v>266</v>
      </c>
    </row>
    <row r="87" spans="1:22" ht="15" customHeight="1" x14ac:dyDescent="0.25">
      <c r="A87" s="62" t="s">
        <v>4725</v>
      </c>
      <c r="B87" s="62" t="s">
        <v>4726</v>
      </c>
      <c r="C87" s="62" t="s">
        <v>4626</v>
      </c>
      <c r="D87" s="63" t="s">
        <v>3472</v>
      </c>
      <c r="E87" s="62">
        <v>221.11</v>
      </c>
      <c r="F87" s="62" t="s">
        <v>4727</v>
      </c>
      <c r="G87" s="62" t="s">
        <v>4728</v>
      </c>
      <c r="H87" s="62">
        <v>99.45</v>
      </c>
      <c r="I87" s="62">
        <v>98.23</v>
      </c>
      <c r="J87" s="62" t="s">
        <v>576</v>
      </c>
      <c r="K87" s="62">
        <v>4.5999999999999996</v>
      </c>
      <c r="L87" s="62" t="s">
        <v>4439</v>
      </c>
      <c r="M87" s="62">
        <v>84</v>
      </c>
      <c r="N87" s="62" t="s">
        <v>576</v>
      </c>
      <c r="O87" s="62" t="s">
        <v>587</v>
      </c>
      <c r="P87" s="62" t="s">
        <v>3015</v>
      </c>
      <c r="Q87" s="62" t="s">
        <v>4416</v>
      </c>
      <c r="R87" s="62">
        <v>3</v>
      </c>
      <c r="S87" s="62">
        <v>14</v>
      </c>
      <c r="T87" s="62" t="s">
        <v>4424</v>
      </c>
      <c r="U87" s="63" t="s">
        <v>622</v>
      </c>
      <c r="V87" s="63" t="s">
        <v>495</v>
      </c>
    </row>
    <row r="88" spans="1:22" ht="25.5" customHeight="1" x14ac:dyDescent="0.25">
      <c r="A88" s="64" t="s">
        <v>4729</v>
      </c>
      <c r="B88" s="64" t="s">
        <v>4730</v>
      </c>
      <c r="C88" s="64" t="s">
        <v>4431</v>
      </c>
      <c r="D88" s="65" t="s">
        <v>1676</v>
      </c>
      <c r="E88" s="64">
        <v>8.18</v>
      </c>
      <c r="F88" s="64" t="s">
        <v>4731</v>
      </c>
      <c r="G88" s="64" t="s">
        <v>4732</v>
      </c>
      <c r="H88" s="64">
        <v>99.05</v>
      </c>
      <c r="I88" s="64">
        <v>97.22</v>
      </c>
      <c r="J88" s="64" t="s">
        <v>576</v>
      </c>
      <c r="K88" s="64">
        <v>2.1</v>
      </c>
      <c r="L88" s="64" t="s">
        <v>4471</v>
      </c>
      <c r="M88" s="64">
        <v>81.3</v>
      </c>
      <c r="N88" s="64" t="s">
        <v>587</v>
      </c>
      <c r="O88" s="64" t="s">
        <v>576</v>
      </c>
      <c r="P88" s="64" t="s">
        <v>587</v>
      </c>
      <c r="Q88" s="64" t="s">
        <v>587</v>
      </c>
      <c r="R88" s="64">
        <v>2</v>
      </c>
      <c r="S88" s="64">
        <v>12</v>
      </c>
      <c r="T88" s="64" t="s">
        <v>4424</v>
      </c>
      <c r="U88" s="65" t="s">
        <v>1676</v>
      </c>
      <c r="V88" s="65" t="s">
        <v>266</v>
      </c>
    </row>
    <row r="89" spans="1:22" ht="15" customHeight="1" x14ac:dyDescent="0.25">
      <c r="A89" s="62" t="s">
        <v>4733</v>
      </c>
      <c r="B89" s="62" t="s">
        <v>4734</v>
      </c>
      <c r="C89" s="62" t="s">
        <v>4427</v>
      </c>
      <c r="D89" s="63" t="s">
        <v>3472</v>
      </c>
      <c r="E89" s="62">
        <v>42.42</v>
      </c>
      <c r="F89" s="62" t="s">
        <v>4735</v>
      </c>
      <c r="G89" s="62" t="s">
        <v>4736</v>
      </c>
      <c r="H89" s="62">
        <v>98.06</v>
      </c>
      <c r="I89" s="62">
        <v>97</v>
      </c>
      <c r="J89" s="62" t="s">
        <v>576</v>
      </c>
      <c r="K89" s="62">
        <v>2.4</v>
      </c>
      <c r="L89" s="62" t="s">
        <v>4444</v>
      </c>
      <c r="M89" s="62">
        <v>85</v>
      </c>
      <c r="N89" s="62" t="s">
        <v>576</v>
      </c>
      <c r="O89" s="62" t="s">
        <v>576</v>
      </c>
      <c r="P89" s="62" t="s">
        <v>3015</v>
      </c>
      <c r="Q89" s="62" t="s">
        <v>576</v>
      </c>
      <c r="R89" s="62">
        <v>9</v>
      </c>
      <c r="S89" s="62">
        <v>15</v>
      </c>
      <c r="T89" s="62" t="s">
        <v>4424</v>
      </c>
      <c r="U89" s="65" t="s">
        <v>1676</v>
      </c>
      <c r="V89" s="65" t="s">
        <v>266</v>
      </c>
    </row>
    <row r="90" spans="1:22" ht="15" customHeight="1" x14ac:dyDescent="0.25">
      <c r="A90" s="64" t="s">
        <v>4737</v>
      </c>
      <c r="B90" s="64" t="s">
        <v>4738</v>
      </c>
      <c r="C90" s="64" t="s">
        <v>4427</v>
      </c>
      <c r="D90" s="63" t="s">
        <v>3472</v>
      </c>
      <c r="E90" s="64">
        <v>138.28</v>
      </c>
      <c r="F90" s="64" t="s">
        <v>4739</v>
      </c>
      <c r="G90" s="64" t="s">
        <v>4740</v>
      </c>
      <c r="H90" s="64">
        <v>98.02</v>
      </c>
      <c r="I90" s="64">
        <v>96.38</v>
      </c>
      <c r="J90" s="64" t="s">
        <v>576</v>
      </c>
      <c r="K90" s="64">
        <v>4</v>
      </c>
      <c r="L90" s="64" t="s">
        <v>4415</v>
      </c>
      <c r="M90" s="64">
        <v>66</v>
      </c>
      <c r="N90" s="63" t="s">
        <v>544</v>
      </c>
      <c r="O90" s="64" t="s">
        <v>4423</v>
      </c>
      <c r="P90" s="64" t="s">
        <v>3015</v>
      </c>
      <c r="Q90" s="64" t="s">
        <v>576</v>
      </c>
      <c r="R90" s="64">
        <v>1</v>
      </c>
      <c r="S90" s="64">
        <v>14</v>
      </c>
      <c r="T90" s="64" t="s">
        <v>4424</v>
      </c>
      <c r="U90" s="66" t="s">
        <v>1640</v>
      </c>
      <c r="V90" s="66" t="s">
        <v>321</v>
      </c>
    </row>
    <row r="91" spans="1:22" ht="15" customHeight="1" x14ac:dyDescent="0.25">
      <c r="A91" s="62" t="s">
        <v>4741</v>
      </c>
      <c r="B91" s="62" t="s">
        <v>4742</v>
      </c>
      <c r="C91" s="62" t="s">
        <v>4474</v>
      </c>
      <c r="D91" s="63" t="s">
        <v>3472</v>
      </c>
      <c r="E91" s="62">
        <v>185.83</v>
      </c>
      <c r="F91" s="62" t="s">
        <v>4743</v>
      </c>
      <c r="G91" s="62" t="s">
        <v>4744</v>
      </c>
      <c r="H91" s="62">
        <v>99.71</v>
      </c>
      <c r="I91" s="62">
        <v>97.86</v>
      </c>
      <c r="J91" s="62" t="s">
        <v>576</v>
      </c>
      <c r="K91" s="62">
        <v>3.3</v>
      </c>
      <c r="L91" s="62" t="s">
        <v>4457</v>
      </c>
      <c r="M91" s="62">
        <v>82.5</v>
      </c>
      <c r="N91" s="62" t="s">
        <v>587</v>
      </c>
      <c r="O91" s="62" t="s">
        <v>576</v>
      </c>
      <c r="P91" s="62" t="s">
        <v>3015</v>
      </c>
      <c r="Q91" s="62" t="s">
        <v>4416</v>
      </c>
      <c r="R91" s="62">
        <v>5</v>
      </c>
      <c r="S91" s="62">
        <v>0</v>
      </c>
      <c r="T91" s="62" t="s">
        <v>4424</v>
      </c>
      <c r="U91" s="66" t="s">
        <v>1640</v>
      </c>
      <c r="V91" s="66" t="s">
        <v>321</v>
      </c>
    </row>
    <row r="92" spans="1:22" ht="15" customHeight="1" x14ac:dyDescent="0.25">
      <c r="A92" s="64" t="s">
        <v>4745</v>
      </c>
      <c r="B92" s="64" t="s">
        <v>4746</v>
      </c>
      <c r="C92" s="64" t="s">
        <v>4474</v>
      </c>
      <c r="D92" s="63" t="s">
        <v>3472</v>
      </c>
      <c r="E92" s="64">
        <v>384.63</v>
      </c>
      <c r="F92" s="64" t="s">
        <v>4747</v>
      </c>
      <c r="G92" s="64" t="s">
        <v>4748</v>
      </c>
      <c r="H92" s="64">
        <v>98.39</v>
      </c>
      <c r="I92" s="64">
        <v>97.04</v>
      </c>
      <c r="J92" s="64" t="s">
        <v>576</v>
      </c>
      <c r="K92" s="64">
        <v>1.1000000000000001</v>
      </c>
      <c r="L92" s="64" t="s">
        <v>4439</v>
      </c>
      <c r="M92" s="64">
        <v>13</v>
      </c>
      <c r="N92" s="63" t="s">
        <v>544</v>
      </c>
      <c r="O92" s="64" t="s">
        <v>576</v>
      </c>
      <c r="P92" s="64" t="s">
        <v>3015</v>
      </c>
      <c r="Q92" s="64" t="s">
        <v>576</v>
      </c>
      <c r="R92" s="64">
        <v>0</v>
      </c>
      <c r="S92" s="64">
        <v>7</v>
      </c>
      <c r="T92" s="64" t="s">
        <v>4424</v>
      </c>
      <c r="U92" s="65" t="s">
        <v>1676</v>
      </c>
      <c r="V92" s="65" t="s">
        <v>266</v>
      </c>
    </row>
    <row r="93" spans="1:22" ht="15" customHeight="1" x14ac:dyDescent="0.25">
      <c r="A93" s="62" t="s">
        <v>4749</v>
      </c>
      <c r="B93" s="62" t="s">
        <v>4750</v>
      </c>
      <c r="C93" s="62" t="s">
        <v>4427</v>
      </c>
      <c r="D93" s="63" t="s">
        <v>622</v>
      </c>
      <c r="E93" s="62">
        <v>426.56</v>
      </c>
      <c r="F93" s="62" t="s">
        <v>4751</v>
      </c>
      <c r="G93" s="62" t="s">
        <v>4752</v>
      </c>
      <c r="H93" s="62">
        <v>98.27</v>
      </c>
      <c r="I93" s="62">
        <v>96.54</v>
      </c>
      <c r="J93" s="62" t="s">
        <v>576</v>
      </c>
      <c r="K93" s="62">
        <v>2.4</v>
      </c>
      <c r="L93" s="62" t="s">
        <v>4457</v>
      </c>
      <c r="M93" s="62">
        <v>72.599999999999994</v>
      </c>
      <c r="N93" s="62" t="s">
        <v>576</v>
      </c>
      <c r="O93" s="62" t="s">
        <v>4423</v>
      </c>
      <c r="P93" s="62" t="s">
        <v>576</v>
      </c>
      <c r="Q93" s="62" t="s">
        <v>4416</v>
      </c>
      <c r="R93" s="62">
        <v>8</v>
      </c>
      <c r="S93" s="62">
        <v>10</v>
      </c>
      <c r="T93" s="62" t="s">
        <v>4424</v>
      </c>
      <c r="U93" s="65" t="s">
        <v>1676</v>
      </c>
      <c r="V93" s="65" t="s">
        <v>266</v>
      </c>
    </row>
    <row r="94" spans="1:22" ht="15" customHeight="1" x14ac:dyDescent="0.25">
      <c r="A94" s="64" t="s">
        <v>4753</v>
      </c>
      <c r="B94" s="64" t="s">
        <v>4754</v>
      </c>
      <c r="C94" s="64" t="s">
        <v>4427</v>
      </c>
      <c r="D94" s="63" t="s">
        <v>3472</v>
      </c>
      <c r="E94" s="64">
        <v>427.94</v>
      </c>
      <c r="F94" s="64" t="s">
        <v>4755</v>
      </c>
      <c r="G94" s="64" t="s">
        <v>2300</v>
      </c>
      <c r="H94" s="64">
        <v>98.56</v>
      </c>
      <c r="I94" s="64">
        <v>98.44</v>
      </c>
      <c r="J94" s="64" t="s">
        <v>587</v>
      </c>
      <c r="K94" s="64">
        <v>1.5</v>
      </c>
      <c r="L94" s="64" t="s">
        <v>4457</v>
      </c>
      <c r="M94" s="64">
        <v>71.7</v>
      </c>
      <c r="N94" s="64" t="s">
        <v>576</v>
      </c>
      <c r="O94" s="64" t="s">
        <v>587</v>
      </c>
      <c r="P94" s="64" t="s">
        <v>576</v>
      </c>
      <c r="Q94" s="64" t="s">
        <v>587</v>
      </c>
      <c r="R94" s="64">
        <v>8</v>
      </c>
      <c r="S94" s="64">
        <v>15</v>
      </c>
      <c r="T94" s="64" t="s">
        <v>2739</v>
      </c>
      <c r="U94" s="65" t="s">
        <v>1676</v>
      </c>
      <c r="V94" s="65" t="s">
        <v>266</v>
      </c>
    </row>
    <row r="95" spans="1:22" ht="25.5" customHeight="1" x14ac:dyDescent="0.25">
      <c r="A95" s="62" t="s">
        <v>4756</v>
      </c>
      <c r="B95" s="62" t="s">
        <v>4757</v>
      </c>
      <c r="C95" s="62" t="s">
        <v>4606</v>
      </c>
      <c r="D95" s="65" t="s">
        <v>1676</v>
      </c>
      <c r="E95" s="62">
        <v>379.01</v>
      </c>
      <c r="F95" s="62" t="s">
        <v>4758</v>
      </c>
      <c r="G95" s="62" t="s">
        <v>4759</v>
      </c>
      <c r="H95" s="62">
        <v>98.16</v>
      </c>
      <c r="I95" s="62">
        <v>96.78</v>
      </c>
      <c r="J95" s="62" t="s">
        <v>576</v>
      </c>
      <c r="K95" s="62">
        <v>3</v>
      </c>
      <c r="L95" s="62" t="s">
        <v>4415</v>
      </c>
      <c r="M95" s="62">
        <v>40.700000000000003</v>
      </c>
      <c r="N95" s="62" t="s">
        <v>576</v>
      </c>
      <c r="O95" s="62" t="s">
        <v>576</v>
      </c>
      <c r="P95" s="62" t="s">
        <v>587</v>
      </c>
      <c r="Q95" s="62" t="s">
        <v>576</v>
      </c>
      <c r="R95" s="62">
        <v>9</v>
      </c>
      <c r="S95" s="62">
        <v>1</v>
      </c>
      <c r="T95" s="62" t="s">
        <v>4424</v>
      </c>
      <c r="U95" s="65" t="s">
        <v>1676</v>
      </c>
      <c r="V95" s="65" t="s">
        <v>266</v>
      </c>
    </row>
    <row r="96" spans="1:22" ht="15" customHeight="1" x14ac:dyDescent="0.25">
      <c r="A96" s="64" t="s">
        <v>4760</v>
      </c>
      <c r="B96" s="64" t="s">
        <v>4761</v>
      </c>
      <c r="C96" s="64" t="s">
        <v>3586</v>
      </c>
      <c r="D96" s="66" t="s">
        <v>1640</v>
      </c>
      <c r="E96" s="64">
        <v>272.73</v>
      </c>
      <c r="F96" s="64" t="s">
        <v>4762</v>
      </c>
      <c r="G96" s="64" t="s">
        <v>1705</v>
      </c>
      <c r="H96" s="64">
        <v>98.73</v>
      </c>
      <c r="I96" s="64">
        <v>96.82</v>
      </c>
      <c r="J96" s="64" t="s">
        <v>576</v>
      </c>
      <c r="K96" s="64">
        <v>2.8</v>
      </c>
      <c r="L96" s="64" t="s">
        <v>4457</v>
      </c>
      <c r="M96" s="64">
        <v>9.5</v>
      </c>
      <c r="N96" s="64" t="s">
        <v>587</v>
      </c>
      <c r="O96" s="64" t="s">
        <v>587</v>
      </c>
      <c r="P96" s="64" t="s">
        <v>587</v>
      </c>
      <c r="Q96" s="64" t="s">
        <v>576</v>
      </c>
      <c r="R96" s="64">
        <v>9</v>
      </c>
      <c r="S96" s="64">
        <v>15</v>
      </c>
      <c r="T96" s="64" t="s">
        <v>4424</v>
      </c>
      <c r="U96" s="65" t="s">
        <v>1676</v>
      </c>
      <c r="V96" s="65" t="s">
        <v>266</v>
      </c>
    </row>
    <row r="97" spans="1:22" ht="25.5" customHeight="1" x14ac:dyDescent="0.25">
      <c r="A97" s="62" t="s">
        <v>4763</v>
      </c>
      <c r="B97" s="62" t="s">
        <v>4764</v>
      </c>
      <c r="C97" s="62" t="s">
        <v>4465</v>
      </c>
      <c r="D97" s="63" t="s">
        <v>622</v>
      </c>
      <c r="E97" s="62">
        <v>179.18</v>
      </c>
      <c r="F97" s="62" t="s">
        <v>4765</v>
      </c>
      <c r="G97" s="62" t="s">
        <v>1806</v>
      </c>
      <c r="H97" s="62">
        <v>98.76</v>
      </c>
      <c r="I97" s="62">
        <v>98.27</v>
      </c>
      <c r="J97" s="62" t="s">
        <v>587</v>
      </c>
      <c r="K97" s="62">
        <v>4.8</v>
      </c>
      <c r="L97" s="62" t="s">
        <v>4415</v>
      </c>
      <c r="M97" s="62">
        <v>5.2</v>
      </c>
      <c r="N97" s="62" t="s">
        <v>576</v>
      </c>
      <c r="O97" s="62" t="s">
        <v>4423</v>
      </c>
      <c r="P97" s="62" t="s">
        <v>576</v>
      </c>
      <c r="Q97" s="62" t="s">
        <v>587</v>
      </c>
      <c r="R97" s="62">
        <v>7</v>
      </c>
      <c r="S97" s="62">
        <v>5</v>
      </c>
      <c r="T97" s="62" t="s">
        <v>4424</v>
      </c>
      <c r="U97" s="63" t="s">
        <v>622</v>
      </c>
      <c r="V97" s="63" t="s">
        <v>495</v>
      </c>
    </row>
    <row r="98" spans="1:22" ht="15" customHeight="1" x14ac:dyDescent="0.25">
      <c r="A98" s="64" t="s">
        <v>4766</v>
      </c>
      <c r="B98" s="64" t="s">
        <v>4767</v>
      </c>
      <c r="C98" s="64" t="s">
        <v>4474</v>
      </c>
      <c r="D98" s="63" t="s">
        <v>3472</v>
      </c>
      <c r="E98" s="64">
        <v>427.77</v>
      </c>
      <c r="F98" s="64" t="s">
        <v>4768</v>
      </c>
      <c r="G98" s="64" t="s">
        <v>4769</v>
      </c>
      <c r="H98" s="64">
        <v>98.84</v>
      </c>
      <c r="I98" s="64">
        <v>97.31</v>
      </c>
      <c r="J98" s="64" t="s">
        <v>576</v>
      </c>
      <c r="K98" s="64">
        <v>2.5</v>
      </c>
      <c r="L98" s="64" t="s">
        <v>4434</v>
      </c>
      <c r="M98" s="64">
        <v>35</v>
      </c>
      <c r="N98" s="64" t="s">
        <v>576</v>
      </c>
      <c r="O98" s="64" t="s">
        <v>587</v>
      </c>
      <c r="P98" s="64" t="s">
        <v>576</v>
      </c>
      <c r="Q98" s="64" t="s">
        <v>4416</v>
      </c>
      <c r="R98" s="64">
        <v>1</v>
      </c>
      <c r="S98" s="64">
        <v>12</v>
      </c>
      <c r="T98" s="64" t="s">
        <v>4424</v>
      </c>
      <c r="U98" s="65" t="s">
        <v>1676</v>
      </c>
      <c r="V98" s="65" t="s">
        <v>266</v>
      </c>
    </row>
    <row r="99" spans="1:22" ht="15" customHeight="1" x14ac:dyDescent="0.25">
      <c r="A99" s="62" t="s">
        <v>4770</v>
      </c>
      <c r="B99" s="62" t="s">
        <v>4771</v>
      </c>
      <c r="C99" s="62" t="s">
        <v>4447</v>
      </c>
      <c r="D99" s="66" t="s">
        <v>1640</v>
      </c>
      <c r="E99" s="62">
        <v>35.28</v>
      </c>
      <c r="F99" s="62" t="s">
        <v>4541</v>
      </c>
      <c r="G99" s="62" t="s">
        <v>4772</v>
      </c>
      <c r="H99" s="62">
        <v>98.82</v>
      </c>
      <c r="I99" s="62">
        <v>98.75</v>
      </c>
      <c r="J99" s="62" t="s">
        <v>587</v>
      </c>
      <c r="K99" s="62">
        <v>1.4</v>
      </c>
      <c r="L99" s="62" t="s">
        <v>4439</v>
      </c>
      <c r="M99" s="62">
        <v>46.7</v>
      </c>
      <c r="N99" s="62" t="s">
        <v>587</v>
      </c>
      <c r="O99" s="62" t="s">
        <v>4423</v>
      </c>
      <c r="P99" s="62" t="s">
        <v>576</v>
      </c>
      <c r="Q99" s="62" t="s">
        <v>587</v>
      </c>
      <c r="R99" s="62">
        <v>8</v>
      </c>
      <c r="S99" s="62">
        <v>9</v>
      </c>
      <c r="T99" s="62" t="s">
        <v>2739</v>
      </c>
      <c r="U99" s="65" t="s">
        <v>1676</v>
      </c>
      <c r="V99" s="65" t="s">
        <v>266</v>
      </c>
    </row>
    <row r="100" spans="1:22" ht="15" customHeight="1" x14ac:dyDescent="0.25">
      <c r="A100" s="64" t="s">
        <v>4773</v>
      </c>
      <c r="B100" s="64" t="s">
        <v>4774</v>
      </c>
      <c r="C100" s="64" t="s">
        <v>4562</v>
      </c>
      <c r="D100" s="66" t="s">
        <v>1640</v>
      </c>
      <c r="E100" s="64">
        <v>22.38</v>
      </c>
      <c r="F100" s="64" t="s">
        <v>4775</v>
      </c>
      <c r="G100" s="64" t="s">
        <v>1844</v>
      </c>
      <c r="H100" s="64">
        <v>98.07</v>
      </c>
      <c r="I100" s="64">
        <v>96.73</v>
      </c>
      <c r="J100" s="64" t="s">
        <v>576</v>
      </c>
      <c r="K100" s="64">
        <v>3.2</v>
      </c>
      <c r="L100" s="64" t="s">
        <v>4457</v>
      </c>
      <c r="M100" s="64">
        <v>49.6</v>
      </c>
      <c r="N100" s="64" t="s">
        <v>576</v>
      </c>
      <c r="O100" s="64" t="s">
        <v>576</v>
      </c>
      <c r="P100" s="64" t="s">
        <v>587</v>
      </c>
      <c r="Q100" s="64" t="s">
        <v>576</v>
      </c>
      <c r="R100" s="64">
        <v>7</v>
      </c>
      <c r="S100" s="64">
        <v>13</v>
      </c>
      <c r="T100" s="64" t="s">
        <v>4424</v>
      </c>
      <c r="U100" s="66" t="s">
        <v>1640</v>
      </c>
      <c r="V100" s="66" t="s">
        <v>321</v>
      </c>
    </row>
    <row r="101" spans="1:22" ht="25.5" customHeight="1" x14ac:dyDescent="0.25">
      <c r="A101" s="62" t="s">
        <v>4776</v>
      </c>
      <c r="B101" s="62" t="s">
        <v>4777</v>
      </c>
      <c r="C101" s="62" t="s">
        <v>4606</v>
      </c>
      <c r="D101" s="65" t="s">
        <v>1676</v>
      </c>
      <c r="E101" s="62">
        <v>68.03</v>
      </c>
      <c r="F101" s="62" t="s">
        <v>4636</v>
      </c>
      <c r="G101" s="62" t="s">
        <v>831</v>
      </c>
      <c r="H101" s="62">
        <v>98.52</v>
      </c>
      <c r="I101" s="62">
        <v>98</v>
      </c>
      <c r="J101" s="62" t="s">
        <v>576</v>
      </c>
      <c r="K101" s="62">
        <v>2.1</v>
      </c>
      <c r="L101" s="62" t="s">
        <v>4434</v>
      </c>
      <c r="M101" s="62">
        <v>53.4</v>
      </c>
      <c r="N101" s="63" t="s">
        <v>544</v>
      </c>
      <c r="O101" s="62" t="s">
        <v>576</v>
      </c>
      <c r="P101" s="62" t="s">
        <v>3015</v>
      </c>
      <c r="Q101" s="62" t="s">
        <v>587</v>
      </c>
      <c r="R101" s="62">
        <v>3</v>
      </c>
      <c r="S101" s="62">
        <v>0</v>
      </c>
      <c r="T101" s="62" t="s">
        <v>4424</v>
      </c>
      <c r="U101" s="65" t="s">
        <v>1676</v>
      </c>
      <c r="V101" s="65" t="s">
        <v>266</v>
      </c>
    </row>
    <row r="102" spans="1:22" ht="25.5" customHeight="1" x14ac:dyDescent="0.25">
      <c r="A102" s="64" t="s">
        <v>4778</v>
      </c>
      <c r="B102" s="64" t="s">
        <v>4779</v>
      </c>
      <c r="C102" s="64" t="s">
        <v>4465</v>
      </c>
      <c r="D102" s="65" t="s">
        <v>1676</v>
      </c>
      <c r="E102" s="64">
        <v>287.99</v>
      </c>
      <c r="F102" s="64" t="s">
        <v>4780</v>
      </c>
      <c r="G102" s="64" t="s">
        <v>4781</v>
      </c>
      <c r="H102" s="64">
        <v>98.99</v>
      </c>
      <c r="I102" s="64">
        <v>98.47</v>
      </c>
      <c r="J102" s="64" t="s">
        <v>576</v>
      </c>
      <c r="K102" s="64">
        <v>4</v>
      </c>
      <c r="L102" s="64" t="s">
        <v>4439</v>
      </c>
      <c r="M102" s="64">
        <v>86.2</v>
      </c>
      <c r="N102" s="63" t="s">
        <v>544</v>
      </c>
      <c r="O102" s="64" t="s">
        <v>4423</v>
      </c>
      <c r="P102" s="64" t="s">
        <v>576</v>
      </c>
      <c r="Q102" s="64" t="s">
        <v>4416</v>
      </c>
      <c r="R102" s="64">
        <v>2</v>
      </c>
      <c r="S102" s="64">
        <v>5</v>
      </c>
      <c r="T102" s="64" t="s">
        <v>4424</v>
      </c>
      <c r="U102" s="66" t="s">
        <v>1640</v>
      </c>
      <c r="V102" s="66" t="s">
        <v>321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22"/>
  <sheetViews>
    <sheetView zoomScaleNormal="100" workbookViewId="0">
      <pane xSplit="2" ySplit="2" topLeftCell="F3" activePane="bottomRight" state="frozen"/>
      <selection pane="topRight" activeCell="F1" sqref="F1"/>
      <selection pane="bottomLeft" activeCell="A3" sqref="A3"/>
      <selection pane="bottomRight" activeCell="H10" sqref="H10"/>
    </sheetView>
  </sheetViews>
  <sheetFormatPr defaultColWidth="8.7109375" defaultRowHeight="15" x14ac:dyDescent="0.25"/>
  <cols>
    <col min="1" max="2" width="11.7109375" customWidth="1"/>
    <col min="3" max="3" width="17.85546875" customWidth="1"/>
    <col min="4" max="4" width="15.7109375" customWidth="1"/>
    <col min="5" max="5" width="18.7109375" customWidth="1"/>
    <col min="6" max="6" width="26.140625" customWidth="1"/>
    <col min="7" max="7" width="25.5703125" customWidth="1"/>
    <col min="8" max="8" width="24.140625" customWidth="1"/>
    <col min="9" max="9" width="23.7109375" customWidth="1"/>
    <col min="10" max="10" width="26.7109375" customWidth="1"/>
    <col min="11" max="11" width="23.7109375" customWidth="1"/>
    <col min="12" max="12" width="12.5703125" customWidth="1"/>
    <col min="13" max="13" width="20.7109375" customWidth="1"/>
    <col min="14" max="14" width="19.85546875" customWidth="1"/>
    <col min="15" max="15" width="17" customWidth="1"/>
    <col min="16" max="16" width="26.85546875" customWidth="1"/>
    <col min="17" max="17" width="18" customWidth="1"/>
    <col min="18" max="19" width="19.140625" customWidth="1"/>
    <col min="20" max="20" width="8.28515625" customWidth="1"/>
    <col min="21" max="21" width="7" customWidth="1"/>
  </cols>
  <sheetData>
    <row r="1" spans="1:21" ht="37.5" customHeight="1" x14ac:dyDescent="0.25">
      <c r="A1" s="138" t="s">
        <v>4782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40"/>
    </row>
    <row r="2" spans="1:21" ht="21.75" customHeight="1" x14ac:dyDescent="0.25">
      <c r="A2" s="58" t="s">
        <v>2148</v>
      </c>
      <c r="B2" s="58" t="s">
        <v>1618</v>
      </c>
      <c r="C2" s="58" t="s">
        <v>2724</v>
      </c>
      <c r="D2" s="58" t="s">
        <v>4783</v>
      </c>
      <c r="E2" s="58" t="s">
        <v>4784</v>
      </c>
      <c r="F2" s="58" t="s">
        <v>4785</v>
      </c>
      <c r="G2" s="58" t="s">
        <v>4786</v>
      </c>
      <c r="H2" s="58" t="s">
        <v>4787</v>
      </c>
      <c r="I2" s="58" t="s">
        <v>4788</v>
      </c>
      <c r="J2" s="58" t="s">
        <v>4789</v>
      </c>
      <c r="K2" s="58" t="s">
        <v>4790</v>
      </c>
      <c r="L2" s="58" t="s">
        <v>4791</v>
      </c>
      <c r="M2" s="58" t="s">
        <v>4792</v>
      </c>
      <c r="N2" s="58" t="s">
        <v>4793</v>
      </c>
      <c r="O2" s="58" t="s">
        <v>4794</v>
      </c>
      <c r="P2" s="58" t="s">
        <v>4795</v>
      </c>
      <c r="Q2" s="58" t="s">
        <v>4796</v>
      </c>
      <c r="R2" s="58" t="s">
        <v>4797</v>
      </c>
      <c r="S2" s="58" t="s">
        <v>4798</v>
      </c>
      <c r="T2" s="58" t="s">
        <v>567</v>
      </c>
      <c r="U2" s="58" t="s">
        <v>568</v>
      </c>
    </row>
    <row r="3" spans="1:21" ht="15" customHeight="1" x14ac:dyDescent="0.25">
      <c r="A3" s="46" t="s">
        <v>4799</v>
      </c>
      <c r="B3" s="46" t="s">
        <v>1028</v>
      </c>
      <c r="C3" s="46" t="s">
        <v>4800</v>
      </c>
      <c r="D3" s="46" t="s">
        <v>4801</v>
      </c>
      <c r="E3" s="46">
        <v>35.700000000000003</v>
      </c>
      <c r="F3" s="46">
        <v>107</v>
      </c>
      <c r="G3" s="46">
        <v>6275</v>
      </c>
      <c r="H3" s="46">
        <v>15.2</v>
      </c>
      <c r="I3" s="46">
        <v>886</v>
      </c>
      <c r="J3" s="46">
        <v>76.3</v>
      </c>
      <c r="K3" s="46">
        <v>22.8</v>
      </c>
      <c r="L3" s="46">
        <v>28.6</v>
      </c>
      <c r="M3" s="46">
        <v>85.9</v>
      </c>
      <c r="N3" s="46">
        <v>1</v>
      </c>
      <c r="O3" s="46">
        <v>3.85</v>
      </c>
      <c r="P3" s="46">
        <v>0</v>
      </c>
      <c r="Q3" s="46">
        <v>6</v>
      </c>
      <c r="R3" s="46">
        <v>5.89</v>
      </c>
      <c r="S3" s="46">
        <f t="shared" ref="S3:S34" si="0">ROUND(0.3*E3+0.3*J3+0.2*(100-H3)+0.2*MIN(L3*1.2,100),1)</f>
        <v>57.4</v>
      </c>
      <c r="T3" s="46" t="s">
        <v>1640</v>
      </c>
      <c r="U3" s="49" t="s">
        <v>321</v>
      </c>
    </row>
    <row r="4" spans="1:21" ht="15" customHeight="1" x14ac:dyDescent="0.25">
      <c r="A4" s="50" t="s">
        <v>4802</v>
      </c>
      <c r="B4" s="50" t="s">
        <v>2291</v>
      </c>
      <c r="C4" s="50" t="s">
        <v>4803</v>
      </c>
      <c r="D4" s="50" t="s">
        <v>4804</v>
      </c>
      <c r="E4" s="50">
        <v>46.5</v>
      </c>
      <c r="F4" s="50">
        <v>141</v>
      </c>
      <c r="G4" s="50">
        <v>6263</v>
      </c>
      <c r="H4" s="50">
        <v>44.6</v>
      </c>
      <c r="I4" s="50">
        <v>1017</v>
      </c>
      <c r="J4" s="50">
        <v>95.4</v>
      </c>
      <c r="K4" s="50">
        <v>22</v>
      </c>
      <c r="L4" s="50">
        <v>62.7</v>
      </c>
      <c r="M4" s="50">
        <v>59.4</v>
      </c>
      <c r="N4" s="50">
        <v>8</v>
      </c>
      <c r="O4" s="50">
        <v>3.64</v>
      </c>
      <c r="P4" s="50">
        <v>12</v>
      </c>
      <c r="Q4" s="50">
        <v>10</v>
      </c>
      <c r="R4" s="50">
        <v>31.98</v>
      </c>
      <c r="S4" s="50">
        <f t="shared" si="0"/>
        <v>68.7</v>
      </c>
      <c r="T4" s="50" t="s">
        <v>1676</v>
      </c>
      <c r="U4" s="53" t="s">
        <v>266</v>
      </c>
    </row>
    <row r="5" spans="1:21" ht="15" customHeight="1" x14ac:dyDescent="0.25">
      <c r="A5" s="46" t="s">
        <v>4805</v>
      </c>
      <c r="B5" s="46" t="s">
        <v>4806</v>
      </c>
      <c r="C5" s="46" t="s">
        <v>4807</v>
      </c>
      <c r="D5" s="46" t="s">
        <v>4808</v>
      </c>
      <c r="E5" s="46">
        <v>67.5</v>
      </c>
      <c r="F5" s="46">
        <v>83</v>
      </c>
      <c r="G5" s="46">
        <v>21834</v>
      </c>
      <c r="H5" s="46">
        <v>64.3</v>
      </c>
      <c r="I5" s="46">
        <v>2686</v>
      </c>
      <c r="J5" s="46">
        <v>69.099999999999994</v>
      </c>
      <c r="K5" s="46">
        <v>20</v>
      </c>
      <c r="L5" s="46">
        <v>68.3</v>
      </c>
      <c r="M5" s="46">
        <v>70.900000000000006</v>
      </c>
      <c r="N5" s="46">
        <v>1</v>
      </c>
      <c r="O5" s="46">
        <v>1.7</v>
      </c>
      <c r="P5" s="46">
        <v>9</v>
      </c>
      <c r="Q5" s="46">
        <v>19</v>
      </c>
      <c r="R5" s="46">
        <v>26.69</v>
      </c>
      <c r="S5" s="46">
        <f t="shared" si="0"/>
        <v>64.5</v>
      </c>
      <c r="T5" s="46" t="s">
        <v>1640</v>
      </c>
      <c r="U5" s="49" t="s">
        <v>321</v>
      </c>
    </row>
    <row r="6" spans="1:21" ht="15" customHeight="1" x14ac:dyDescent="0.25">
      <c r="A6" s="46" t="s">
        <v>4809</v>
      </c>
      <c r="B6" s="46" t="s">
        <v>2707</v>
      </c>
      <c r="C6" s="46" t="s">
        <v>4810</v>
      </c>
      <c r="D6" s="46" t="s">
        <v>4811</v>
      </c>
      <c r="E6" s="46">
        <v>36.5</v>
      </c>
      <c r="F6" s="46">
        <v>26</v>
      </c>
      <c r="G6" s="46">
        <v>41009</v>
      </c>
      <c r="H6" s="46">
        <v>59.9</v>
      </c>
      <c r="I6" s="46">
        <v>1043</v>
      </c>
      <c r="J6" s="46">
        <v>65.8</v>
      </c>
      <c r="K6" s="46">
        <v>34</v>
      </c>
      <c r="L6" s="46">
        <v>64.7</v>
      </c>
      <c r="M6" s="46">
        <v>79.900000000000006</v>
      </c>
      <c r="N6" s="46">
        <v>6</v>
      </c>
      <c r="O6" s="46">
        <v>8.2799999999999994</v>
      </c>
      <c r="P6" s="46">
        <v>1</v>
      </c>
      <c r="Q6" s="46">
        <v>0</v>
      </c>
      <c r="R6" s="46">
        <v>5.89</v>
      </c>
      <c r="S6" s="46">
        <f t="shared" si="0"/>
        <v>54.2</v>
      </c>
      <c r="T6" s="46" t="s">
        <v>1640</v>
      </c>
      <c r="U6" s="49" t="s">
        <v>321</v>
      </c>
    </row>
    <row r="7" spans="1:21" ht="15" customHeight="1" x14ac:dyDescent="0.25">
      <c r="A7" s="50" t="s">
        <v>4812</v>
      </c>
      <c r="B7" s="50" t="s">
        <v>1262</v>
      </c>
      <c r="C7" s="50" t="s">
        <v>4813</v>
      </c>
      <c r="D7" s="50" t="s">
        <v>4814</v>
      </c>
      <c r="E7" s="50">
        <v>61.5</v>
      </c>
      <c r="F7" s="50">
        <v>39</v>
      </c>
      <c r="G7" s="50">
        <v>49000</v>
      </c>
      <c r="H7" s="50">
        <v>10.7</v>
      </c>
      <c r="I7" s="50">
        <v>4587</v>
      </c>
      <c r="J7" s="50">
        <v>69.8</v>
      </c>
      <c r="K7" s="50">
        <v>29</v>
      </c>
      <c r="L7" s="50">
        <v>65.099999999999994</v>
      </c>
      <c r="M7" s="50">
        <v>44.1</v>
      </c>
      <c r="N7" s="50">
        <v>1</v>
      </c>
      <c r="O7" s="50">
        <v>7.59</v>
      </c>
      <c r="P7" s="50">
        <v>7</v>
      </c>
      <c r="Q7" s="50">
        <v>11</v>
      </c>
      <c r="R7" s="50">
        <v>92.79</v>
      </c>
      <c r="S7" s="50">
        <f t="shared" si="0"/>
        <v>72.900000000000006</v>
      </c>
      <c r="T7" s="50" t="s">
        <v>1676</v>
      </c>
      <c r="U7" s="53" t="s">
        <v>266</v>
      </c>
    </row>
    <row r="8" spans="1:21" ht="15" customHeight="1" x14ac:dyDescent="0.25">
      <c r="A8" s="46" t="s">
        <v>4815</v>
      </c>
      <c r="B8" s="46" t="s">
        <v>1509</v>
      </c>
      <c r="C8" s="46" t="s">
        <v>4813</v>
      </c>
      <c r="D8" s="46" t="s">
        <v>4811</v>
      </c>
      <c r="E8" s="46">
        <v>73.5</v>
      </c>
      <c r="F8" s="46">
        <v>150</v>
      </c>
      <c r="G8" s="46">
        <v>25499</v>
      </c>
      <c r="H8" s="46">
        <v>62.2</v>
      </c>
      <c r="I8" s="46">
        <v>449</v>
      </c>
      <c r="J8" s="46">
        <v>83</v>
      </c>
      <c r="K8" s="46">
        <v>22.5</v>
      </c>
      <c r="L8" s="46">
        <v>37.299999999999997</v>
      </c>
      <c r="M8" s="46">
        <v>83</v>
      </c>
      <c r="N8" s="46">
        <v>1</v>
      </c>
      <c r="O8" s="46">
        <v>8.9499999999999993</v>
      </c>
      <c r="P8" s="46">
        <v>0</v>
      </c>
      <c r="Q8" s="46">
        <v>11</v>
      </c>
      <c r="R8" s="46">
        <v>56.87</v>
      </c>
      <c r="S8" s="46">
        <f t="shared" si="0"/>
        <v>63.5</v>
      </c>
      <c r="T8" s="46" t="s">
        <v>1640</v>
      </c>
      <c r="U8" s="49" t="s">
        <v>321</v>
      </c>
    </row>
    <row r="9" spans="1:21" ht="15" customHeight="1" x14ac:dyDescent="0.25">
      <c r="A9" s="54" t="s">
        <v>4816</v>
      </c>
      <c r="B9" s="54" t="s">
        <v>1059</v>
      </c>
      <c r="C9" s="54" t="s">
        <v>4817</v>
      </c>
      <c r="D9" s="54" t="s">
        <v>4818</v>
      </c>
      <c r="E9" s="54">
        <v>24.1</v>
      </c>
      <c r="F9" s="54">
        <v>38</v>
      </c>
      <c r="G9" s="54">
        <v>36627</v>
      </c>
      <c r="H9" s="54">
        <v>41.9</v>
      </c>
      <c r="I9" s="54">
        <v>602</v>
      </c>
      <c r="J9" s="54">
        <v>88.9</v>
      </c>
      <c r="K9" s="54">
        <v>6.4</v>
      </c>
      <c r="L9" s="54">
        <v>7</v>
      </c>
      <c r="M9" s="54">
        <v>92.6</v>
      </c>
      <c r="N9" s="54">
        <v>7</v>
      </c>
      <c r="O9" s="54">
        <v>10.95</v>
      </c>
      <c r="P9" s="54">
        <v>4</v>
      </c>
      <c r="Q9" s="54">
        <v>17</v>
      </c>
      <c r="R9" s="54">
        <v>33.96</v>
      </c>
      <c r="S9" s="54">
        <f t="shared" si="0"/>
        <v>47.2</v>
      </c>
      <c r="T9" s="54" t="s">
        <v>622</v>
      </c>
      <c r="U9" s="57" t="s">
        <v>495</v>
      </c>
    </row>
    <row r="10" spans="1:21" ht="15" customHeight="1" x14ac:dyDescent="0.25">
      <c r="A10" s="46" t="s">
        <v>4819</v>
      </c>
      <c r="B10" s="46" t="s">
        <v>1442</v>
      </c>
      <c r="C10" s="46" t="s">
        <v>4813</v>
      </c>
      <c r="D10" s="46" t="s">
        <v>4820</v>
      </c>
      <c r="E10" s="46">
        <v>71.400000000000006</v>
      </c>
      <c r="F10" s="46">
        <v>147</v>
      </c>
      <c r="G10" s="46">
        <v>30848</v>
      </c>
      <c r="H10" s="46">
        <v>61.2</v>
      </c>
      <c r="I10" s="46">
        <v>1385</v>
      </c>
      <c r="J10" s="46">
        <v>85.7</v>
      </c>
      <c r="K10" s="46">
        <v>4</v>
      </c>
      <c r="L10" s="46">
        <v>26.8</v>
      </c>
      <c r="M10" s="46">
        <v>89.1</v>
      </c>
      <c r="N10" s="46">
        <v>0</v>
      </c>
      <c r="O10" s="46">
        <v>3.97</v>
      </c>
      <c r="P10" s="46">
        <v>8</v>
      </c>
      <c r="Q10" s="46">
        <v>20</v>
      </c>
      <c r="R10" s="46">
        <v>2.31</v>
      </c>
      <c r="S10" s="46">
        <f t="shared" si="0"/>
        <v>61.3</v>
      </c>
      <c r="T10" s="46" t="s">
        <v>1640</v>
      </c>
      <c r="U10" s="49" t="s">
        <v>321</v>
      </c>
    </row>
    <row r="11" spans="1:21" ht="25.5" customHeight="1" x14ac:dyDescent="0.25">
      <c r="A11" s="54" t="s">
        <v>4821</v>
      </c>
      <c r="B11" s="54" t="s">
        <v>2516</v>
      </c>
      <c r="C11" s="54" t="s">
        <v>4822</v>
      </c>
      <c r="D11" s="54" t="s">
        <v>4811</v>
      </c>
      <c r="E11" s="54">
        <v>16.100000000000001</v>
      </c>
      <c r="F11" s="54">
        <v>102</v>
      </c>
      <c r="G11" s="54">
        <v>3378</v>
      </c>
      <c r="H11" s="54">
        <v>20.9</v>
      </c>
      <c r="I11" s="54">
        <v>434</v>
      </c>
      <c r="J11" s="54">
        <v>70.900000000000006</v>
      </c>
      <c r="K11" s="54">
        <v>32.799999999999997</v>
      </c>
      <c r="L11" s="54">
        <v>16.8</v>
      </c>
      <c r="M11" s="54">
        <v>35.799999999999997</v>
      </c>
      <c r="N11" s="54">
        <v>5</v>
      </c>
      <c r="O11" s="54">
        <v>10.17</v>
      </c>
      <c r="P11" s="54">
        <v>7</v>
      </c>
      <c r="Q11" s="54">
        <v>8</v>
      </c>
      <c r="R11" s="54">
        <v>45.12</v>
      </c>
      <c r="S11" s="54">
        <f t="shared" si="0"/>
        <v>46</v>
      </c>
      <c r="T11" s="54" t="s">
        <v>622</v>
      </c>
      <c r="U11" s="57" t="s">
        <v>495</v>
      </c>
    </row>
    <row r="12" spans="1:21" ht="15" customHeight="1" x14ac:dyDescent="0.25">
      <c r="A12" s="46" t="s">
        <v>4823</v>
      </c>
      <c r="B12" s="46" t="s">
        <v>746</v>
      </c>
      <c r="C12" s="46" t="s">
        <v>4824</v>
      </c>
      <c r="D12" s="46" t="s">
        <v>4825</v>
      </c>
      <c r="E12" s="46">
        <v>17.899999999999999</v>
      </c>
      <c r="F12" s="46">
        <v>153</v>
      </c>
      <c r="G12" s="46">
        <v>2026</v>
      </c>
      <c r="H12" s="46">
        <v>18.899999999999999</v>
      </c>
      <c r="I12" s="46">
        <v>883</v>
      </c>
      <c r="J12" s="46">
        <v>86.6</v>
      </c>
      <c r="K12" s="46">
        <v>34</v>
      </c>
      <c r="L12" s="46">
        <v>43</v>
      </c>
      <c r="M12" s="46">
        <v>54.8</v>
      </c>
      <c r="N12" s="46">
        <v>6</v>
      </c>
      <c r="O12" s="46">
        <v>11.56</v>
      </c>
      <c r="P12" s="46">
        <v>4</v>
      </c>
      <c r="Q12" s="46">
        <v>6</v>
      </c>
      <c r="R12" s="46">
        <v>3.53</v>
      </c>
      <c r="S12" s="46">
        <f t="shared" si="0"/>
        <v>57.9</v>
      </c>
      <c r="T12" s="46" t="s">
        <v>1640</v>
      </c>
      <c r="U12" s="49" t="s">
        <v>321</v>
      </c>
    </row>
    <row r="13" spans="1:21" ht="15" customHeight="1" x14ac:dyDescent="0.25">
      <c r="A13" s="46" t="s">
        <v>4826</v>
      </c>
      <c r="B13" s="46" t="s">
        <v>1303</v>
      </c>
      <c r="C13" s="46" t="s">
        <v>4817</v>
      </c>
      <c r="D13" s="46" t="s">
        <v>4825</v>
      </c>
      <c r="E13" s="46">
        <v>45.2</v>
      </c>
      <c r="F13" s="46">
        <v>39</v>
      </c>
      <c r="G13" s="46">
        <v>14954</v>
      </c>
      <c r="H13" s="46">
        <v>34.9</v>
      </c>
      <c r="I13" s="46">
        <v>4231</v>
      </c>
      <c r="J13" s="46">
        <v>83</v>
      </c>
      <c r="K13" s="46">
        <v>32.5</v>
      </c>
      <c r="L13" s="46">
        <v>33.799999999999997</v>
      </c>
      <c r="M13" s="46">
        <v>87.8</v>
      </c>
      <c r="N13" s="46">
        <v>5</v>
      </c>
      <c r="O13" s="46">
        <v>5.1100000000000003</v>
      </c>
      <c r="P13" s="46">
        <v>9</v>
      </c>
      <c r="Q13" s="46">
        <v>19</v>
      </c>
      <c r="R13" s="46">
        <v>82.96</v>
      </c>
      <c r="S13" s="46">
        <f t="shared" si="0"/>
        <v>59.6</v>
      </c>
      <c r="T13" s="46" t="s">
        <v>1640</v>
      </c>
      <c r="U13" s="49" t="s">
        <v>321</v>
      </c>
    </row>
    <row r="14" spans="1:21" ht="15" customHeight="1" x14ac:dyDescent="0.25">
      <c r="A14" s="46" t="s">
        <v>4827</v>
      </c>
      <c r="B14" s="46" t="s">
        <v>4828</v>
      </c>
      <c r="C14" s="46" t="s">
        <v>4829</v>
      </c>
      <c r="D14" s="46" t="s">
        <v>4811</v>
      </c>
      <c r="E14" s="46">
        <v>61.1</v>
      </c>
      <c r="F14" s="46">
        <v>18</v>
      </c>
      <c r="G14" s="46">
        <v>27808</v>
      </c>
      <c r="H14" s="46">
        <v>43.1</v>
      </c>
      <c r="I14" s="46">
        <v>1330</v>
      </c>
      <c r="J14" s="46">
        <v>93.7</v>
      </c>
      <c r="K14" s="46">
        <v>1.8</v>
      </c>
      <c r="L14" s="46">
        <v>10.7</v>
      </c>
      <c r="M14" s="46">
        <v>40.9</v>
      </c>
      <c r="N14" s="46">
        <v>3</v>
      </c>
      <c r="O14" s="46">
        <v>6.67</v>
      </c>
      <c r="P14" s="46">
        <v>0</v>
      </c>
      <c r="Q14" s="46">
        <v>8</v>
      </c>
      <c r="R14" s="46">
        <v>48.2</v>
      </c>
      <c r="S14" s="46">
        <f t="shared" si="0"/>
        <v>60.4</v>
      </c>
      <c r="T14" s="46" t="s">
        <v>1640</v>
      </c>
      <c r="U14" s="49" t="s">
        <v>321</v>
      </c>
    </row>
    <row r="15" spans="1:21" ht="15" customHeight="1" x14ac:dyDescent="0.25">
      <c r="A15" s="46" t="s">
        <v>4830</v>
      </c>
      <c r="B15" s="46" t="s">
        <v>2781</v>
      </c>
      <c r="C15" s="46" t="s">
        <v>4803</v>
      </c>
      <c r="D15" s="46" t="s">
        <v>4818</v>
      </c>
      <c r="E15" s="46">
        <v>78.2</v>
      </c>
      <c r="F15" s="46">
        <v>25</v>
      </c>
      <c r="G15" s="46">
        <v>49892</v>
      </c>
      <c r="H15" s="46">
        <v>38.799999999999997</v>
      </c>
      <c r="I15" s="46">
        <v>326</v>
      </c>
      <c r="J15" s="46">
        <v>72.3</v>
      </c>
      <c r="K15" s="46">
        <v>1.6</v>
      </c>
      <c r="L15" s="46">
        <v>26.4</v>
      </c>
      <c r="M15" s="46">
        <v>80.599999999999994</v>
      </c>
      <c r="N15" s="46">
        <v>4</v>
      </c>
      <c r="O15" s="46">
        <v>10.28</v>
      </c>
      <c r="P15" s="46">
        <v>8</v>
      </c>
      <c r="Q15" s="46">
        <v>18</v>
      </c>
      <c r="R15" s="46">
        <v>79.760000000000005</v>
      </c>
      <c r="S15" s="46">
        <f t="shared" si="0"/>
        <v>63.7</v>
      </c>
      <c r="T15" s="46" t="s">
        <v>1640</v>
      </c>
      <c r="U15" s="49" t="s">
        <v>321</v>
      </c>
    </row>
    <row r="16" spans="1:21" ht="15" customHeight="1" x14ac:dyDescent="0.25">
      <c r="A16" s="46" t="s">
        <v>4831</v>
      </c>
      <c r="B16" s="46" t="s">
        <v>1863</v>
      </c>
      <c r="C16" s="46" t="s">
        <v>4829</v>
      </c>
      <c r="D16" s="46" t="s">
        <v>4832</v>
      </c>
      <c r="E16" s="46">
        <v>26.8</v>
      </c>
      <c r="F16" s="46">
        <v>188</v>
      </c>
      <c r="G16" s="46">
        <v>37825</v>
      </c>
      <c r="H16" s="46">
        <v>21</v>
      </c>
      <c r="I16" s="46">
        <v>801</v>
      </c>
      <c r="J16" s="46">
        <v>85</v>
      </c>
      <c r="K16" s="46">
        <v>26.6</v>
      </c>
      <c r="L16" s="46">
        <v>21.9</v>
      </c>
      <c r="M16" s="46">
        <v>83.5</v>
      </c>
      <c r="N16" s="46">
        <v>0</v>
      </c>
      <c r="O16" s="46">
        <v>11.48</v>
      </c>
      <c r="P16" s="46">
        <v>3</v>
      </c>
      <c r="Q16" s="46">
        <v>9</v>
      </c>
      <c r="R16" s="46">
        <v>44.05</v>
      </c>
      <c r="S16" s="46">
        <f t="shared" si="0"/>
        <v>54.6</v>
      </c>
      <c r="T16" s="46" t="s">
        <v>1640</v>
      </c>
      <c r="U16" s="49" t="s">
        <v>321</v>
      </c>
    </row>
    <row r="17" spans="1:21" ht="25.5" customHeight="1" x14ac:dyDescent="0.25">
      <c r="A17" s="50" t="s">
        <v>4833</v>
      </c>
      <c r="B17" s="50" t="s">
        <v>1781</v>
      </c>
      <c r="C17" s="50" t="s">
        <v>4829</v>
      </c>
      <c r="D17" s="50" t="s">
        <v>4825</v>
      </c>
      <c r="E17" s="50">
        <v>76.8</v>
      </c>
      <c r="F17" s="50">
        <v>250</v>
      </c>
      <c r="G17" s="50">
        <v>48696</v>
      </c>
      <c r="H17" s="50">
        <v>28.3</v>
      </c>
      <c r="I17" s="50">
        <v>1961</v>
      </c>
      <c r="J17" s="50">
        <v>86.7</v>
      </c>
      <c r="K17" s="50">
        <v>28.9</v>
      </c>
      <c r="L17" s="50">
        <v>26.5</v>
      </c>
      <c r="M17" s="50">
        <v>48.3</v>
      </c>
      <c r="N17" s="50">
        <v>6</v>
      </c>
      <c r="O17" s="50">
        <v>5.92</v>
      </c>
      <c r="P17" s="50">
        <v>12</v>
      </c>
      <c r="Q17" s="50">
        <v>17</v>
      </c>
      <c r="R17" s="50">
        <v>25.58</v>
      </c>
      <c r="S17" s="50">
        <f t="shared" si="0"/>
        <v>69.8</v>
      </c>
      <c r="T17" s="50" t="s">
        <v>1676</v>
      </c>
      <c r="U17" s="53" t="s">
        <v>266</v>
      </c>
    </row>
    <row r="18" spans="1:21" ht="15" customHeight="1" x14ac:dyDescent="0.25">
      <c r="A18" s="50" t="s">
        <v>4834</v>
      </c>
      <c r="B18" s="50" t="s">
        <v>3699</v>
      </c>
      <c r="C18" s="50" t="s">
        <v>4822</v>
      </c>
      <c r="D18" s="50" t="s">
        <v>4811</v>
      </c>
      <c r="E18" s="50">
        <v>72</v>
      </c>
      <c r="F18" s="50">
        <v>140</v>
      </c>
      <c r="G18" s="50">
        <v>49534</v>
      </c>
      <c r="H18" s="50">
        <v>50.8</v>
      </c>
      <c r="I18" s="50">
        <v>2917</v>
      </c>
      <c r="J18" s="50">
        <v>77.900000000000006</v>
      </c>
      <c r="K18" s="50">
        <v>23.5</v>
      </c>
      <c r="L18" s="50">
        <v>43.5</v>
      </c>
      <c r="M18" s="50">
        <v>45</v>
      </c>
      <c r="N18" s="50">
        <v>8</v>
      </c>
      <c r="O18" s="50">
        <v>7.96</v>
      </c>
      <c r="P18" s="50">
        <v>2</v>
      </c>
      <c r="Q18" s="50">
        <v>16</v>
      </c>
      <c r="R18" s="50">
        <v>90.62</v>
      </c>
      <c r="S18" s="50">
        <f t="shared" si="0"/>
        <v>65.3</v>
      </c>
      <c r="T18" s="50" t="s">
        <v>1676</v>
      </c>
      <c r="U18" s="53" t="s">
        <v>266</v>
      </c>
    </row>
    <row r="19" spans="1:21" ht="15" customHeight="1" x14ac:dyDescent="0.25">
      <c r="A19" s="46" t="s">
        <v>4835</v>
      </c>
      <c r="B19" s="46" t="s">
        <v>2103</v>
      </c>
      <c r="C19" s="46" t="s">
        <v>4810</v>
      </c>
      <c r="D19" s="46" t="s">
        <v>4801</v>
      </c>
      <c r="E19" s="46">
        <v>51.9</v>
      </c>
      <c r="F19" s="46">
        <v>44</v>
      </c>
      <c r="G19" s="46">
        <v>16587</v>
      </c>
      <c r="H19" s="46">
        <v>26.2</v>
      </c>
      <c r="I19" s="46">
        <v>541</v>
      </c>
      <c r="J19" s="46">
        <v>79.900000000000006</v>
      </c>
      <c r="K19" s="46">
        <v>18.3</v>
      </c>
      <c r="L19" s="46">
        <v>27.3</v>
      </c>
      <c r="M19" s="46">
        <v>67.099999999999994</v>
      </c>
      <c r="N19" s="46">
        <v>4</v>
      </c>
      <c r="O19" s="46">
        <v>8.18</v>
      </c>
      <c r="P19" s="46">
        <v>6</v>
      </c>
      <c r="Q19" s="46">
        <v>15</v>
      </c>
      <c r="R19" s="46">
        <v>90.66</v>
      </c>
      <c r="S19" s="46">
        <f t="shared" si="0"/>
        <v>60.9</v>
      </c>
      <c r="T19" s="46" t="s">
        <v>1640</v>
      </c>
      <c r="U19" s="49" t="s">
        <v>321</v>
      </c>
    </row>
    <row r="20" spans="1:21" ht="15" customHeight="1" x14ac:dyDescent="0.25">
      <c r="A20" s="46" t="s">
        <v>4836</v>
      </c>
      <c r="B20" s="46" t="s">
        <v>2904</v>
      </c>
      <c r="C20" s="46" t="s">
        <v>4837</v>
      </c>
      <c r="D20" s="46" t="s">
        <v>4832</v>
      </c>
      <c r="E20" s="46">
        <v>16.3</v>
      </c>
      <c r="F20" s="46">
        <v>247</v>
      </c>
      <c r="G20" s="46">
        <v>26663</v>
      </c>
      <c r="H20" s="46">
        <v>20.3</v>
      </c>
      <c r="I20" s="46">
        <v>4719</v>
      </c>
      <c r="J20" s="46">
        <v>72.400000000000006</v>
      </c>
      <c r="K20" s="46">
        <v>34.1</v>
      </c>
      <c r="L20" s="46">
        <v>52.7</v>
      </c>
      <c r="M20" s="46">
        <v>69.5</v>
      </c>
      <c r="N20" s="46">
        <v>7</v>
      </c>
      <c r="O20" s="46">
        <v>4.0199999999999996</v>
      </c>
      <c r="P20" s="46">
        <v>1</v>
      </c>
      <c r="Q20" s="46">
        <v>7</v>
      </c>
      <c r="R20" s="46">
        <v>35.74</v>
      </c>
      <c r="S20" s="46">
        <f t="shared" si="0"/>
        <v>55.2</v>
      </c>
      <c r="T20" s="46" t="s">
        <v>1640</v>
      </c>
      <c r="U20" s="49" t="s">
        <v>321</v>
      </c>
    </row>
    <row r="21" spans="1:21" ht="15" customHeight="1" x14ac:dyDescent="0.25">
      <c r="A21" s="46" t="s">
        <v>4838</v>
      </c>
      <c r="B21" s="46" t="s">
        <v>1536</v>
      </c>
      <c r="C21" s="46" t="s">
        <v>4800</v>
      </c>
      <c r="D21" s="46" t="s">
        <v>4818</v>
      </c>
      <c r="E21" s="46">
        <v>37.6</v>
      </c>
      <c r="F21" s="46">
        <v>93</v>
      </c>
      <c r="G21" s="46">
        <v>45305</v>
      </c>
      <c r="H21" s="46">
        <v>51.8</v>
      </c>
      <c r="I21" s="46">
        <v>2901</v>
      </c>
      <c r="J21" s="46">
        <v>85.4</v>
      </c>
      <c r="K21" s="46">
        <v>6.4</v>
      </c>
      <c r="L21" s="46">
        <v>37.700000000000003</v>
      </c>
      <c r="M21" s="46">
        <v>72.400000000000006</v>
      </c>
      <c r="N21" s="46">
        <v>4</v>
      </c>
      <c r="O21" s="46">
        <v>6.45</v>
      </c>
      <c r="P21" s="46">
        <v>7</v>
      </c>
      <c r="Q21" s="46">
        <v>8</v>
      </c>
      <c r="R21" s="46">
        <v>8.6999999999999993</v>
      </c>
      <c r="S21" s="46">
        <f t="shared" si="0"/>
        <v>55.6</v>
      </c>
      <c r="T21" s="46" t="s">
        <v>1640</v>
      </c>
      <c r="U21" s="49" t="s">
        <v>321</v>
      </c>
    </row>
    <row r="22" spans="1:21" ht="15" customHeight="1" x14ac:dyDescent="0.25">
      <c r="A22" s="50" t="s">
        <v>4839</v>
      </c>
      <c r="B22" s="50" t="s">
        <v>4042</v>
      </c>
      <c r="C22" s="50" t="s">
        <v>4803</v>
      </c>
      <c r="D22" s="50" t="s">
        <v>4832</v>
      </c>
      <c r="E22" s="50">
        <v>42</v>
      </c>
      <c r="F22" s="50">
        <v>232</v>
      </c>
      <c r="G22" s="50">
        <v>10755</v>
      </c>
      <c r="H22" s="50">
        <v>29.6</v>
      </c>
      <c r="I22" s="50">
        <v>2847</v>
      </c>
      <c r="J22" s="50">
        <v>90.9</v>
      </c>
      <c r="K22" s="50">
        <v>29.5</v>
      </c>
      <c r="L22" s="50">
        <v>47.4</v>
      </c>
      <c r="M22" s="50">
        <v>82.4</v>
      </c>
      <c r="N22" s="50">
        <v>7</v>
      </c>
      <c r="O22" s="50">
        <v>5.09</v>
      </c>
      <c r="P22" s="50">
        <v>5</v>
      </c>
      <c r="Q22" s="50">
        <v>7</v>
      </c>
      <c r="R22" s="50">
        <v>26.82</v>
      </c>
      <c r="S22" s="50">
        <f t="shared" si="0"/>
        <v>65.3</v>
      </c>
      <c r="T22" s="50" t="s">
        <v>1676</v>
      </c>
      <c r="U22" s="53" t="s">
        <v>266</v>
      </c>
    </row>
    <row r="23" spans="1:21" ht="15" customHeight="1" x14ac:dyDescent="0.25">
      <c r="A23" s="46" t="s">
        <v>4840</v>
      </c>
      <c r="B23" s="46" t="s">
        <v>4806</v>
      </c>
      <c r="C23" s="46" t="s">
        <v>4817</v>
      </c>
      <c r="D23" s="46" t="s">
        <v>4825</v>
      </c>
      <c r="E23" s="46">
        <v>20</v>
      </c>
      <c r="F23" s="46">
        <v>96</v>
      </c>
      <c r="G23" s="46">
        <v>42529</v>
      </c>
      <c r="H23" s="46">
        <v>30</v>
      </c>
      <c r="I23" s="46">
        <v>1114</v>
      </c>
      <c r="J23" s="46">
        <v>85.8</v>
      </c>
      <c r="K23" s="46">
        <v>16</v>
      </c>
      <c r="L23" s="46">
        <v>43.9</v>
      </c>
      <c r="M23" s="46">
        <v>49.3</v>
      </c>
      <c r="N23" s="46">
        <v>0</v>
      </c>
      <c r="O23" s="46">
        <v>10.96</v>
      </c>
      <c r="P23" s="46">
        <v>0</v>
      </c>
      <c r="Q23" s="46">
        <v>18</v>
      </c>
      <c r="R23" s="46">
        <v>95.54</v>
      </c>
      <c r="S23" s="46">
        <f t="shared" si="0"/>
        <v>56.3</v>
      </c>
      <c r="T23" s="46" t="s">
        <v>1640</v>
      </c>
      <c r="U23" s="49" t="s">
        <v>321</v>
      </c>
    </row>
    <row r="24" spans="1:21" ht="15" customHeight="1" x14ac:dyDescent="0.25">
      <c r="A24" s="54" t="s">
        <v>4841</v>
      </c>
      <c r="B24" s="54" t="s">
        <v>3692</v>
      </c>
      <c r="C24" s="54" t="s">
        <v>4822</v>
      </c>
      <c r="D24" s="54" t="s">
        <v>4814</v>
      </c>
      <c r="E24" s="54">
        <v>19.3</v>
      </c>
      <c r="F24" s="54">
        <v>33</v>
      </c>
      <c r="G24" s="54">
        <v>26452</v>
      </c>
      <c r="H24" s="54">
        <v>51.6</v>
      </c>
      <c r="I24" s="54">
        <v>508</v>
      </c>
      <c r="J24" s="54">
        <v>67.900000000000006</v>
      </c>
      <c r="K24" s="54">
        <v>26</v>
      </c>
      <c r="L24" s="54">
        <v>42.4</v>
      </c>
      <c r="M24" s="54">
        <v>74.099999999999994</v>
      </c>
      <c r="N24" s="54">
        <v>2</v>
      </c>
      <c r="O24" s="54">
        <v>2.0699999999999998</v>
      </c>
      <c r="P24" s="54">
        <v>4</v>
      </c>
      <c r="Q24" s="54">
        <v>4</v>
      </c>
      <c r="R24" s="54">
        <v>12.63</v>
      </c>
      <c r="S24" s="54">
        <f t="shared" si="0"/>
        <v>46</v>
      </c>
      <c r="T24" s="54" t="s">
        <v>622</v>
      </c>
      <c r="U24" s="57" t="s">
        <v>495</v>
      </c>
    </row>
    <row r="25" spans="1:21" ht="15" customHeight="1" x14ac:dyDescent="0.25">
      <c r="A25" s="46" t="s">
        <v>4842</v>
      </c>
      <c r="B25" s="46" t="s">
        <v>2216</v>
      </c>
      <c r="C25" s="46" t="s">
        <v>4822</v>
      </c>
      <c r="D25" s="46" t="s">
        <v>4808</v>
      </c>
      <c r="E25" s="46">
        <v>36.4</v>
      </c>
      <c r="F25" s="46">
        <v>174</v>
      </c>
      <c r="G25" s="46">
        <v>39834</v>
      </c>
      <c r="H25" s="46">
        <v>13.4</v>
      </c>
      <c r="I25" s="46">
        <v>3325</v>
      </c>
      <c r="J25" s="46">
        <v>78.900000000000006</v>
      </c>
      <c r="K25" s="46">
        <v>2.7</v>
      </c>
      <c r="L25" s="46">
        <v>45.8</v>
      </c>
      <c r="M25" s="46">
        <v>81</v>
      </c>
      <c r="N25" s="46">
        <v>6</v>
      </c>
      <c r="O25" s="46">
        <v>7.86</v>
      </c>
      <c r="P25" s="46">
        <v>0</v>
      </c>
      <c r="Q25" s="46">
        <v>2</v>
      </c>
      <c r="R25" s="46">
        <v>80.45</v>
      </c>
      <c r="S25" s="46">
        <f t="shared" si="0"/>
        <v>62.9</v>
      </c>
      <c r="T25" s="46" t="s">
        <v>1640</v>
      </c>
      <c r="U25" s="49" t="s">
        <v>321</v>
      </c>
    </row>
    <row r="26" spans="1:21" ht="15" customHeight="1" x14ac:dyDescent="0.25">
      <c r="A26" s="54" t="s">
        <v>4843</v>
      </c>
      <c r="B26" s="54" t="s">
        <v>1818</v>
      </c>
      <c r="C26" s="54" t="s">
        <v>4810</v>
      </c>
      <c r="D26" s="54" t="s">
        <v>4820</v>
      </c>
      <c r="E26" s="54">
        <v>15.6</v>
      </c>
      <c r="F26" s="54">
        <v>57</v>
      </c>
      <c r="G26" s="54">
        <v>13380</v>
      </c>
      <c r="H26" s="54">
        <v>59.4</v>
      </c>
      <c r="I26" s="54">
        <v>4734</v>
      </c>
      <c r="J26" s="54">
        <v>65.2</v>
      </c>
      <c r="K26" s="54">
        <v>29.5</v>
      </c>
      <c r="L26" s="54">
        <v>26.7</v>
      </c>
      <c r="M26" s="54">
        <v>48.2</v>
      </c>
      <c r="N26" s="54">
        <v>3</v>
      </c>
      <c r="O26" s="54">
        <v>4.5</v>
      </c>
      <c r="P26" s="54">
        <v>8</v>
      </c>
      <c r="Q26" s="54">
        <v>12</v>
      </c>
      <c r="R26" s="54">
        <v>40.020000000000003</v>
      </c>
      <c r="S26" s="54">
        <f t="shared" si="0"/>
        <v>38.799999999999997</v>
      </c>
      <c r="T26" s="54" t="s">
        <v>622</v>
      </c>
      <c r="U26" s="57" t="s">
        <v>495</v>
      </c>
    </row>
    <row r="27" spans="1:21" ht="15" customHeight="1" x14ac:dyDescent="0.25">
      <c r="A27" s="54" t="s">
        <v>4844</v>
      </c>
      <c r="B27" s="54" t="s">
        <v>2021</v>
      </c>
      <c r="C27" s="54" t="s">
        <v>4800</v>
      </c>
      <c r="D27" s="54" t="s">
        <v>4825</v>
      </c>
      <c r="E27" s="54">
        <v>37.799999999999997</v>
      </c>
      <c r="F27" s="54">
        <v>74</v>
      </c>
      <c r="G27" s="54">
        <v>27817</v>
      </c>
      <c r="H27" s="54">
        <v>57.6</v>
      </c>
      <c r="I27" s="54">
        <v>3026</v>
      </c>
      <c r="J27" s="54">
        <v>73.3</v>
      </c>
      <c r="K27" s="54">
        <v>6.2</v>
      </c>
      <c r="L27" s="54">
        <v>30.5</v>
      </c>
      <c r="M27" s="54">
        <v>71.900000000000006</v>
      </c>
      <c r="N27" s="54">
        <v>6</v>
      </c>
      <c r="O27" s="54">
        <v>5.81</v>
      </c>
      <c r="P27" s="54">
        <v>4</v>
      </c>
      <c r="Q27" s="54">
        <v>12</v>
      </c>
      <c r="R27" s="54">
        <v>63.3</v>
      </c>
      <c r="S27" s="54">
        <f t="shared" si="0"/>
        <v>49.1</v>
      </c>
      <c r="T27" s="54" t="s">
        <v>622</v>
      </c>
      <c r="U27" s="57" t="s">
        <v>495</v>
      </c>
    </row>
    <row r="28" spans="1:21" ht="15" customHeight="1" x14ac:dyDescent="0.25">
      <c r="A28" s="46" t="s">
        <v>4845</v>
      </c>
      <c r="B28" s="46" t="s">
        <v>1278</v>
      </c>
      <c r="C28" s="46" t="s">
        <v>4837</v>
      </c>
      <c r="D28" s="46" t="s">
        <v>4814</v>
      </c>
      <c r="E28" s="46">
        <v>18.399999999999999</v>
      </c>
      <c r="F28" s="46">
        <v>90</v>
      </c>
      <c r="G28" s="46">
        <v>49611</v>
      </c>
      <c r="H28" s="46">
        <v>15.8</v>
      </c>
      <c r="I28" s="46">
        <v>2648</v>
      </c>
      <c r="J28" s="46">
        <v>86.2</v>
      </c>
      <c r="K28" s="46">
        <v>3.1</v>
      </c>
      <c r="L28" s="46">
        <v>44</v>
      </c>
      <c r="M28" s="46">
        <v>44.2</v>
      </c>
      <c r="N28" s="46">
        <v>8</v>
      </c>
      <c r="O28" s="46">
        <v>9.85</v>
      </c>
      <c r="P28" s="46">
        <v>5</v>
      </c>
      <c r="Q28" s="46">
        <v>13</v>
      </c>
      <c r="R28" s="46">
        <v>44.44</v>
      </c>
      <c r="S28" s="46">
        <f t="shared" si="0"/>
        <v>58.8</v>
      </c>
      <c r="T28" s="46" t="s">
        <v>1640</v>
      </c>
      <c r="U28" s="49" t="s">
        <v>321</v>
      </c>
    </row>
    <row r="29" spans="1:21" ht="15" customHeight="1" x14ac:dyDescent="0.25">
      <c r="A29" s="46" t="s">
        <v>4846</v>
      </c>
      <c r="B29" s="46" t="s">
        <v>4847</v>
      </c>
      <c r="C29" s="46" t="s">
        <v>4813</v>
      </c>
      <c r="D29" s="46" t="s">
        <v>4832</v>
      </c>
      <c r="E29" s="46">
        <v>40.5</v>
      </c>
      <c r="F29" s="46">
        <v>15</v>
      </c>
      <c r="G29" s="46">
        <v>11687</v>
      </c>
      <c r="H29" s="46">
        <v>63.8</v>
      </c>
      <c r="I29" s="46">
        <v>3127</v>
      </c>
      <c r="J29" s="46">
        <v>98</v>
      </c>
      <c r="K29" s="46">
        <v>25.6</v>
      </c>
      <c r="L29" s="46">
        <v>60.2</v>
      </c>
      <c r="M29" s="46">
        <v>73.900000000000006</v>
      </c>
      <c r="N29" s="46">
        <v>3</v>
      </c>
      <c r="O29" s="46">
        <v>6.68</v>
      </c>
      <c r="P29" s="46">
        <v>0</v>
      </c>
      <c r="Q29" s="46">
        <v>15</v>
      </c>
      <c r="R29" s="46">
        <v>45.4</v>
      </c>
      <c r="S29" s="46">
        <f t="shared" si="0"/>
        <v>63.2</v>
      </c>
      <c r="T29" s="46" t="s">
        <v>1640</v>
      </c>
      <c r="U29" s="49" t="s">
        <v>321</v>
      </c>
    </row>
    <row r="30" spans="1:21" ht="15" customHeight="1" x14ac:dyDescent="0.25">
      <c r="A30" s="46" t="s">
        <v>4848</v>
      </c>
      <c r="B30" s="46" t="s">
        <v>1340</v>
      </c>
      <c r="C30" s="46" t="s">
        <v>4822</v>
      </c>
      <c r="D30" s="46" t="s">
        <v>4814</v>
      </c>
      <c r="E30" s="46">
        <v>21.3</v>
      </c>
      <c r="F30" s="46">
        <v>45</v>
      </c>
      <c r="G30" s="46">
        <v>25815</v>
      </c>
      <c r="H30" s="46">
        <v>14.3</v>
      </c>
      <c r="I30" s="46">
        <v>2328</v>
      </c>
      <c r="J30" s="46">
        <v>72.400000000000006</v>
      </c>
      <c r="K30" s="46">
        <v>21.6</v>
      </c>
      <c r="L30" s="46">
        <v>30.8</v>
      </c>
      <c r="M30" s="46">
        <v>73.5</v>
      </c>
      <c r="N30" s="46">
        <v>4</v>
      </c>
      <c r="O30" s="46">
        <v>3.46</v>
      </c>
      <c r="P30" s="46">
        <v>6</v>
      </c>
      <c r="Q30" s="46">
        <v>0</v>
      </c>
      <c r="R30" s="46">
        <v>44.58</v>
      </c>
      <c r="S30" s="46">
        <f t="shared" si="0"/>
        <v>52.6</v>
      </c>
      <c r="T30" s="46" t="s">
        <v>1640</v>
      </c>
      <c r="U30" s="49" t="s">
        <v>321</v>
      </c>
    </row>
    <row r="31" spans="1:21" ht="15" customHeight="1" x14ac:dyDescent="0.25">
      <c r="A31" s="50" t="s">
        <v>4849</v>
      </c>
      <c r="B31" s="50" t="s">
        <v>648</v>
      </c>
      <c r="C31" s="50" t="s">
        <v>4810</v>
      </c>
      <c r="D31" s="50" t="s">
        <v>4818</v>
      </c>
      <c r="E31" s="50">
        <v>73.099999999999994</v>
      </c>
      <c r="F31" s="50">
        <v>26</v>
      </c>
      <c r="G31" s="50">
        <v>44166</v>
      </c>
      <c r="H31" s="50">
        <v>51.4</v>
      </c>
      <c r="I31" s="50">
        <v>4808</v>
      </c>
      <c r="J31" s="50">
        <v>88.7</v>
      </c>
      <c r="K31" s="50">
        <v>32.9</v>
      </c>
      <c r="L31" s="50">
        <v>44.5</v>
      </c>
      <c r="M31" s="50">
        <v>38.9</v>
      </c>
      <c r="N31" s="50">
        <v>7</v>
      </c>
      <c r="O31" s="50">
        <v>4.5</v>
      </c>
      <c r="P31" s="50">
        <v>1</v>
      </c>
      <c r="Q31" s="50">
        <v>4</v>
      </c>
      <c r="R31" s="50">
        <v>57.26</v>
      </c>
      <c r="S31" s="50">
        <f t="shared" si="0"/>
        <v>68.900000000000006</v>
      </c>
      <c r="T31" s="50" t="s">
        <v>1676</v>
      </c>
      <c r="U31" s="53" t="s">
        <v>266</v>
      </c>
    </row>
    <row r="32" spans="1:21" ht="15" customHeight="1" x14ac:dyDescent="0.25">
      <c r="A32" s="50" t="s">
        <v>4850</v>
      </c>
      <c r="B32" s="50" t="s">
        <v>2009</v>
      </c>
      <c r="C32" s="50" t="s">
        <v>4803</v>
      </c>
      <c r="D32" s="50" t="s">
        <v>4801</v>
      </c>
      <c r="E32" s="50">
        <v>70.5</v>
      </c>
      <c r="F32" s="50">
        <v>159</v>
      </c>
      <c r="G32" s="50">
        <v>11327</v>
      </c>
      <c r="H32" s="50">
        <v>24</v>
      </c>
      <c r="I32" s="50">
        <v>1021</v>
      </c>
      <c r="J32" s="50">
        <v>79.599999999999994</v>
      </c>
      <c r="K32" s="50">
        <v>10.4</v>
      </c>
      <c r="L32" s="50">
        <v>40.200000000000003</v>
      </c>
      <c r="M32" s="50">
        <v>66.2</v>
      </c>
      <c r="N32" s="50">
        <v>3</v>
      </c>
      <c r="O32" s="50">
        <v>6.21</v>
      </c>
      <c r="P32" s="50">
        <v>10</v>
      </c>
      <c r="Q32" s="50">
        <v>10</v>
      </c>
      <c r="R32" s="50">
        <v>66.3</v>
      </c>
      <c r="S32" s="50">
        <f t="shared" si="0"/>
        <v>69.900000000000006</v>
      </c>
      <c r="T32" s="50" t="s">
        <v>1676</v>
      </c>
      <c r="U32" s="53" t="s">
        <v>266</v>
      </c>
    </row>
    <row r="33" spans="1:21" ht="25.5" customHeight="1" x14ac:dyDescent="0.25">
      <c r="A33" s="46" t="s">
        <v>4851</v>
      </c>
      <c r="B33" s="46" t="s">
        <v>1511</v>
      </c>
      <c r="C33" s="46" t="s">
        <v>4803</v>
      </c>
      <c r="D33" s="46" t="s">
        <v>4818</v>
      </c>
      <c r="E33" s="46">
        <v>46.1</v>
      </c>
      <c r="F33" s="46">
        <v>94</v>
      </c>
      <c r="G33" s="46">
        <v>25353</v>
      </c>
      <c r="H33" s="46">
        <v>51.4</v>
      </c>
      <c r="I33" s="46">
        <v>4970</v>
      </c>
      <c r="J33" s="46">
        <v>95.5</v>
      </c>
      <c r="K33" s="46">
        <v>17.399999999999999</v>
      </c>
      <c r="L33" s="46">
        <v>28.5</v>
      </c>
      <c r="M33" s="46">
        <v>53.2</v>
      </c>
      <c r="N33" s="46">
        <v>4</v>
      </c>
      <c r="O33" s="46">
        <v>7.78</v>
      </c>
      <c r="P33" s="46">
        <v>11</v>
      </c>
      <c r="Q33" s="46">
        <v>6</v>
      </c>
      <c r="R33" s="46">
        <v>63.86</v>
      </c>
      <c r="S33" s="46">
        <f t="shared" si="0"/>
        <v>59</v>
      </c>
      <c r="T33" s="46" t="s">
        <v>1640</v>
      </c>
      <c r="U33" s="49" t="s">
        <v>321</v>
      </c>
    </row>
    <row r="34" spans="1:21" ht="25.5" customHeight="1" x14ac:dyDescent="0.25">
      <c r="A34" s="46" t="s">
        <v>4852</v>
      </c>
      <c r="B34" s="46" t="s">
        <v>1009</v>
      </c>
      <c r="C34" s="46" t="s">
        <v>4829</v>
      </c>
      <c r="D34" s="46" t="s">
        <v>4811</v>
      </c>
      <c r="E34" s="46">
        <v>52.6</v>
      </c>
      <c r="F34" s="46">
        <v>173</v>
      </c>
      <c r="G34" s="46">
        <v>32784</v>
      </c>
      <c r="H34" s="46">
        <v>9.3000000000000007</v>
      </c>
      <c r="I34" s="46">
        <v>3563</v>
      </c>
      <c r="J34" s="46">
        <v>92.2</v>
      </c>
      <c r="K34" s="46">
        <v>6.9</v>
      </c>
      <c r="L34" s="46">
        <v>14.2</v>
      </c>
      <c r="M34" s="46">
        <v>35.200000000000003</v>
      </c>
      <c r="N34" s="46">
        <v>4</v>
      </c>
      <c r="O34" s="46">
        <v>9.2100000000000009</v>
      </c>
      <c r="P34" s="46">
        <v>0</v>
      </c>
      <c r="Q34" s="46">
        <v>15</v>
      </c>
      <c r="R34" s="46">
        <v>40.49</v>
      </c>
      <c r="S34" s="46">
        <f t="shared" si="0"/>
        <v>65</v>
      </c>
      <c r="T34" s="46" t="s">
        <v>1640</v>
      </c>
      <c r="U34" s="49" t="s">
        <v>321</v>
      </c>
    </row>
    <row r="35" spans="1:21" ht="15" customHeight="1" x14ac:dyDescent="0.25">
      <c r="A35" s="46" t="s">
        <v>4853</v>
      </c>
      <c r="B35" s="46" t="s">
        <v>4854</v>
      </c>
      <c r="C35" s="46" t="s">
        <v>4803</v>
      </c>
      <c r="D35" s="46" t="s">
        <v>4801</v>
      </c>
      <c r="E35" s="46">
        <v>39.200000000000003</v>
      </c>
      <c r="F35" s="46">
        <v>97</v>
      </c>
      <c r="G35" s="46">
        <v>39411</v>
      </c>
      <c r="H35" s="46">
        <v>31.8</v>
      </c>
      <c r="I35" s="46">
        <v>1223</v>
      </c>
      <c r="J35" s="46">
        <v>98.8</v>
      </c>
      <c r="K35" s="46">
        <v>23.6</v>
      </c>
      <c r="L35" s="46">
        <v>12.1</v>
      </c>
      <c r="M35" s="46">
        <v>92</v>
      </c>
      <c r="N35" s="46">
        <v>4</v>
      </c>
      <c r="O35" s="46">
        <v>5.55</v>
      </c>
      <c r="P35" s="46">
        <v>3</v>
      </c>
      <c r="Q35" s="46">
        <v>9</v>
      </c>
      <c r="R35" s="46">
        <v>61.46</v>
      </c>
      <c r="S35" s="46">
        <f t="shared" ref="S35:S66" si="1">ROUND(0.3*E35+0.3*J35+0.2*(100-H35)+0.2*MIN(L35*1.2,100),1)</f>
        <v>57.9</v>
      </c>
      <c r="T35" s="46" t="s">
        <v>1640</v>
      </c>
      <c r="U35" s="49" t="s">
        <v>321</v>
      </c>
    </row>
    <row r="36" spans="1:21" ht="15" customHeight="1" x14ac:dyDescent="0.25">
      <c r="A36" s="46" t="s">
        <v>4855</v>
      </c>
      <c r="B36" s="46" t="s">
        <v>1440</v>
      </c>
      <c r="C36" s="46" t="s">
        <v>4829</v>
      </c>
      <c r="D36" s="46" t="s">
        <v>4801</v>
      </c>
      <c r="E36" s="46">
        <v>72.3</v>
      </c>
      <c r="F36" s="46">
        <v>173</v>
      </c>
      <c r="G36" s="46">
        <v>17697</v>
      </c>
      <c r="H36" s="46">
        <v>46</v>
      </c>
      <c r="I36" s="46">
        <v>4162</v>
      </c>
      <c r="J36" s="46">
        <v>69.5</v>
      </c>
      <c r="K36" s="46">
        <v>13</v>
      </c>
      <c r="L36" s="46">
        <v>28.7</v>
      </c>
      <c r="M36" s="46">
        <v>92.7</v>
      </c>
      <c r="N36" s="46">
        <v>5</v>
      </c>
      <c r="O36" s="46">
        <v>4.82</v>
      </c>
      <c r="P36" s="46">
        <v>1</v>
      </c>
      <c r="Q36" s="46">
        <v>7</v>
      </c>
      <c r="R36" s="46">
        <v>34.26</v>
      </c>
      <c r="S36" s="46">
        <f t="shared" si="1"/>
        <v>60.2</v>
      </c>
      <c r="T36" s="46" t="s">
        <v>1640</v>
      </c>
      <c r="U36" s="49" t="s">
        <v>321</v>
      </c>
    </row>
    <row r="37" spans="1:21" ht="15" customHeight="1" x14ac:dyDescent="0.25">
      <c r="A37" s="54" t="s">
        <v>4856</v>
      </c>
      <c r="B37" s="54" t="s">
        <v>2867</v>
      </c>
      <c r="C37" s="54" t="s">
        <v>4837</v>
      </c>
      <c r="D37" s="54" t="s">
        <v>4820</v>
      </c>
      <c r="E37" s="54">
        <v>21.7</v>
      </c>
      <c r="F37" s="54">
        <v>141</v>
      </c>
      <c r="G37" s="54">
        <v>22048</v>
      </c>
      <c r="H37" s="54">
        <v>57.3</v>
      </c>
      <c r="I37" s="54">
        <v>3264</v>
      </c>
      <c r="J37" s="54">
        <v>80.900000000000006</v>
      </c>
      <c r="K37" s="54">
        <v>22.1</v>
      </c>
      <c r="L37" s="54">
        <v>25.4</v>
      </c>
      <c r="M37" s="54">
        <v>49.3</v>
      </c>
      <c r="N37" s="54">
        <v>2</v>
      </c>
      <c r="O37" s="54">
        <v>6.44</v>
      </c>
      <c r="P37" s="54">
        <v>5</v>
      </c>
      <c r="Q37" s="54">
        <v>11</v>
      </c>
      <c r="R37" s="54">
        <v>55.27</v>
      </c>
      <c r="S37" s="54">
        <f t="shared" si="1"/>
        <v>45.4</v>
      </c>
      <c r="T37" s="54" t="s">
        <v>622</v>
      </c>
      <c r="U37" s="57" t="s">
        <v>495</v>
      </c>
    </row>
    <row r="38" spans="1:21" ht="15" customHeight="1" x14ac:dyDescent="0.25">
      <c r="A38" s="46" t="s">
        <v>4857</v>
      </c>
      <c r="B38" s="46" t="s">
        <v>1161</v>
      </c>
      <c r="C38" s="46" t="s">
        <v>4824</v>
      </c>
      <c r="D38" s="46" t="s">
        <v>4825</v>
      </c>
      <c r="E38" s="46">
        <v>49</v>
      </c>
      <c r="F38" s="46">
        <v>158</v>
      </c>
      <c r="G38" s="46">
        <v>20253</v>
      </c>
      <c r="H38" s="46">
        <v>54.6</v>
      </c>
      <c r="I38" s="46">
        <v>3166</v>
      </c>
      <c r="J38" s="46">
        <v>96.6</v>
      </c>
      <c r="K38" s="46">
        <v>4.3</v>
      </c>
      <c r="L38" s="46">
        <v>31.6</v>
      </c>
      <c r="M38" s="46">
        <v>37.700000000000003</v>
      </c>
      <c r="N38" s="46">
        <v>8</v>
      </c>
      <c r="O38" s="46">
        <v>9.2799999999999994</v>
      </c>
      <c r="P38" s="46">
        <v>4</v>
      </c>
      <c r="Q38" s="46">
        <v>20</v>
      </c>
      <c r="R38" s="46">
        <v>64.03</v>
      </c>
      <c r="S38" s="46">
        <f t="shared" si="1"/>
        <v>60.3</v>
      </c>
      <c r="T38" s="46" t="s">
        <v>1640</v>
      </c>
      <c r="U38" s="49" t="s">
        <v>321</v>
      </c>
    </row>
    <row r="39" spans="1:21" ht="15" customHeight="1" x14ac:dyDescent="0.25">
      <c r="A39" s="46" t="s">
        <v>4858</v>
      </c>
      <c r="B39" s="46" t="s">
        <v>1081</v>
      </c>
      <c r="C39" s="46" t="s">
        <v>4807</v>
      </c>
      <c r="D39" s="46" t="s">
        <v>4814</v>
      </c>
      <c r="E39" s="46">
        <v>31.7</v>
      </c>
      <c r="F39" s="46">
        <v>194</v>
      </c>
      <c r="G39" s="46">
        <v>48738</v>
      </c>
      <c r="H39" s="46">
        <v>43.6</v>
      </c>
      <c r="I39" s="46">
        <v>2673</v>
      </c>
      <c r="J39" s="46">
        <v>80.099999999999994</v>
      </c>
      <c r="K39" s="46">
        <v>11.2</v>
      </c>
      <c r="L39" s="46">
        <v>35.200000000000003</v>
      </c>
      <c r="M39" s="46">
        <v>50.1</v>
      </c>
      <c r="N39" s="46">
        <v>7</v>
      </c>
      <c r="O39" s="46">
        <v>7.6</v>
      </c>
      <c r="P39" s="46">
        <v>1</v>
      </c>
      <c r="Q39" s="46">
        <v>8</v>
      </c>
      <c r="R39" s="46">
        <v>72.95</v>
      </c>
      <c r="S39" s="46">
        <f t="shared" si="1"/>
        <v>53.3</v>
      </c>
      <c r="T39" s="46" t="s">
        <v>1640</v>
      </c>
      <c r="U39" s="49" t="s">
        <v>321</v>
      </c>
    </row>
    <row r="40" spans="1:21" ht="15" customHeight="1" x14ac:dyDescent="0.25">
      <c r="A40" s="46" t="s">
        <v>4859</v>
      </c>
      <c r="B40" s="46" t="s">
        <v>1718</v>
      </c>
      <c r="C40" s="46" t="s">
        <v>4824</v>
      </c>
      <c r="D40" s="46" t="s">
        <v>4818</v>
      </c>
      <c r="E40" s="46">
        <v>65.400000000000006</v>
      </c>
      <c r="F40" s="46">
        <v>211</v>
      </c>
      <c r="G40" s="46">
        <v>45951</v>
      </c>
      <c r="H40" s="46">
        <v>18.2</v>
      </c>
      <c r="I40" s="46">
        <v>2582</v>
      </c>
      <c r="J40" s="46">
        <v>69.2</v>
      </c>
      <c r="K40" s="46">
        <v>12.9</v>
      </c>
      <c r="L40" s="46">
        <v>25.8</v>
      </c>
      <c r="M40" s="46">
        <v>55.4</v>
      </c>
      <c r="N40" s="46">
        <v>0</v>
      </c>
      <c r="O40" s="46">
        <v>6.22</v>
      </c>
      <c r="P40" s="46">
        <v>3</v>
      </c>
      <c r="Q40" s="46">
        <v>15</v>
      </c>
      <c r="R40" s="46">
        <v>93.88</v>
      </c>
      <c r="S40" s="46">
        <f t="shared" si="1"/>
        <v>62.9</v>
      </c>
      <c r="T40" s="46" t="s">
        <v>1640</v>
      </c>
      <c r="U40" s="49" t="s">
        <v>321</v>
      </c>
    </row>
    <row r="41" spans="1:21" ht="15" customHeight="1" x14ac:dyDescent="0.25">
      <c r="A41" s="54" t="s">
        <v>4860</v>
      </c>
      <c r="B41" s="54" t="s">
        <v>931</v>
      </c>
      <c r="C41" s="54" t="s">
        <v>4807</v>
      </c>
      <c r="D41" s="54" t="s">
        <v>4804</v>
      </c>
      <c r="E41" s="54">
        <v>23.6</v>
      </c>
      <c r="F41" s="54">
        <v>11</v>
      </c>
      <c r="G41" s="54">
        <v>13014</v>
      </c>
      <c r="H41" s="54">
        <v>40.700000000000003</v>
      </c>
      <c r="I41" s="54">
        <v>3380</v>
      </c>
      <c r="J41" s="54">
        <v>68.400000000000006</v>
      </c>
      <c r="K41" s="54">
        <v>3.6</v>
      </c>
      <c r="L41" s="54">
        <v>27.6</v>
      </c>
      <c r="M41" s="54">
        <v>75.7</v>
      </c>
      <c r="N41" s="54">
        <v>0</v>
      </c>
      <c r="O41" s="54">
        <v>9.1</v>
      </c>
      <c r="P41" s="54">
        <v>7</v>
      </c>
      <c r="Q41" s="54">
        <v>1</v>
      </c>
      <c r="R41" s="54">
        <v>94.01</v>
      </c>
      <c r="S41" s="54">
        <f t="shared" si="1"/>
        <v>46.1</v>
      </c>
      <c r="T41" s="54" t="s">
        <v>622</v>
      </c>
      <c r="U41" s="57" t="s">
        <v>495</v>
      </c>
    </row>
    <row r="42" spans="1:21" ht="15" customHeight="1" x14ac:dyDescent="0.25">
      <c r="A42" s="50" t="s">
        <v>4861</v>
      </c>
      <c r="B42" s="50" t="s">
        <v>2098</v>
      </c>
      <c r="C42" s="50" t="s">
        <v>4824</v>
      </c>
      <c r="D42" s="50" t="s">
        <v>4820</v>
      </c>
      <c r="E42" s="50">
        <v>55.2</v>
      </c>
      <c r="F42" s="50">
        <v>130</v>
      </c>
      <c r="G42" s="50">
        <v>36085</v>
      </c>
      <c r="H42" s="50">
        <v>29.8</v>
      </c>
      <c r="I42" s="50">
        <v>1658</v>
      </c>
      <c r="J42" s="50">
        <v>97.1</v>
      </c>
      <c r="K42" s="50">
        <v>11.6</v>
      </c>
      <c r="L42" s="50">
        <v>49.2</v>
      </c>
      <c r="M42" s="50">
        <v>58.9</v>
      </c>
      <c r="N42" s="50">
        <v>2</v>
      </c>
      <c r="O42" s="50">
        <v>1.32</v>
      </c>
      <c r="P42" s="50">
        <v>12</v>
      </c>
      <c r="Q42" s="50">
        <v>11</v>
      </c>
      <c r="R42" s="50">
        <v>57.83</v>
      </c>
      <c r="S42" s="50">
        <f t="shared" si="1"/>
        <v>71.5</v>
      </c>
      <c r="T42" s="50" t="s">
        <v>1676</v>
      </c>
      <c r="U42" s="53" t="s">
        <v>266</v>
      </c>
    </row>
    <row r="43" spans="1:21" ht="15" customHeight="1" x14ac:dyDescent="0.25">
      <c r="A43" s="46" t="s">
        <v>4862</v>
      </c>
      <c r="B43" s="46" t="s">
        <v>2236</v>
      </c>
      <c r="C43" s="46" t="s">
        <v>4822</v>
      </c>
      <c r="D43" s="46" t="s">
        <v>4811</v>
      </c>
      <c r="E43" s="46">
        <v>46.2</v>
      </c>
      <c r="F43" s="46">
        <v>178</v>
      </c>
      <c r="G43" s="46">
        <v>16883</v>
      </c>
      <c r="H43" s="46">
        <v>24.9</v>
      </c>
      <c r="I43" s="46">
        <v>1821</v>
      </c>
      <c r="J43" s="46">
        <v>91.9</v>
      </c>
      <c r="K43" s="46">
        <v>17.600000000000001</v>
      </c>
      <c r="L43" s="46">
        <v>20.6</v>
      </c>
      <c r="M43" s="46">
        <v>87.8</v>
      </c>
      <c r="N43" s="46">
        <v>5</v>
      </c>
      <c r="O43" s="46">
        <v>8.44</v>
      </c>
      <c r="P43" s="46">
        <v>9</v>
      </c>
      <c r="Q43" s="46">
        <v>13</v>
      </c>
      <c r="R43" s="46">
        <v>4.55</v>
      </c>
      <c r="S43" s="46">
        <f t="shared" si="1"/>
        <v>61.4</v>
      </c>
      <c r="T43" s="46" t="s">
        <v>1640</v>
      </c>
      <c r="U43" s="49" t="s">
        <v>321</v>
      </c>
    </row>
    <row r="44" spans="1:21" ht="25.5" customHeight="1" x14ac:dyDescent="0.25">
      <c r="A44" s="46" t="s">
        <v>4863</v>
      </c>
      <c r="B44" s="46" t="s">
        <v>4060</v>
      </c>
      <c r="C44" s="46" t="s">
        <v>4837</v>
      </c>
      <c r="D44" s="46" t="s">
        <v>4814</v>
      </c>
      <c r="E44" s="46">
        <v>24.3</v>
      </c>
      <c r="F44" s="46">
        <v>142</v>
      </c>
      <c r="G44" s="46">
        <v>14550</v>
      </c>
      <c r="H44" s="46">
        <v>19.7</v>
      </c>
      <c r="I44" s="46">
        <v>899</v>
      </c>
      <c r="J44" s="46">
        <v>97.9</v>
      </c>
      <c r="K44" s="46">
        <v>8.8000000000000007</v>
      </c>
      <c r="L44" s="46">
        <v>27.5</v>
      </c>
      <c r="M44" s="46">
        <v>41.4</v>
      </c>
      <c r="N44" s="46">
        <v>3</v>
      </c>
      <c r="O44" s="46">
        <v>7.35</v>
      </c>
      <c r="P44" s="46">
        <v>1</v>
      </c>
      <c r="Q44" s="46">
        <v>8</v>
      </c>
      <c r="R44" s="46">
        <v>18.96</v>
      </c>
      <c r="S44" s="46">
        <f t="shared" si="1"/>
        <v>59.3</v>
      </c>
      <c r="T44" s="46" t="s">
        <v>1640</v>
      </c>
      <c r="U44" s="49" t="s">
        <v>321</v>
      </c>
    </row>
    <row r="45" spans="1:21" ht="15" customHeight="1" x14ac:dyDescent="0.25">
      <c r="A45" s="46" t="s">
        <v>4864</v>
      </c>
      <c r="B45" s="46" t="s">
        <v>1868</v>
      </c>
      <c r="C45" s="46" t="s">
        <v>4837</v>
      </c>
      <c r="D45" s="46" t="s">
        <v>4820</v>
      </c>
      <c r="E45" s="46">
        <v>26.5</v>
      </c>
      <c r="F45" s="46">
        <v>167</v>
      </c>
      <c r="G45" s="46">
        <v>20800</v>
      </c>
      <c r="H45" s="46">
        <v>63.5</v>
      </c>
      <c r="I45" s="46">
        <v>2057</v>
      </c>
      <c r="J45" s="46">
        <v>79.7</v>
      </c>
      <c r="K45" s="46">
        <v>29.9</v>
      </c>
      <c r="L45" s="46">
        <v>65</v>
      </c>
      <c r="M45" s="46">
        <v>53.8</v>
      </c>
      <c r="N45" s="46">
        <v>6</v>
      </c>
      <c r="O45" s="46">
        <v>5.3</v>
      </c>
      <c r="P45" s="46">
        <v>1</v>
      </c>
      <c r="Q45" s="46">
        <v>8</v>
      </c>
      <c r="R45" s="46">
        <v>52.02</v>
      </c>
      <c r="S45" s="46">
        <f t="shared" si="1"/>
        <v>54.8</v>
      </c>
      <c r="T45" s="46" t="s">
        <v>1640</v>
      </c>
      <c r="U45" s="49" t="s">
        <v>321</v>
      </c>
    </row>
    <row r="46" spans="1:21" ht="15" customHeight="1" x14ac:dyDescent="0.25">
      <c r="A46" s="50" t="s">
        <v>4865</v>
      </c>
      <c r="B46" s="50" t="s">
        <v>2105</v>
      </c>
      <c r="C46" s="50" t="s">
        <v>4829</v>
      </c>
      <c r="D46" s="50" t="s">
        <v>4804</v>
      </c>
      <c r="E46" s="50">
        <v>61.5</v>
      </c>
      <c r="F46" s="50">
        <v>239</v>
      </c>
      <c r="G46" s="50">
        <v>30402</v>
      </c>
      <c r="H46" s="50">
        <v>44.8</v>
      </c>
      <c r="I46" s="50">
        <v>2070</v>
      </c>
      <c r="J46" s="50">
        <v>92.4</v>
      </c>
      <c r="K46" s="50">
        <v>27.3</v>
      </c>
      <c r="L46" s="50">
        <v>33.4</v>
      </c>
      <c r="M46" s="50">
        <v>56.9</v>
      </c>
      <c r="N46" s="50">
        <v>2</v>
      </c>
      <c r="O46" s="50">
        <v>4.68</v>
      </c>
      <c r="P46" s="50">
        <v>0</v>
      </c>
      <c r="Q46" s="50">
        <v>16</v>
      </c>
      <c r="R46" s="50">
        <v>17.41</v>
      </c>
      <c r="S46" s="50">
        <f t="shared" si="1"/>
        <v>65.2</v>
      </c>
      <c r="T46" s="50" t="s">
        <v>1676</v>
      </c>
      <c r="U46" s="53" t="s">
        <v>266</v>
      </c>
    </row>
    <row r="47" spans="1:21" ht="25.5" customHeight="1" x14ac:dyDescent="0.25">
      <c r="A47" s="54" t="s">
        <v>4866</v>
      </c>
      <c r="B47" s="54" t="s">
        <v>1417</v>
      </c>
      <c r="C47" s="54" t="s">
        <v>4813</v>
      </c>
      <c r="D47" s="54" t="s">
        <v>4811</v>
      </c>
      <c r="E47" s="54">
        <v>31.6</v>
      </c>
      <c r="F47" s="54">
        <v>191</v>
      </c>
      <c r="G47" s="54">
        <v>31359</v>
      </c>
      <c r="H47" s="54">
        <v>53.2</v>
      </c>
      <c r="I47" s="54">
        <v>2366</v>
      </c>
      <c r="J47" s="54">
        <v>89.1</v>
      </c>
      <c r="K47" s="54">
        <v>28.2</v>
      </c>
      <c r="L47" s="54">
        <v>14.2</v>
      </c>
      <c r="M47" s="54">
        <v>65.400000000000006</v>
      </c>
      <c r="N47" s="54">
        <v>8</v>
      </c>
      <c r="O47" s="54">
        <v>4.68</v>
      </c>
      <c r="P47" s="54">
        <v>9</v>
      </c>
      <c r="Q47" s="54">
        <v>3</v>
      </c>
      <c r="R47" s="54">
        <v>8.85</v>
      </c>
      <c r="S47" s="54">
        <f t="shared" si="1"/>
        <v>49</v>
      </c>
      <c r="T47" s="54" t="s">
        <v>622</v>
      </c>
      <c r="U47" s="57" t="s">
        <v>495</v>
      </c>
    </row>
    <row r="48" spans="1:21" ht="25.5" customHeight="1" x14ac:dyDescent="0.25">
      <c r="A48" s="50" t="s">
        <v>4867</v>
      </c>
      <c r="B48" s="50" t="s">
        <v>1158</v>
      </c>
      <c r="C48" s="50" t="s">
        <v>4813</v>
      </c>
      <c r="D48" s="50" t="s">
        <v>4808</v>
      </c>
      <c r="E48" s="50">
        <v>70.8</v>
      </c>
      <c r="F48" s="50">
        <v>47</v>
      </c>
      <c r="G48" s="50">
        <v>5451</v>
      </c>
      <c r="H48" s="50">
        <v>19.399999999999999</v>
      </c>
      <c r="I48" s="50">
        <v>1563</v>
      </c>
      <c r="J48" s="50">
        <v>76</v>
      </c>
      <c r="K48" s="50">
        <v>6.4</v>
      </c>
      <c r="L48" s="50">
        <v>29.5</v>
      </c>
      <c r="M48" s="50">
        <v>90.4</v>
      </c>
      <c r="N48" s="50">
        <v>7</v>
      </c>
      <c r="O48" s="50">
        <v>9.48</v>
      </c>
      <c r="P48" s="50">
        <v>8</v>
      </c>
      <c r="Q48" s="50">
        <v>18</v>
      </c>
      <c r="R48" s="50">
        <v>80.599999999999994</v>
      </c>
      <c r="S48" s="50">
        <f t="shared" si="1"/>
        <v>67.2</v>
      </c>
      <c r="T48" s="50" t="s">
        <v>1676</v>
      </c>
      <c r="U48" s="53" t="s">
        <v>266</v>
      </c>
    </row>
    <row r="49" spans="1:21" ht="15" customHeight="1" x14ac:dyDescent="0.25">
      <c r="A49" s="50" t="s">
        <v>4868</v>
      </c>
      <c r="B49" s="50" t="s">
        <v>2516</v>
      </c>
      <c r="C49" s="50" t="s">
        <v>4817</v>
      </c>
      <c r="D49" s="50" t="s">
        <v>4820</v>
      </c>
      <c r="E49" s="50">
        <v>42.6</v>
      </c>
      <c r="F49" s="50">
        <v>199</v>
      </c>
      <c r="G49" s="50">
        <v>21371</v>
      </c>
      <c r="H49" s="50">
        <v>31</v>
      </c>
      <c r="I49" s="50">
        <v>2363</v>
      </c>
      <c r="J49" s="50">
        <v>86.4</v>
      </c>
      <c r="K49" s="50">
        <v>10.3</v>
      </c>
      <c r="L49" s="50">
        <v>64.5</v>
      </c>
      <c r="M49" s="50">
        <v>77</v>
      </c>
      <c r="N49" s="50">
        <v>2</v>
      </c>
      <c r="O49" s="50">
        <v>4.5</v>
      </c>
      <c r="P49" s="50">
        <v>5</v>
      </c>
      <c r="Q49" s="50">
        <v>8</v>
      </c>
      <c r="R49" s="50">
        <v>28.64</v>
      </c>
      <c r="S49" s="50">
        <f t="shared" si="1"/>
        <v>68</v>
      </c>
      <c r="T49" s="50" t="s">
        <v>1676</v>
      </c>
      <c r="U49" s="53" t="s">
        <v>266</v>
      </c>
    </row>
    <row r="50" spans="1:21" ht="15" customHeight="1" x14ac:dyDescent="0.25">
      <c r="A50" s="54" t="s">
        <v>4869</v>
      </c>
      <c r="B50" s="54" t="s">
        <v>1772</v>
      </c>
      <c r="C50" s="54" t="s">
        <v>4800</v>
      </c>
      <c r="D50" s="54" t="s">
        <v>4832</v>
      </c>
      <c r="E50" s="54">
        <v>21.8</v>
      </c>
      <c r="F50" s="54">
        <v>202</v>
      </c>
      <c r="G50" s="54">
        <v>45558</v>
      </c>
      <c r="H50" s="54">
        <v>36</v>
      </c>
      <c r="I50" s="54">
        <v>3006</v>
      </c>
      <c r="J50" s="54">
        <v>67.900000000000006</v>
      </c>
      <c r="K50" s="54">
        <v>14</v>
      </c>
      <c r="L50" s="54">
        <v>34.299999999999997</v>
      </c>
      <c r="M50" s="54">
        <v>65.7</v>
      </c>
      <c r="N50" s="54">
        <v>0</v>
      </c>
      <c r="O50" s="54">
        <v>8.25</v>
      </c>
      <c r="P50" s="54">
        <v>2</v>
      </c>
      <c r="Q50" s="54">
        <v>1</v>
      </c>
      <c r="R50" s="54">
        <v>20.61</v>
      </c>
      <c r="S50" s="54">
        <f t="shared" si="1"/>
        <v>47.9</v>
      </c>
      <c r="T50" s="54" t="s">
        <v>622</v>
      </c>
      <c r="U50" s="57" t="s">
        <v>495</v>
      </c>
    </row>
    <row r="51" spans="1:21" ht="15" customHeight="1" x14ac:dyDescent="0.25">
      <c r="A51" s="46" t="s">
        <v>4870</v>
      </c>
      <c r="B51" s="46" t="s">
        <v>2867</v>
      </c>
      <c r="C51" s="46" t="s">
        <v>4822</v>
      </c>
      <c r="D51" s="46" t="s">
        <v>4801</v>
      </c>
      <c r="E51" s="46">
        <v>63.3</v>
      </c>
      <c r="F51" s="46">
        <v>60</v>
      </c>
      <c r="G51" s="46">
        <v>29634</v>
      </c>
      <c r="H51" s="46">
        <v>54.9</v>
      </c>
      <c r="I51" s="46">
        <v>3713</v>
      </c>
      <c r="J51" s="46">
        <v>82.4</v>
      </c>
      <c r="K51" s="46">
        <v>27.5</v>
      </c>
      <c r="L51" s="46">
        <v>39.9</v>
      </c>
      <c r="M51" s="46">
        <v>88.9</v>
      </c>
      <c r="N51" s="46">
        <v>7</v>
      </c>
      <c r="O51" s="46">
        <v>11.27</v>
      </c>
      <c r="P51" s="46">
        <v>4</v>
      </c>
      <c r="Q51" s="46">
        <v>12</v>
      </c>
      <c r="R51" s="46">
        <v>67.08</v>
      </c>
      <c r="S51" s="46">
        <f t="shared" si="1"/>
        <v>62.3</v>
      </c>
      <c r="T51" s="46" t="s">
        <v>1640</v>
      </c>
      <c r="U51" s="49" t="s">
        <v>321</v>
      </c>
    </row>
    <row r="52" spans="1:21" ht="15" customHeight="1" x14ac:dyDescent="0.25">
      <c r="A52" s="46" t="s">
        <v>4871</v>
      </c>
      <c r="B52" s="46" t="s">
        <v>1073</v>
      </c>
      <c r="C52" s="46" t="s">
        <v>4810</v>
      </c>
      <c r="D52" s="46" t="s">
        <v>4801</v>
      </c>
      <c r="E52" s="46">
        <v>33.299999999999997</v>
      </c>
      <c r="F52" s="46">
        <v>138</v>
      </c>
      <c r="G52" s="46">
        <v>16479</v>
      </c>
      <c r="H52" s="46">
        <v>15.3</v>
      </c>
      <c r="I52" s="46">
        <v>2851</v>
      </c>
      <c r="J52" s="46">
        <v>74.099999999999994</v>
      </c>
      <c r="K52" s="46">
        <v>3</v>
      </c>
      <c r="L52" s="46">
        <v>11.3</v>
      </c>
      <c r="M52" s="46">
        <v>46.1</v>
      </c>
      <c r="N52" s="46">
        <v>2</v>
      </c>
      <c r="O52" s="46">
        <v>6.5</v>
      </c>
      <c r="P52" s="46">
        <v>6</v>
      </c>
      <c r="Q52" s="46">
        <v>0</v>
      </c>
      <c r="R52" s="46">
        <v>19.559999999999999</v>
      </c>
      <c r="S52" s="46">
        <f t="shared" si="1"/>
        <v>51.9</v>
      </c>
      <c r="T52" s="46" t="s">
        <v>1640</v>
      </c>
      <c r="U52" s="49" t="s">
        <v>321</v>
      </c>
    </row>
    <row r="53" spans="1:21" ht="15" customHeight="1" x14ac:dyDescent="0.25">
      <c r="A53" s="50" t="s">
        <v>4872</v>
      </c>
      <c r="B53" s="50" t="s">
        <v>1856</v>
      </c>
      <c r="C53" s="50" t="s">
        <v>4837</v>
      </c>
      <c r="D53" s="50" t="s">
        <v>4811</v>
      </c>
      <c r="E53" s="50">
        <v>79.400000000000006</v>
      </c>
      <c r="F53" s="50">
        <v>124</v>
      </c>
      <c r="G53" s="50">
        <v>32147</v>
      </c>
      <c r="H53" s="50">
        <v>5.9</v>
      </c>
      <c r="I53" s="50">
        <v>4894</v>
      </c>
      <c r="J53" s="50">
        <v>65.400000000000006</v>
      </c>
      <c r="K53" s="50">
        <v>15.3</v>
      </c>
      <c r="L53" s="50">
        <v>48.2</v>
      </c>
      <c r="M53" s="50">
        <v>61.1</v>
      </c>
      <c r="N53" s="50">
        <v>8</v>
      </c>
      <c r="O53" s="50">
        <v>2.85</v>
      </c>
      <c r="P53" s="50">
        <v>7</v>
      </c>
      <c r="Q53" s="50">
        <v>12</v>
      </c>
      <c r="R53" s="50">
        <v>14.44</v>
      </c>
      <c r="S53" s="50">
        <f t="shared" si="1"/>
        <v>73.8</v>
      </c>
      <c r="T53" s="50" t="s">
        <v>1676</v>
      </c>
      <c r="U53" s="53" t="s">
        <v>266</v>
      </c>
    </row>
    <row r="54" spans="1:21" ht="15" customHeight="1" x14ac:dyDescent="0.25">
      <c r="A54" s="46" t="s">
        <v>4873</v>
      </c>
      <c r="B54" s="46" t="s">
        <v>1868</v>
      </c>
      <c r="C54" s="46" t="s">
        <v>4817</v>
      </c>
      <c r="D54" s="46" t="s">
        <v>4804</v>
      </c>
      <c r="E54" s="46">
        <v>48.8</v>
      </c>
      <c r="F54" s="46">
        <v>172</v>
      </c>
      <c r="G54" s="46">
        <v>32139</v>
      </c>
      <c r="H54" s="46">
        <v>45.7</v>
      </c>
      <c r="I54" s="46">
        <v>738</v>
      </c>
      <c r="J54" s="46">
        <v>86.6</v>
      </c>
      <c r="K54" s="46">
        <v>7.3</v>
      </c>
      <c r="L54" s="46">
        <v>11.1</v>
      </c>
      <c r="M54" s="46">
        <v>43.8</v>
      </c>
      <c r="N54" s="46">
        <v>4</v>
      </c>
      <c r="O54" s="46">
        <v>6.55</v>
      </c>
      <c r="P54" s="46">
        <v>8</v>
      </c>
      <c r="Q54" s="46">
        <v>12</v>
      </c>
      <c r="R54" s="46">
        <v>56.09</v>
      </c>
      <c r="S54" s="46">
        <f t="shared" si="1"/>
        <v>54.1</v>
      </c>
      <c r="T54" s="46" t="s">
        <v>1640</v>
      </c>
      <c r="U54" s="49" t="s">
        <v>321</v>
      </c>
    </row>
    <row r="55" spans="1:21" ht="15" customHeight="1" x14ac:dyDescent="0.25">
      <c r="A55" s="50" t="s">
        <v>4874</v>
      </c>
      <c r="B55" s="50" t="s">
        <v>4875</v>
      </c>
      <c r="C55" s="50" t="s">
        <v>4803</v>
      </c>
      <c r="D55" s="50" t="s">
        <v>4801</v>
      </c>
      <c r="E55" s="50">
        <v>50.1</v>
      </c>
      <c r="F55" s="50">
        <v>213</v>
      </c>
      <c r="G55" s="50">
        <v>38137</v>
      </c>
      <c r="H55" s="50">
        <v>16.8</v>
      </c>
      <c r="I55" s="50">
        <v>2052</v>
      </c>
      <c r="J55" s="50">
        <v>95.1</v>
      </c>
      <c r="K55" s="50">
        <v>23.8</v>
      </c>
      <c r="L55" s="50">
        <v>30.2</v>
      </c>
      <c r="M55" s="50">
        <v>52.8</v>
      </c>
      <c r="N55" s="50">
        <v>5</v>
      </c>
      <c r="O55" s="50">
        <v>9.5500000000000007</v>
      </c>
      <c r="P55" s="50">
        <v>4</v>
      </c>
      <c r="Q55" s="50">
        <v>19</v>
      </c>
      <c r="R55" s="50">
        <v>42.94</v>
      </c>
      <c r="S55" s="50">
        <f t="shared" si="1"/>
        <v>67.400000000000006</v>
      </c>
      <c r="T55" s="50" t="s">
        <v>1676</v>
      </c>
      <c r="U55" s="53" t="s">
        <v>266</v>
      </c>
    </row>
    <row r="56" spans="1:21" ht="15" customHeight="1" x14ac:dyDescent="0.25">
      <c r="A56" s="46" t="s">
        <v>4876</v>
      </c>
      <c r="B56" s="46" t="s">
        <v>4877</v>
      </c>
      <c r="C56" s="46" t="s">
        <v>4800</v>
      </c>
      <c r="D56" s="46" t="s">
        <v>4801</v>
      </c>
      <c r="E56" s="46">
        <v>43.1</v>
      </c>
      <c r="F56" s="46">
        <v>87</v>
      </c>
      <c r="G56" s="46">
        <v>47549</v>
      </c>
      <c r="H56" s="46">
        <v>59.2</v>
      </c>
      <c r="I56" s="46">
        <v>2089</v>
      </c>
      <c r="J56" s="46">
        <v>85.7</v>
      </c>
      <c r="K56" s="46">
        <v>1.7</v>
      </c>
      <c r="L56" s="46">
        <v>56</v>
      </c>
      <c r="M56" s="46">
        <v>50</v>
      </c>
      <c r="N56" s="46">
        <v>0</v>
      </c>
      <c r="O56" s="46">
        <v>11.58</v>
      </c>
      <c r="P56" s="46">
        <v>11</v>
      </c>
      <c r="Q56" s="46">
        <v>15</v>
      </c>
      <c r="R56" s="46">
        <v>64.52</v>
      </c>
      <c r="S56" s="46">
        <f t="shared" si="1"/>
        <v>60.2</v>
      </c>
      <c r="T56" s="46" t="s">
        <v>1640</v>
      </c>
      <c r="U56" s="49" t="s">
        <v>321</v>
      </c>
    </row>
    <row r="57" spans="1:21" ht="15" customHeight="1" x14ac:dyDescent="0.25">
      <c r="A57" s="46" t="s">
        <v>4878</v>
      </c>
      <c r="B57" s="46" t="s">
        <v>2302</v>
      </c>
      <c r="C57" s="46" t="s">
        <v>4803</v>
      </c>
      <c r="D57" s="46" t="s">
        <v>4814</v>
      </c>
      <c r="E57" s="46">
        <v>38.5</v>
      </c>
      <c r="F57" s="46">
        <v>174</v>
      </c>
      <c r="G57" s="46">
        <v>8003</v>
      </c>
      <c r="H57" s="46">
        <v>46.7</v>
      </c>
      <c r="I57" s="46">
        <v>3891</v>
      </c>
      <c r="J57" s="46">
        <v>88.2</v>
      </c>
      <c r="K57" s="46">
        <v>5.2</v>
      </c>
      <c r="L57" s="46">
        <v>9.5</v>
      </c>
      <c r="M57" s="46">
        <v>86.8</v>
      </c>
      <c r="N57" s="46">
        <v>8</v>
      </c>
      <c r="O57" s="46">
        <v>6.89</v>
      </c>
      <c r="P57" s="46">
        <v>3</v>
      </c>
      <c r="Q57" s="46">
        <v>12</v>
      </c>
      <c r="R57" s="46">
        <v>99.35</v>
      </c>
      <c r="S57" s="46">
        <f t="shared" si="1"/>
        <v>51</v>
      </c>
      <c r="T57" s="46" t="s">
        <v>1640</v>
      </c>
      <c r="U57" s="49" t="s">
        <v>321</v>
      </c>
    </row>
    <row r="58" spans="1:21" ht="15" customHeight="1" x14ac:dyDescent="0.25">
      <c r="A58" s="46" t="s">
        <v>4879</v>
      </c>
      <c r="B58" s="46" t="s">
        <v>2589</v>
      </c>
      <c r="C58" s="46" t="s">
        <v>4824</v>
      </c>
      <c r="D58" s="46" t="s">
        <v>4811</v>
      </c>
      <c r="E58" s="46">
        <v>47.5</v>
      </c>
      <c r="F58" s="46">
        <v>7</v>
      </c>
      <c r="G58" s="46">
        <v>30801</v>
      </c>
      <c r="H58" s="46">
        <v>20.2</v>
      </c>
      <c r="I58" s="46">
        <v>1165</v>
      </c>
      <c r="J58" s="46">
        <v>97.7</v>
      </c>
      <c r="K58" s="46">
        <v>32.4</v>
      </c>
      <c r="L58" s="46">
        <v>9.4</v>
      </c>
      <c r="M58" s="46">
        <v>49.9</v>
      </c>
      <c r="N58" s="46">
        <v>6</v>
      </c>
      <c r="O58" s="46">
        <v>8.74</v>
      </c>
      <c r="P58" s="46">
        <v>12</v>
      </c>
      <c r="Q58" s="46">
        <v>10</v>
      </c>
      <c r="R58" s="46">
        <v>95.26</v>
      </c>
      <c r="S58" s="46">
        <f t="shared" si="1"/>
        <v>61.8</v>
      </c>
      <c r="T58" s="46" t="s">
        <v>1640</v>
      </c>
      <c r="U58" s="49" t="s">
        <v>321</v>
      </c>
    </row>
    <row r="59" spans="1:21" ht="15" customHeight="1" x14ac:dyDescent="0.25">
      <c r="A59" s="46" t="s">
        <v>4880</v>
      </c>
      <c r="B59" s="46" t="s">
        <v>1509</v>
      </c>
      <c r="C59" s="46" t="s">
        <v>4810</v>
      </c>
      <c r="D59" s="46" t="s">
        <v>4814</v>
      </c>
      <c r="E59" s="46">
        <v>27.2</v>
      </c>
      <c r="F59" s="46">
        <v>113</v>
      </c>
      <c r="G59" s="46">
        <v>37946</v>
      </c>
      <c r="H59" s="46">
        <v>48.6</v>
      </c>
      <c r="I59" s="46">
        <v>405</v>
      </c>
      <c r="J59" s="46">
        <v>83.7</v>
      </c>
      <c r="K59" s="46">
        <v>18.3</v>
      </c>
      <c r="L59" s="46">
        <v>28.8</v>
      </c>
      <c r="M59" s="46">
        <v>51.6</v>
      </c>
      <c r="N59" s="46">
        <v>0</v>
      </c>
      <c r="O59" s="46">
        <v>1.7</v>
      </c>
      <c r="P59" s="46">
        <v>9</v>
      </c>
      <c r="Q59" s="46">
        <v>7</v>
      </c>
      <c r="R59" s="46">
        <v>19.899999999999999</v>
      </c>
      <c r="S59" s="46">
        <f t="shared" si="1"/>
        <v>50.5</v>
      </c>
      <c r="T59" s="46" t="s">
        <v>1640</v>
      </c>
      <c r="U59" s="49" t="s">
        <v>321</v>
      </c>
    </row>
    <row r="60" spans="1:21" ht="15" customHeight="1" x14ac:dyDescent="0.25">
      <c r="A60" s="46" t="s">
        <v>4881</v>
      </c>
      <c r="B60" s="46" t="s">
        <v>2117</v>
      </c>
      <c r="C60" s="46" t="s">
        <v>4822</v>
      </c>
      <c r="D60" s="46" t="s">
        <v>4808</v>
      </c>
      <c r="E60" s="46">
        <v>67.900000000000006</v>
      </c>
      <c r="F60" s="46">
        <v>216</v>
      </c>
      <c r="G60" s="46">
        <v>20032</v>
      </c>
      <c r="H60" s="46">
        <v>14.9</v>
      </c>
      <c r="I60" s="46">
        <v>877</v>
      </c>
      <c r="J60" s="46">
        <v>65.099999999999994</v>
      </c>
      <c r="K60" s="46">
        <v>13.3</v>
      </c>
      <c r="L60" s="46">
        <v>20.6</v>
      </c>
      <c r="M60" s="46">
        <v>83.2</v>
      </c>
      <c r="N60" s="46">
        <v>1</v>
      </c>
      <c r="O60" s="46">
        <v>5.76</v>
      </c>
      <c r="P60" s="46">
        <v>5</v>
      </c>
      <c r="Q60" s="46">
        <v>8</v>
      </c>
      <c r="R60" s="46">
        <v>37.74</v>
      </c>
      <c r="S60" s="46">
        <f t="shared" si="1"/>
        <v>61.9</v>
      </c>
      <c r="T60" s="46" t="s">
        <v>1640</v>
      </c>
      <c r="U60" s="49" t="s">
        <v>321</v>
      </c>
    </row>
    <row r="61" spans="1:21" ht="15" customHeight="1" x14ac:dyDescent="0.25">
      <c r="A61" s="46" t="s">
        <v>4882</v>
      </c>
      <c r="B61" s="46" t="s">
        <v>1362</v>
      </c>
      <c r="C61" s="46" t="s">
        <v>4817</v>
      </c>
      <c r="D61" s="46" t="s">
        <v>4801</v>
      </c>
      <c r="E61" s="46">
        <v>16.8</v>
      </c>
      <c r="F61" s="46">
        <v>46</v>
      </c>
      <c r="G61" s="46">
        <v>48629</v>
      </c>
      <c r="H61" s="46">
        <v>8.1</v>
      </c>
      <c r="I61" s="46">
        <v>585</v>
      </c>
      <c r="J61" s="46">
        <v>95.8</v>
      </c>
      <c r="K61" s="46">
        <v>27</v>
      </c>
      <c r="L61" s="46">
        <v>14.8</v>
      </c>
      <c r="M61" s="46">
        <v>67.599999999999994</v>
      </c>
      <c r="N61" s="46">
        <v>3</v>
      </c>
      <c r="O61" s="46">
        <v>1.04</v>
      </c>
      <c r="P61" s="46">
        <v>5</v>
      </c>
      <c r="Q61" s="46">
        <v>11</v>
      </c>
      <c r="R61" s="46">
        <v>51.32</v>
      </c>
      <c r="S61" s="46">
        <f t="shared" si="1"/>
        <v>55.7</v>
      </c>
      <c r="T61" s="46" t="s">
        <v>1640</v>
      </c>
      <c r="U61" s="49" t="s">
        <v>321</v>
      </c>
    </row>
    <row r="62" spans="1:21" ht="15" customHeight="1" x14ac:dyDescent="0.25">
      <c r="A62" s="46" t="s">
        <v>4883</v>
      </c>
      <c r="B62" s="46" t="s">
        <v>2773</v>
      </c>
      <c r="C62" s="46" t="s">
        <v>4824</v>
      </c>
      <c r="D62" s="46" t="s">
        <v>4818</v>
      </c>
      <c r="E62" s="46">
        <v>54.6</v>
      </c>
      <c r="F62" s="46">
        <v>8</v>
      </c>
      <c r="G62" s="46">
        <v>14953</v>
      </c>
      <c r="H62" s="46">
        <v>24</v>
      </c>
      <c r="I62" s="46">
        <v>3917</v>
      </c>
      <c r="J62" s="46">
        <v>68.400000000000006</v>
      </c>
      <c r="K62" s="46">
        <v>32.6</v>
      </c>
      <c r="L62" s="46">
        <v>10.3</v>
      </c>
      <c r="M62" s="46">
        <v>64.2</v>
      </c>
      <c r="N62" s="46">
        <v>0</v>
      </c>
      <c r="O62" s="46">
        <v>2.31</v>
      </c>
      <c r="P62" s="46">
        <v>5</v>
      </c>
      <c r="Q62" s="46">
        <v>13</v>
      </c>
      <c r="R62" s="46">
        <v>50.03</v>
      </c>
      <c r="S62" s="46">
        <f t="shared" si="1"/>
        <v>54.6</v>
      </c>
      <c r="T62" s="46" t="s">
        <v>1640</v>
      </c>
      <c r="U62" s="49" t="s">
        <v>321</v>
      </c>
    </row>
    <row r="63" spans="1:21" ht="15" customHeight="1" x14ac:dyDescent="0.25">
      <c r="A63" s="46" t="s">
        <v>4884</v>
      </c>
      <c r="B63" s="46" t="s">
        <v>3748</v>
      </c>
      <c r="C63" s="46" t="s">
        <v>4824</v>
      </c>
      <c r="D63" s="46" t="s">
        <v>4820</v>
      </c>
      <c r="E63" s="46">
        <v>20.2</v>
      </c>
      <c r="F63" s="46">
        <v>69</v>
      </c>
      <c r="G63" s="46">
        <v>46286</v>
      </c>
      <c r="H63" s="46">
        <v>26.7</v>
      </c>
      <c r="I63" s="46">
        <v>2903</v>
      </c>
      <c r="J63" s="46">
        <v>68.2</v>
      </c>
      <c r="K63" s="46">
        <v>14.3</v>
      </c>
      <c r="L63" s="46">
        <v>40.200000000000003</v>
      </c>
      <c r="M63" s="46">
        <v>48.9</v>
      </c>
      <c r="N63" s="46">
        <v>8</v>
      </c>
      <c r="O63" s="46">
        <v>7.09</v>
      </c>
      <c r="P63" s="46">
        <v>3</v>
      </c>
      <c r="Q63" s="46">
        <v>7</v>
      </c>
      <c r="R63" s="46">
        <v>44.82</v>
      </c>
      <c r="S63" s="46">
        <f t="shared" si="1"/>
        <v>50.8</v>
      </c>
      <c r="T63" s="46" t="s">
        <v>1640</v>
      </c>
      <c r="U63" s="49" t="s">
        <v>321</v>
      </c>
    </row>
    <row r="64" spans="1:21" ht="15" customHeight="1" x14ac:dyDescent="0.25">
      <c r="A64" s="50" t="s">
        <v>4885</v>
      </c>
      <c r="B64" s="50" t="s">
        <v>4254</v>
      </c>
      <c r="C64" s="50" t="s">
        <v>4803</v>
      </c>
      <c r="D64" s="50" t="s">
        <v>4801</v>
      </c>
      <c r="E64" s="50">
        <v>67.900000000000006</v>
      </c>
      <c r="F64" s="50">
        <v>121</v>
      </c>
      <c r="G64" s="50">
        <v>26957</v>
      </c>
      <c r="H64" s="50">
        <v>31.4</v>
      </c>
      <c r="I64" s="50">
        <v>3768</v>
      </c>
      <c r="J64" s="50">
        <v>94.2</v>
      </c>
      <c r="K64" s="50">
        <v>1.3</v>
      </c>
      <c r="L64" s="50">
        <v>23.2</v>
      </c>
      <c r="M64" s="50">
        <v>53.6</v>
      </c>
      <c r="N64" s="50">
        <v>7</v>
      </c>
      <c r="O64" s="50">
        <v>8.1199999999999992</v>
      </c>
      <c r="P64" s="50">
        <v>10</v>
      </c>
      <c r="Q64" s="50">
        <v>7</v>
      </c>
      <c r="R64" s="50">
        <v>84.28</v>
      </c>
      <c r="S64" s="50">
        <f t="shared" si="1"/>
        <v>67.900000000000006</v>
      </c>
      <c r="T64" s="50" t="s">
        <v>1676</v>
      </c>
      <c r="U64" s="53" t="s">
        <v>266</v>
      </c>
    </row>
    <row r="65" spans="1:21" ht="15" customHeight="1" x14ac:dyDescent="0.25">
      <c r="A65" s="46" t="s">
        <v>4886</v>
      </c>
      <c r="B65" s="46" t="s">
        <v>2904</v>
      </c>
      <c r="C65" s="46" t="s">
        <v>4837</v>
      </c>
      <c r="D65" s="46" t="s">
        <v>4808</v>
      </c>
      <c r="E65" s="46">
        <v>18.100000000000001</v>
      </c>
      <c r="F65" s="46">
        <v>62</v>
      </c>
      <c r="G65" s="46">
        <v>12102</v>
      </c>
      <c r="H65" s="46">
        <v>19.399999999999999</v>
      </c>
      <c r="I65" s="46">
        <v>3642</v>
      </c>
      <c r="J65" s="46">
        <v>90.4</v>
      </c>
      <c r="K65" s="46">
        <v>25.6</v>
      </c>
      <c r="L65" s="46">
        <v>34.299999999999997</v>
      </c>
      <c r="M65" s="46">
        <v>89.7</v>
      </c>
      <c r="N65" s="46">
        <v>7</v>
      </c>
      <c r="O65" s="46">
        <v>10.75</v>
      </c>
      <c r="P65" s="46">
        <v>4</v>
      </c>
      <c r="Q65" s="46">
        <v>10</v>
      </c>
      <c r="R65" s="46">
        <v>11.63</v>
      </c>
      <c r="S65" s="46">
        <f t="shared" si="1"/>
        <v>56.9</v>
      </c>
      <c r="T65" s="46" t="s">
        <v>1640</v>
      </c>
      <c r="U65" s="49" t="s">
        <v>321</v>
      </c>
    </row>
    <row r="66" spans="1:21" ht="15" customHeight="1" x14ac:dyDescent="0.25">
      <c r="A66" s="46" t="s">
        <v>4887</v>
      </c>
      <c r="B66" s="46" t="s">
        <v>4172</v>
      </c>
      <c r="C66" s="46" t="s">
        <v>4803</v>
      </c>
      <c r="D66" s="46" t="s">
        <v>4832</v>
      </c>
      <c r="E66" s="46">
        <v>34.700000000000003</v>
      </c>
      <c r="F66" s="46">
        <v>141</v>
      </c>
      <c r="G66" s="46">
        <v>3330</v>
      </c>
      <c r="H66" s="46">
        <v>39.4</v>
      </c>
      <c r="I66" s="46">
        <v>3794</v>
      </c>
      <c r="J66" s="46">
        <v>89.7</v>
      </c>
      <c r="K66" s="46">
        <v>8.4</v>
      </c>
      <c r="L66" s="46">
        <v>12.6</v>
      </c>
      <c r="M66" s="46">
        <v>40.6</v>
      </c>
      <c r="N66" s="46">
        <v>5</v>
      </c>
      <c r="O66" s="46">
        <v>4.6399999999999997</v>
      </c>
      <c r="P66" s="46">
        <v>5</v>
      </c>
      <c r="Q66" s="46">
        <v>9</v>
      </c>
      <c r="R66" s="46">
        <v>16.22</v>
      </c>
      <c r="S66" s="46">
        <f t="shared" si="1"/>
        <v>52.5</v>
      </c>
      <c r="T66" s="46" t="s">
        <v>1640</v>
      </c>
      <c r="U66" s="49" t="s">
        <v>321</v>
      </c>
    </row>
    <row r="67" spans="1:21" ht="25.5" customHeight="1" x14ac:dyDescent="0.25">
      <c r="A67" s="46" t="s">
        <v>4888</v>
      </c>
      <c r="B67" s="46" t="s">
        <v>2834</v>
      </c>
      <c r="C67" s="46" t="s">
        <v>4837</v>
      </c>
      <c r="D67" s="46" t="s">
        <v>4825</v>
      </c>
      <c r="E67" s="46">
        <v>72.2</v>
      </c>
      <c r="F67" s="46">
        <v>188</v>
      </c>
      <c r="G67" s="46">
        <v>20088</v>
      </c>
      <c r="H67" s="46">
        <v>52.8</v>
      </c>
      <c r="I67" s="46">
        <v>3587</v>
      </c>
      <c r="J67" s="46">
        <v>93.3</v>
      </c>
      <c r="K67" s="46">
        <v>4.5999999999999996</v>
      </c>
      <c r="L67" s="46">
        <v>8.3000000000000007</v>
      </c>
      <c r="M67" s="46">
        <v>92.2</v>
      </c>
      <c r="N67" s="46">
        <v>7</v>
      </c>
      <c r="O67" s="46">
        <v>4.71</v>
      </c>
      <c r="P67" s="46">
        <v>7</v>
      </c>
      <c r="Q67" s="46">
        <v>11</v>
      </c>
      <c r="R67" s="46">
        <v>28.99</v>
      </c>
      <c r="S67" s="46">
        <f t="shared" ref="S67:S102" si="2">ROUND(0.3*E67+0.3*J67+0.2*(100-H67)+0.2*MIN(L67*1.2,100),1)</f>
        <v>61.1</v>
      </c>
      <c r="T67" s="46" t="s">
        <v>1640</v>
      </c>
      <c r="U67" s="49" t="s">
        <v>321</v>
      </c>
    </row>
    <row r="68" spans="1:21" ht="15" customHeight="1" x14ac:dyDescent="0.25">
      <c r="A68" s="54" t="s">
        <v>4889</v>
      </c>
      <c r="B68" s="54" t="s">
        <v>3692</v>
      </c>
      <c r="C68" s="54" t="s">
        <v>4807</v>
      </c>
      <c r="D68" s="54" t="s">
        <v>4825</v>
      </c>
      <c r="E68" s="54">
        <v>47.3</v>
      </c>
      <c r="F68" s="54">
        <v>136</v>
      </c>
      <c r="G68" s="54">
        <v>37545</v>
      </c>
      <c r="H68" s="54">
        <v>52</v>
      </c>
      <c r="I68" s="54">
        <v>1442</v>
      </c>
      <c r="J68" s="54">
        <v>70.7</v>
      </c>
      <c r="K68" s="54">
        <v>24.2</v>
      </c>
      <c r="L68" s="54">
        <v>18.7</v>
      </c>
      <c r="M68" s="54">
        <v>65.400000000000006</v>
      </c>
      <c r="N68" s="54">
        <v>4</v>
      </c>
      <c r="O68" s="54">
        <v>11.32</v>
      </c>
      <c r="P68" s="54">
        <v>10</v>
      </c>
      <c r="Q68" s="54">
        <v>0</v>
      </c>
      <c r="R68" s="54">
        <v>75.819999999999993</v>
      </c>
      <c r="S68" s="54">
        <f t="shared" si="2"/>
        <v>49.5</v>
      </c>
      <c r="T68" s="54" t="s">
        <v>622</v>
      </c>
      <c r="U68" s="57" t="s">
        <v>495</v>
      </c>
    </row>
    <row r="69" spans="1:21" ht="15" customHeight="1" x14ac:dyDescent="0.25">
      <c r="A69" s="46" t="s">
        <v>4890</v>
      </c>
      <c r="B69" s="46" t="s">
        <v>4891</v>
      </c>
      <c r="C69" s="46" t="s">
        <v>4810</v>
      </c>
      <c r="D69" s="46" t="s">
        <v>4832</v>
      </c>
      <c r="E69" s="46">
        <v>33</v>
      </c>
      <c r="F69" s="46">
        <v>180</v>
      </c>
      <c r="G69" s="46">
        <v>25418</v>
      </c>
      <c r="H69" s="46">
        <v>35.799999999999997</v>
      </c>
      <c r="I69" s="46">
        <v>3057</v>
      </c>
      <c r="J69" s="46">
        <v>90.2</v>
      </c>
      <c r="K69" s="46">
        <v>1.4</v>
      </c>
      <c r="L69" s="46">
        <v>33.200000000000003</v>
      </c>
      <c r="M69" s="46">
        <v>78.400000000000006</v>
      </c>
      <c r="N69" s="46">
        <v>2</v>
      </c>
      <c r="O69" s="46">
        <v>11.07</v>
      </c>
      <c r="P69" s="46">
        <v>10</v>
      </c>
      <c r="Q69" s="46">
        <v>13</v>
      </c>
      <c r="R69" s="46">
        <v>6.77</v>
      </c>
      <c r="S69" s="46">
        <f t="shared" si="2"/>
        <v>57.8</v>
      </c>
      <c r="T69" s="46" t="s">
        <v>1640</v>
      </c>
      <c r="U69" s="49" t="s">
        <v>321</v>
      </c>
    </row>
    <row r="70" spans="1:21" ht="15" customHeight="1" x14ac:dyDescent="0.25">
      <c r="A70" s="50" t="s">
        <v>4892</v>
      </c>
      <c r="B70" s="50" t="s">
        <v>665</v>
      </c>
      <c r="C70" s="50" t="s">
        <v>4813</v>
      </c>
      <c r="D70" s="50" t="s">
        <v>4811</v>
      </c>
      <c r="E70" s="50">
        <v>69.7</v>
      </c>
      <c r="F70" s="50">
        <v>126</v>
      </c>
      <c r="G70" s="50">
        <v>2713</v>
      </c>
      <c r="H70" s="50">
        <v>41.7</v>
      </c>
      <c r="I70" s="50">
        <v>3827</v>
      </c>
      <c r="J70" s="50">
        <v>95</v>
      </c>
      <c r="K70" s="50">
        <v>31.3</v>
      </c>
      <c r="L70" s="50">
        <v>33.5</v>
      </c>
      <c r="M70" s="50">
        <v>57.5</v>
      </c>
      <c r="N70" s="50">
        <v>0</v>
      </c>
      <c r="O70" s="50">
        <v>9.08</v>
      </c>
      <c r="P70" s="50">
        <v>3</v>
      </c>
      <c r="Q70" s="50">
        <v>18</v>
      </c>
      <c r="R70" s="50">
        <v>56.5</v>
      </c>
      <c r="S70" s="50">
        <f t="shared" si="2"/>
        <v>69.099999999999994</v>
      </c>
      <c r="T70" s="50" t="s">
        <v>1676</v>
      </c>
      <c r="U70" s="53" t="s">
        <v>266</v>
      </c>
    </row>
    <row r="71" spans="1:21" ht="15" customHeight="1" x14ac:dyDescent="0.25">
      <c r="A71" s="54" t="s">
        <v>4893</v>
      </c>
      <c r="B71" s="54" t="s">
        <v>4806</v>
      </c>
      <c r="C71" s="54" t="s">
        <v>4813</v>
      </c>
      <c r="D71" s="54" t="s">
        <v>4811</v>
      </c>
      <c r="E71" s="54">
        <v>30.6</v>
      </c>
      <c r="F71" s="54">
        <v>124</v>
      </c>
      <c r="G71" s="54">
        <v>39117</v>
      </c>
      <c r="H71" s="54">
        <v>14.4</v>
      </c>
      <c r="I71" s="54">
        <v>3837</v>
      </c>
      <c r="J71" s="54">
        <v>67.400000000000006</v>
      </c>
      <c r="K71" s="54">
        <v>27.7</v>
      </c>
      <c r="L71" s="54">
        <v>8.6</v>
      </c>
      <c r="M71" s="54">
        <v>61.3</v>
      </c>
      <c r="N71" s="54">
        <v>3</v>
      </c>
      <c r="O71" s="54">
        <v>11.86</v>
      </c>
      <c r="P71" s="54">
        <v>1</v>
      </c>
      <c r="Q71" s="54">
        <v>4</v>
      </c>
      <c r="R71" s="54">
        <v>55.39</v>
      </c>
      <c r="S71" s="54">
        <f t="shared" si="2"/>
        <v>48.6</v>
      </c>
      <c r="T71" s="54" t="s">
        <v>622</v>
      </c>
      <c r="U71" s="57" t="s">
        <v>495</v>
      </c>
    </row>
    <row r="72" spans="1:21" ht="15" customHeight="1" x14ac:dyDescent="0.25">
      <c r="A72" s="46" t="s">
        <v>4894</v>
      </c>
      <c r="B72" s="46" t="s">
        <v>1374</v>
      </c>
      <c r="C72" s="46" t="s">
        <v>4813</v>
      </c>
      <c r="D72" s="46" t="s">
        <v>4814</v>
      </c>
      <c r="E72" s="46">
        <v>61.2</v>
      </c>
      <c r="F72" s="46">
        <v>13</v>
      </c>
      <c r="G72" s="46">
        <v>27164</v>
      </c>
      <c r="H72" s="46">
        <v>36.5</v>
      </c>
      <c r="I72" s="46">
        <v>1575</v>
      </c>
      <c r="J72" s="46">
        <v>74.8</v>
      </c>
      <c r="K72" s="46">
        <v>6.6</v>
      </c>
      <c r="L72" s="46">
        <v>17.5</v>
      </c>
      <c r="M72" s="46">
        <v>91.5</v>
      </c>
      <c r="N72" s="46">
        <v>3</v>
      </c>
      <c r="O72" s="46">
        <v>0.62</v>
      </c>
      <c r="P72" s="46">
        <v>2</v>
      </c>
      <c r="Q72" s="46">
        <v>6</v>
      </c>
      <c r="R72" s="46">
        <v>61.68</v>
      </c>
      <c r="S72" s="46">
        <f t="shared" si="2"/>
        <v>57.7</v>
      </c>
      <c r="T72" s="46" t="s">
        <v>1640</v>
      </c>
      <c r="U72" s="49" t="s">
        <v>321</v>
      </c>
    </row>
    <row r="73" spans="1:21" ht="15" customHeight="1" x14ac:dyDescent="0.25">
      <c r="A73" s="46" t="s">
        <v>4895</v>
      </c>
      <c r="B73" s="46" t="s">
        <v>1592</v>
      </c>
      <c r="C73" s="46" t="s">
        <v>4803</v>
      </c>
      <c r="D73" s="46" t="s">
        <v>4820</v>
      </c>
      <c r="E73" s="46">
        <v>41.5</v>
      </c>
      <c r="F73" s="46">
        <v>206</v>
      </c>
      <c r="G73" s="46">
        <v>26788</v>
      </c>
      <c r="H73" s="46">
        <v>53.5</v>
      </c>
      <c r="I73" s="46">
        <v>425</v>
      </c>
      <c r="J73" s="46">
        <v>93.4</v>
      </c>
      <c r="K73" s="46">
        <v>33.4</v>
      </c>
      <c r="L73" s="46">
        <v>29.6</v>
      </c>
      <c r="M73" s="46">
        <v>94.1</v>
      </c>
      <c r="N73" s="46">
        <v>4</v>
      </c>
      <c r="O73" s="46">
        <v>8.49</v>
      </c>
      <c r="P73" s="46">
        <v>10</v>
      </c>
      <c r="Q73" s="46">
        <v>0</v>
      </c>
      <c r="R73" s="46">
        <v>39.880000000000003</v>
      </c>
      <c r="S73" s="46">
        <f t="shared" si="2"/>
        <v>56.9</v>
      </c>
      <c r="T73" s="46" t="s">
        <v>1640</v>
      </c>
      <c r="U73" s="49" t="s">
        <v>321</v>
      </c>
    </row>
    <row r="74" spans="1:21" ht="15" customHeight="1" x14ac:dyDescent="0.25">
      <c r="A74" s="46" t="s">
        <v>4896</v>
      </c>
      <c r="B74" s="46" t="s">
        <v>4143</v>
      </c>
      <c r="C74" s="46" t="s">
        <v>4813</v>
      </c>
      <c r="D74" s="46" t="s">
        <v>4808</v>
      </c>
      <c r="E74" s="46">
        <v>38.9</v>
      </c>
      <c r="F74" s="46">
        <v>142</v>
      </c>
      <c r="G74" s="46">
        <v>26176</v>
      </c>
      <c r="H74" s="46">
        <v>23</v>
      </c>
      <c r="I74" s="46">
        <v>1351</v>
      </c>
      <c r="J74" s="46">
        <v>85.4</v>
      </c>
      <c r="K74" s="46">
        <v>4.0999999999999996</v>
      </c>
      <c r="L74" s="46">
        <v>37.9</v>
      </c>
      <c r="M74" s="46">
        <v>49.5</v>
      </c>
      <c r="N74" s="46">
        <v>0</v>
      </c>
      <c r="O74" s="46">
        <v>0.4</v>
      </c>
      <c r="P74" s="46">
        <v>6</v>
      </c>
      <c r="Q74" s="46">
        <v>8</v>
      </c>
      <c r="R74" s="46">
        <v>25.38</v>
      </c>
      <c r="S74" s="46">
        <f t="shared" si="2"/>
        <v>61.8</v>
      </c>
      <c r="T74" s="46" t="s">
        <v>1640</v>
      </c>
      <c r="U74" s="49" t="s">
        <v>321</v>
      </c>
    </row>
    <row r="75" spans="1:21" ht="15" customHeight="1" x14ac:dyDescent="0.25">
      <c r="A75" s="50" t="s">
        <v>4897</v>
      </c>
      <c r="B75" s="50" t="s">
        <v>857</v>
      </c>
      <c r="C75" s="50" t="s">
        <v>4817</v>
      </c>
      <c r="D75" s="50" t="s">
        <v>4820</v>
      </c>
      <c r="E75" s="50">
        <v>52.2</v>
      </c>
      <c r="F75" s="50">
        <v>204</v>
      </c>
      <c r="G75" s="50">
        <v>22824</v>
      </c>
      <c r="H75" s="50">
        <v>18.2</v>
      </c>
      <c r="I75" s="50">
        <v>1153</v>
      </c>
      <c r="J75" s="50">
        <v>97.7</v>
      </c>
      <c r="K75" s="50">
        <v>22.5</v>
      </c>
      <c r="L75" s="50">
        <v>54.7</v>
      </c>
      <c r="M75" s="50">
        <v>66.2</v>
      </c>
      <c r="N75" s="50">
        <v>0</v>
      </c>
      <c r="O75" s="50">
        <v>3.07</v>
      </c>
      <c r="P75" s="50">
        <v>5</v>
      </c>
      <c r="Q75" s="50">
        <v>11</v>
      </c>
      <c r="R75" s="50">
        <v>96.31</v>
      </c>
      <c r="S75" s="50">
        <f t="shared" si="2"/>
        <v>74.5</v>
      </c>
      <c r="T75" s="50" t="s">
        <v>1676</v>
      </c>
      <c r="U75" s="53" t="s">
        <v>266</v>
      </c>
    </row>
    <row r="76" spans="1:21" ht="15" customHeight="1" x14ac:dyDescent="0.25">
      <c r="A76" s="46" t="s">
        <v>4898</v>
      </c>
      <c r="B76" s="46" t="s">
        <v>1350</v>
      </c>
      <c r="C76" s="46" t="s">
        <v>4822</v>
      </c>
      <c r="D76" s="46" t="s">
        <v>4804</v>
      </c>
      <c r="E76" s="46">
        <v>37.700000000000003</v>
      </c>
      <c r="F76" s="46">
        <v>118</v>
      </c>
      <c r="G76" s="46">
        <v>27382</v>
      </c>
      <c r="H76" s="46">
        <v>50.1</v>
      </c>
      <c r="I76" s="46">
        <v>2679</v>
      </c>
      <c r="J76" s="46">
        <v>98</v>
      </c>
      <c r="K76" s="46">
        <v>13.4</v>
      </c>
      <c r="L76" s="46">
        <v>57</v>
      </c>
      <c r="M76" s="46">
        <v>63.8</v>
      </c>
      <c r="N76" s="46">
        <v>6</v>
      </c>
      <c r="O76" s="46">
        <v>6.61</v>
      </c>
      <c r="P76" s="46">
        <v>10</v>
      </c>
      <c r="Q76" s="46">
        <v>14</v>
      </c>
      <c r="R76" s="46">
        <v>54.44</v>
      </c>
      <c r="S76" s="46">
        <f t="shared" si="2"/>
        <v>64.400000000000006</v>
      </c>
      <c r="T76" s="46" t="s">
        <v>1640</v>
      </c>
      <c r="U76" s="49" t="s">
        <v>321</v>
      </c>
    </row>
    <row r="77" spans="1:21" ht="15" customHeight="1" x14ac:dyDescent="0.25">
      <c r="A77" s="46" t="s">
        <v>4899</v>
      </c>
      <c r="B77" s="46" t="s">
        <v>2770</v>
      </c>
      <c r="C77" s="46" t="s">
        <v>4813</v>
      </c>
      <c r="D77" s="46" t="s">
        <v>4804</v>
      </c>
      <c r="E77" s="46">
        <v>31</v>
      </c>
      <c r="F77" s="46">
        <v>156</v>
      </c>
      <c r="G77" s="46">
        <v>9023</v>
      </c>
      <c r="H77" s="46">
        <v>13.5</v>
      </c>
      <c r="I77" s="46">
        <v>2240</v>
      </c>
      <c r="J77" s="46">
        <v>95.2</v>
      </c>
      <c r="K77" s="46">
        <v>32.200000000000003</v>
      </c>
      <c r="L77" s="46">
        <v>7.2</v>
      </c>
      <c r="M77" s="46">
        <v>89</v>
      </c>
      <c r="N77" s="46">
        <v>5</v>
      </c>
      <c r="O77" s="46">
        <v>6.72</v>
      </c>
      <c r="P77" s="46">
        <v>6</v>
      </c>
      <c r="Q77" s="46">
        <v>6</v>
      </c>
      <c r="R77" s="46">
        <v>95.14</v>
      </c>
      <c r="S77" s="46">
        <f t="shared" si="2"/>
        <v>56.9</v>
      </c>
      <c r="T77" s="46" t="s">
        <v>1640</v>
      </c>
      <c r="U77" s="49" t="s">
        <v>321</v>
      </c>
    </row>
    <row r="78" spans="1:21" ht="15" customHeight="1" x14ac:dyDescent="0.25">
      <c r="A78" s="46" t="s">
        <v>4900</v>
      </c>
      <c r="B78" s="46" t="s">
        <v>1548</v>
      </c>
      <c r="C78" s="46" t="s">
        <v>4813</v>
      </c>
      <c r="D78" s="46" t="s">
        <v>4832</v>
      </c>
      <c r="E78" s="46">
        <v>71.8</v>
      </c>
      <c r="F78" s="46">
        <v>149</v>
      </c>
      <c r="G78" s="46">
        <v>34872</v>
      </c>
      <c r="H78" s="46">
        <v>51.2</v>
      </c>
      <c r="I78" s="46">
        <v>1506</v>
      </c>
      <c r="J78" s="46">
        <v>96.3</v>
      </c>
      <c r="K78" s="46">
        <v>18.7</v>
      </c>
      <c r="L78" s="46">
        <v>18.2</v>
      </c>
      <c r="M78" s="46">
        <v>82.9</v>
      </c>
      <c r="N78" s="46">
        <v>1</v>
      </c>
      <c r="O78" s="46">
        <v>3.02</v>
      </c>
      <c r="P78" s="46">
        <v>2</v>
      </c>
      <c r="Q78" s="46">
        <v>9</v>
      </c>
      <c r="R78" s="46">
        <v>56.74</v>
      </c>
      <c r="S78" s="46">
        <f t="shared" si="2"/>
        <v>64.599999999999994</v>
      </c>
      <c r="T78" s="46" t="s">
        <v>1640</v>
      </c>
      <c r="U78" s="49" t="s">
        <v>321</v>
      </c>
    </row>
    <row r="79" spans="1:21" ht="15" customHeight="1" x14ac:dyDescent="0.25">
      <c r="A79" s="46" t="s">
        <v>4901</v>
      </c>
      <c r="B79" s="46" t="s">
        <v>1259</v>
      </c>
      <c r="C79" s="46" t="s">
        <v>4813</v>
      </c>
      <c r="D79" s="46" t="s">
        <v>4801</v>
      </c>
      <c r="E79" s="46">
        <v>48.2</v>
      </c>
      <c r="F79" s="46">
        <v>175</v>
      </c>
      <c r="G79" s="46">
        <v>38342</v>
      </c>
      <c r="H79" s="46">
        <v>27.3</v>
      </c>
      <c r="I79" s="46">
        <v>2661</v>
      </c>
      <c r="J79" s="46">
        <v>68.900000000000006</v>
      </c>
      <c r="K79" s="46">
        <v>1.3</v>
      </c>
      <c r="L79" s="46">
        <v>17.7</v>
      </c>
      <c r="M79" s="46">
        <v>46</v>
      </c>
      <c r="N79" s="46">
        <v>8</v>
      </c>
      <c r="O79" s="46">
        <v>6.08</v>
      </c>
      <c r="P79" s="46">
        <v>7</v>
      </c>
      <c r="Q79" s="46">
        <v>0</v>
      </c>
      <c r="R79" s="46">
        <v>1.94</v>
      </c>
      <c r="S79" s="46">
        <f t="shared" si="2"/>
        <v>53.9</v>
      </c>
      <c r="T79" s="46" t="s">
        <v>1640</v>
      </c>
      <c r="U79" s="49" t="s">
        <v>321</v>
      </c>
    </row>
    <row r="80" spans="1:21" ht="15" customHeight="1" x14ac:dyDescent="0.25">
      <c r="A80" s="46" t="s">
        <v>4902</v>
      </c>
      <c r="B80" s="46" t="s">
        <v>2688</v>
      </c>
      <c r="C80" s="46" t="s">
        <v>4810</v>
      </c>
      <c r="D80" s="46" t="s">
        <v>4814</v>
      </c>
      <c r="E80" s="46">
        <v>51.9</v>
      </c>
      <c r="F80" s="46">
        <v>84</v>
      </c>
      <c r="G80" s="46">
        <v>22682</v>
      </c>
      <c r="H80" s="46">
        <v>45.5</v>
      </c>
      <c r="I80" s="46">
        <v>1429</v>
      </c>
      <c r="J80" s="46">
        <v>96.9</v>
      </c>
      <c r="K80" s="46">
        <v>6</v>
      </c>
      <c r="L80" s="46">
        <v>15.3</v>
      </c>
      <c r="M80" s="46">
        <v>77.2</v>
      </c>
      <c r="N80" s="46">
        <v>0</v>
      </c>
      <c r="O80" s="46">
        <v>0.99</v>
      </c>
      <c r="P80" s="46">
        <v>7</v>
      </c>
      <c r="Q80" s="46">
        <v>11</v>
      </c>
      <c r="R80" s="46">
        <v>29.76</v>
      </c>
      <c r="S80" s="46">
        <f t="shared" si="2"/>
        <v>59.2</v>
      </c>
      <c r="T80" s="46" t="s">
        <v>1640</v>
      </c>
      <c r="U80" s="49" t="s">
        <v>321</v>
      </c>
    </row>
    <row r="81" spans="1:21" ht="15" customHeight="1" x14ac:dyDescent="0.25">
      <c r="A81" s="46" t="s">
        <v>4903</v>
      </c>
      <c r="B81" s="46" t="s">
        <v>2381</v>
      </c>
      <c r="C81" s="46" t="s">
        <v>4800</v>
      </c>
      <c r="D81" s="46" t="s">
        <v>4811</v>
      </c>
      <c r="E81" s="46">
        <v>34.299999999999997</v>
      </c>
      <c r="F81" s="46">
        <v>132</v>
      </c>
      <c r="G81" s="46">
        <v>41100</v>
      </c>
      <c r="H81" s="46">
        <v>11.5</v>
      </c>
      <c r="I81" s="46">
        <v>758</v>
      </c>
      <c r="J81" s="46">
        <v>66.900000000000006</v>
      </c>
      <c r="K81" s="46">
        <v>31.2</v>
      </c>
      <c r="L81" s="46">
        <v>31.4</v>
      </c>
      <c r="M81" s="46">
        <v>42.9</v>
      </c>
      <c r="N81" s="46">
        <v>7</v>
      </c>
      <c r="O81" s="46">
        <v>3.83</v>
      </c>
      <c r="P81" s="46">
        <v>11</v>
      </c>
      <c r="Q81" s="46">
        <v>0</v>
      </c>
      <c r="R81" s="46">
        <v>77.989999999999995</v>
      </c>
      <c r="S81" s="46">
        <f t="shared" si="2"/>
        <v>55.6</v>
      </c>
      <c r="T81" s="46" t="s">
        <v>1640</v>
      </c>
      <c r="U81" s="49" t="s">
        <v>321</v>
      </c>
    </row>
    <row r="82" spans="1:21" ht="15" customHeight="1" x14ac:dyDescent="0.25">
      <c r="A82" s="50" t="s">
        <v>4904</v>
      </c>
      <c r="B82" s="50" t="s">
        <v>4905</v>
      </c>
      <c r="C82" s="50" t="s">
        <v>4813</v>
      </c>
      <c r="D82" s="50" t="s">
        <v>4811</v>
      </c>
      <c r="E82" s="50">
        <v>62.7</v>
      </c>
      <c r="F82" s="50">
        <v>151</v>
      </c>
      <c r="G82" s="50">
        <v>29815</v>
      </c>
      <c r="H82" s="50">
        <v>18.7</v>
      </c>
      <c r="I82" s="50">
        <v>1599</v>
      </c>
      <c r="J82" s="50">
        <v>93.1</v>
      </c>
      <c r="K82" s="50">
        <v>8.8000000000000007</v>
      </c>
      <c r="L82" s="50">
        <v>51.9</v>
      </c>
      <c r="M82" s="50">
        <v>38.299999999999997</v>
      </c>
      <c r="N82" s="50">
        <v>8</v>
      </c>
      <c r="O82" s="50">
        <v>10.9</v>
      </c>
      <c r="P82" s="50">
        <v>5</v>
      </c>
      <c r="Q82" s="50">
        <v>9</v>
      </c>
      <c r="R82" s="50">
        <v>73.489999999999995</v>
      </c>
      <c r="S82" s="50">
        <f t="shared" si="2"/>
        <v>75.5</v>
      </c>
      <c r="T82" s="50" t="s">
        <v>1676</v>
      </c>
      <c r="U82" s="53" t="s">
        <v>266</v>
      </c>
    </row>
    <row r="83" spans="1:21" ht="15" customHeight="1" x14ac:dyDescent="0.25">
      <c r="A83" s="46" t="s">
        <v>4906</v>
      </c>
      <c r="B83" s="46" t="s">
        <v>4907</v>
      </c>
      <c r="C83" s="46" t="s">
        <v>4829</v>
      </c>
      <c r="D83" s="46" t="s">
        <v>4804</v>
      </c>
      <c r="E83" s="46">
        <v>55.1</v>
      </c>
      <c r="F83" s="46">
        <v>100</v>
      </c>
      <c r="G83" s="46">
        <v>33771</v>
      </c>
      <c r="H83" s="46">
        <v>62</v>
      </c>
      <c r="I83" s="46">
        <v>1361</v>
      </c>
      <c r="J83" s="46">
        <v>95.7</v>
      </c>
      <c r="K83" s="46">
        <v>24.4</v>
      </c>
      <c r="L83" s="46">
        <v>19.100000000000001</v>
      </c>
      <c r="M83" s="46">
        <v>67.099999999999994</v>
      </c>
      <c r="N83" s="46">
        <v>0</v>
      </c>
      <c r="O83" s="46">
        <v>5.1100000000000003</v>
      </c>
      <c r="P83" s="46">
        <v>12</v>
      </c>
      <c r="Q83" s="46">
        <v>2</v>
      </c>
      <c r="R83" s="46">
        <v>86.44</v>
      </c>
      <c r="S83" s="46">
        <f t="shared" si="2"/>
        <v>57.4</v>
      </c>
      <c r="T83" s="46" t="s">
        <v>1640</v>
      </c>
      <c r="U83" s="49" t="s">
        <v>321</v>
      </c>
    </row>
    <row r="84" spans="1:21" ht="15" customHeight="1" x14ac:dyDescent="0.25">
      <c r="A84" s="46" t="s">
        <v>4908</v>
      </c>
      <c r="B84" s="46" t="s">
        <v>2786</v>
      </c>
      <c r="C84" s="46" t="s">
        <v>4837</v>
      </c>
      <c r="D84" s="46" t="s">
        <v>4814</v>
      </c>
      <c r="E84" s="46">
        <v>31</v>
      </c>
      <c r="F84" s="46">
        <v>107</v>
      </c>
      <c r="G84" s="46">
        <v>32312</v>
      </c>
      <c r="H84" s="46">
        <v>7.7</v>
      </c>
      <c r="I84" s="46">
        <v>4554</v>
      </c>
      <c r="J84" s="46">
        <v>76.599999999999994</v>
      </c>
      <c r="K84" s="46">
        <v>24.9</v>
      </c>
      <c r="L84" s="46">
        <v>45.4</v>
      </c>
      <c r="M84" s="46">
        <v>62.6</v>
      </c>
      <c r="N84" s="46">
        <v>1</v>
      </c>
      <c r="O84" s="46">
        <v>4.38</v>
      </c>
      <c r="P84" s="46">
        <v>11</v>
      </c>
      <c r="Q84" s="46">
        <v>3</v>
      </c>
      <c r="R84" s="46">
        <v>56.55</v>
      </c>
      <c r="S84" s="46">
        <f t="shared" si="2"/>
        <v>61.6</v>
      </c>
      <c r="T84" s="46" t="s">
        <v>1640</v>
      </c>
      <c r="U84" s="49" t="s">
        <v>321</v>
      </c>
    </row>
    <row r="85" spans="1:21" ht="15" customHeight="1" x14ac:dyDescent="0.25">
      <c r="A85" s="50" t="s">
        <v>4909</v>
      </c>
      <c r="B85" s="50" t="s">
        <v>2304</v>
      </c>
      <c r="C85" s="50" t="s">
        <v>4824</v>
      </c>
      <c r="D85" s="50" t="s">
        <v>4818</v>
      </c>
      <c r="E85" s="50">
        <v>61.9</v>
      </c>
      <c r="F85" s="50">
        <v>12</v>
      </c>
      <c r="G85" s="50">
        <v>40963</v>
      </c>
      <c r="H85" s="50">
        <v>11</v>
      </c>
      <c r="I85" s="50">
        <v>803</v>
      </c>
      <c r="J85" s="50">
        <v>84.4</v>
      </c>
      <c r="K85" s="50">
        <v>2.6</v>
      </c>
      <c r="L85" s="50">
        <v>60.1</v>
      </c>
      <c r="M85" s="50">
        <v>44.3</v>
      </c>
      <c r="N85" s="50">
        <v>5</v>
      </c>
      <c r="O85" s="50">
        <v>1.52</v>
      </c>
      <c r="P85" s="50">
        <v>3</v>
      </c>
      <c r="Q85" s="50">
        <v>4</v>
      </c>
      <c r="R85" s="50">
        <v>96.95</v>
      </c>
      <c r="S85" s="50">
        <f t="shared" si="2"/>
        <v>76.099999999999994</v>
      </c>
      <c r="T85" s="50" t="s">
        <v>1676</v>
      </c>
      <c r="U85" s="53" t="s">
        <v>266</v>
      </c>
    </row>
    <row r="86" spans="1:21" ht="15" customHeight="1" x14ac:dyDescent="0.25">
      <c r="A86" s="50" t="s">
        <v>4910</v>
      </c>
      <c r="B86" s="50" t="s">
        <v>2895</v>
      </c>
      <c r="C86" s="50" t="s">
        <v>4810</v>
      </c>
      <c r="D86" s="50" t="s">
        <v>4820</v>
      </c>
      <c r="E86" s="50">
        <v>55.3</v>
      </c>
      <c r="F86" s="50">
        <v>222</v>
      </c>
      <c r="G86" s="50">
        <v>13456</v>
      </c>
      <c r="H86" s="50">
        <v>49.7</v>
      </c>
      <c r="I86" s="50">
        <v>4996</v>
      </c>
      <c r="J86" s="50">
        <v>76.599999999999994</v>
      </c>
      <c r="K86" s="50">
        <v>6.5</v>
      </c>
      <c r="L86" s="50">
        <v>64.099999999999994</v>
      </c>
      <c r="M86" s="50">
        <v>55.6</v>
      </c>
      <c r="N86" s="50">
        <v>5</v>
      </c>
      <c r="O86" s="50">
        <v>10.97</v>
      </c>
      <c r="P86" s="50">
        <v>12</v>
      </c>
      <c r="Q86" s="50">
        <v>3</v>
      </c>
      <c r="R86" s="50">
        <v>7.73</v>
      </c>
      <c r="S86" s="50">
        <f t="shared" si="2"/>
        <v>65</v>
      </c>
      <c r="T86" s="50" t="s">
        <v>1676</v>
      </c>
      <c r="U86" s="53" t="s">
        <v>266</v>
      </c>
    </row>
    <row r="87" spans="1:21" ht="25.5" customHeight="1" x14ac:dyDescent="0.25">
      <c r="A87" s="54" t="s">
        <v>4911</v>
      </c>
      <c r="B87" s="54" t="s">
        <v>703</v>
      </c>
      <c r="C87" s="54" t="s">
        <v>4824</v>
      </c>
      <c r="D87" s="54" t="s">
        <v>4818</v>
      </c>
      <c r="E87" s="54">
        <v>20.8</v>
      </c>
      <c r="F87" s="54">
        <v>158</v>
      </c>
      <c r="G87" s="54">
        <v>11305</v>
      </c>
      <c r="H87" s="54">
        <v>63.4</v>
      </c>
      <c r="I87" s="54">
        <v>4022</v>
      </c>
      <c r="J87" s="54">
        <v>76.400000000000006</v>
      </c>
      <c r="K87" s="54">
        <v>32.799999999999997</v>
      </c>
      <c r="L87" s="54">
        <v>24.7</v>
      </c>
      <c r="M87" s="54">
        <v>86.6</v>
      </c>
      <c r="N87" s="54">
        <v>4</v>
      </c>
      <c r="O87" s="54">
        <v>10.98</v>
      </c>
      <c r="P87" s="54">
        <v>4</v>
      </c>
      <c r="Q87" s="54">
        <v>17</v>
      </c>
      <c r="R87" s="54">
        <v>81.069999999999993</v>
      </c>
      <c r="S87" s="54">
        <f t="shared" si="2"/>
        <v>42.4</v>
      </c>
      <c r="T87" s="54" t="s">
        <v>622</v>
      </c>
      <c r="U87" s="57" t="s">
        <v>495</v>
      </c>
    </row>
    <row r="88" spans="1:21" ht="15" customHeight="1" x14ac:dyDescent="0.25">
      <c r="A88" s="46" t="s">
        <v>4912</v>
      </c>
      <c r="B88" s="46" t="s">
        <v>1542</v>
      </c>
      <c r="C88" s="46" t="s">
        <v>4824</v>
      </c>
      <c r="D88" s="46" t="s">
        <v>4811</v>
      </c>
      <c r="E88" s="46">
        <v>26.1</v>
      </c>
      <c r="F88" s="46">
        <v>38</v>
      </c>
      <c r="G88" s="46">
        <v>23164</v>
      </c>
      <c r="H88" s="46">
        <v>40.299999999999997</v>
      </c>
      <c r="I88" s="46">
        <v>4436</v>
      </c>
      <c r="J88" s="46">
        <v>96.5</v>
      </c>
      <c r="K88" s="46">
        <v>9.1</v>
      </c>
      <c r="L88" s="46">
        <v>9.6</v>
      </c>
      <c r="M88" s="46">
        <v>53</v>
      </c>
      <c r="N88" s="46">
        <v>7</v>
      </c>
      <c r="O88" s="46">
        <v>8.73</v>
      </c>
      <c r="P88" s="46">
        <v>3</v>
      </c>
      <c r="Q88" s="46">
        <v>20</v>
      </c>
      <c r="R88" s="46">
        <v>43.42</v>
      </c>
      <c r="S88" s="46">
        <f t="shared" si="2"/>
        <v>51</v>
      </c>
      <c r="T88" s="46" t="s">
        <v>1640</v>
      </c>
      <c r="U88" s="49" t="s">
        <v>321</v>
      </c>
    </row>
    <row r="89" spans="1:21" ht="25.5" customHeight="1" x14ac:dyDescent="0.25">
      <c r="A89" s="50" t="s">
        <v>4913</v>
      </c>
      <c r="B89" s="50" t="s">
        <v>595</v>
      </c>
      <c r="C89" s="50" t="s">
        <v>4837</v>
      </c>
      <c r="D89" s="50" t="s">
        <v>4814</v>
      </c>
      <c r="E89" s="50">
        <v>76.7</v>
      </c>
      <c r="F89" s="50">
        <v>71</v>
      </c>
      <c r="G89" s="50">
        <v>19968</v>
      </c>
      <c r="H89" s="50">
        <v>14.9</v>
      </c>
      <c r="I89" s="50">
        <v>2704</v>
      </c>
      <c r="J89" s="50">
        <v>71.7</v>
      </c>
      <c r="K89" s="50">
        <v>31</v>
      </c>
      <c r="L89" s="50">
        <v>60.9</v>
      </c>
      <c r="M89" s="50">
        <v>72.400000000000006</v>
      </c>
      <c r="N89" s="50">
        <v>7</v>
      </c>
      <c r="O89" s="50">
        <v>6.23</v>
      </c>
      <c r="P89" s="50">
        <v>2</v>
      </c>
      <c r="Q89" s="50">
        <v>19</v>
      </c>
      <c r="R89" s="50">
        <v>97.45</v>
      </c>
      <c r="S89" s="50">
        <f t="shared" si="2"/>
        <v>76.2</v>
      </c>
      <c r="T89" s="50" t="s">
        <v>1676</v>
      </c>
      <c r="U89" s="53" t="s">
        <v>266</v>
      </c>
    </row>
    <row r="90" spans="1:21" ht="15" customHeight="1" x14ac:dyDescent="0.25">
      <c r="A90" s="46" t="s">
        <v>4914</v>
      </c>
      <c r="B90" s="46" t="s">
        <v>1428</v>
      </c>
      <c r="C90" s="46" t="s">
        <v>4817</v>
      </c>
      <c r="D90" s="46" t="s">
        <v>4818</v>
      </c>
      <c r="E90" s="46">
        <v>22.7</v>
      </c>
      <c r="F90" s="46">
        <v>236</v>
      </c>
      <c r="G90" s="46">
        <v>27114</v>
      </c>
      <c r="H90" s="46">
        <v>49.7</v>
      </c>
      <c r="I90" s="46">
        <v>2718</v>
      </c>
      <c r="J90" s="46">
        <v>72.599999999999994</v>
      </c>
      <c r="K90" s="46">
        <v>18.600000000000001</v>
      </c>
      <c r="L90" s="46">
        <v>49</v>
      </c>
      <c r="M90" s="46">
        <v>37.6</v>
      </c>
      <c r="N90" s="46">
        <v>2</v>
      </c>
      <c r="O90" s="46">
        <v>7.36</v>
      </c>
      <c r="P90" s="46">
        <v>9</v>
      </c>
      <c r="Q90" s="46">
        <v>1</v>
      </c>
      <c r="R90" s="46">
        <v>76.290000000000006</v>
      </c>
      <c r="S90" s="46">
        <f t="shared" si="2"/>
        <v>50.4</v>
      </c>
      <c r="T90" s="46" t="s">
        <v>1640</v>
      </c>
      <c r="U90" s="49" t="s">
        <v>321</v>
      </c>
    </row>
    <row r="91" spans="1:21" ht="25.5" customHeight="1" x14ac:dyDescent="0.25">
      <c r="A91" s="46" t="s">
        <v>4915</v>
      </c>
      <c r="B91" s="46" t="s">
        <v>2175</v>
      </c>
      <c r="C91" s="46" t="s">
        <v>4803</v>
      </c>
      <c r="D91" s="46" t="s">
        <v>4832</v>
      </c>
      <c r="E91" s="46">
        <v>60.3</v>
      </c>
      <c r="F91" s="46">
        <v>169</v>
      </c>
      <c r="G91" s="46">
        <v>19952</v>
      </c>
      <c r="H91" s="46">
        <v>10.8</v>
      </c>
      <c r="I91" s="46">
        <v>4057</v>
      </c>
      <c r="J91" s="46">
        <v>84.8</v>
      </c>
      <c r="K91" s="46">
        <v>15.2</v>
      </c>
      <c r="L91" s="46">
        <v>8.3000000000000007</v>
      </c>
      <c r="M91" s="46">
        <v>36.799999999999997</v>
      </c>
      <c r="N91" s="46">
        <v>0</v>
      </c>
      <c r="O91" s="46">
        <v>6.81</v>
      </c>
      <c r="P91" s="46">
        <v>0</v>
      </c>
      <c r="Q91" s="46">
        <v>19</v>
      </c>
      <c r="R91" s="46">
        <v>6.58</v>
      </c>
      <c r="S91" s="46">
        <f t="shared" si="2"/>
        <v>63.4</v>
      </c>
      <c r="T91" s="46" t="s">
        <v>1640</v>
      </c>
      <c r="U91" s="49" t="s">
        <v>321</v>
      </c>
    </row>
    <row r="92" spans="1:21" ht="15" customHeight="1" x14ac:dyDescent="0.25">
      <c r="A92" s="46" t="s">
        <v>4916</v>
      </c>
      <c r="B92" s="46" t="s">
        <v>806</v>
      </c>
      <c r="C92" s="46" t="s">
        <v>4837</v>
      </c>
      <c r="D92" s="46" t="s">
        <v>4808</v>
      </c>
      <c r="E92" s="46">
        <v>48.5</v>
      </c>
      <c r="F92" s="46">
        <v>37</v>
      </c>
      <c r="G92" s="46">
        <v>19373</v>
      </c>
      <c r="H92" s="46">
        <v>57.5</v>
      </c>
      <c r="I92" s="46">
        <v>3521</v>
      </c>
      <c r="J92" s="46">
        <v>78</v>
      </c>
      <c r="K92" s="46">
        <v>27.5</v>
      </c>
      <c r="L92" s="46">
        <v>50.1</v>
      </c>
      <c r="M92" s="46">
        <v>43.3</v>
      </c>
      <c r="N92" s="46">
        <v>5</v>
      </c>
      <c r="O92" s="46">
        <v>3.14</v>
      </c>
      <c r="P92" s="46">
        <v>2</v>
      </c>
      <c r="Q92" s="46">
        <v>1</v>
      </c>
      <c r="R92" s="46">
        <v>22.08</v>
      </c>
      <c r="S92" s="46">
        <f t="shared" si="2"/>
        <v>58.5</v>
      </c>
      <c r="T92" s="46" t="s">
        <v>1640</v>
      </c>
      <c r="U92" s="49" t="s">
        <v>321</v>
      </c>
    </row>
    <row r="93" spans="1:21" ht="15" customHeight="1" x14ac:dyDescent="0.25">
      <c r="A93" s="46" t="s">
        <v>4917</v>
      </c>
      <c r="B93" s="46" t="s">
        <v>3848</v>
      </c>
      <c r="C93" s="46" t="s">
        <v>4829</v>
      </c>
      <c r="D93" s="46" t="s">
        <v>4804</v>
      </c>
      <c r="E93" s="46">
        <v>56.7</v>
      </c>
      <c r="F93" s="46">
        <v>26</v>
      </c>
      <c r="G93" s="46">
        <v>47543</v>
      </c>
      <c r="H93" s="46">
        <v>62.4</v>
      </c>
      <c r="I93" s="46">
        <v>680</v>
      </c>
      <c r="J93" s="46">
        <v>96</v>
      </c>
      <c r="K93" s="46">
        <v>24.1</v>
      </c>
      <c r="L93" s="46">
        <v>14.6</v>
      </c>
      <c r="M93" s="46">
        <v>49.5</v>
      </c>
      <c r="N93" s="46">
        <v>1</v>
      </c>
      <c r="O93" s="46">
        <v>9.0299999999999994</v>
      </c>
      <c r="P93" s="46">
        <v>2</v>
      </c>
      <c r="Q93" s="46">
        <v>5</v>
      </c>
      <c r="R93" s="46">
        <v>39.6</v>
      </c>
      <c r="S93" s="46">
        <f t="shared" si="2"/>
        <v>56.8</v>
      </c>
      <c r="T93" s="46" t="s">
        <v>1640</v>
      </c>
      <c r="U93" s="49" t="s">
        <v>321</v>
      </c>
    </row>
    <row r="94" spans="1:21" ht="15" customHeight="1" x14ac:dyDescent="0.25">
      <c r="A94" s="50" t="s">
        <v>4918</v>
      </c>
      <c r="B94" s="50" t="s">
        <v>1785</v>
      </c>
      <c r="C94" s="50" t="s">
        <v>4803</v>
      </c>
      <c r="D94" s="50" t="s">
        <v>4818</v>
      </c>
      <c r="E94" s="50">
        <v>82.2</v>
      </c>
      <c r="F94" s="50">
        <v>89</v>
      </c>
      <c r="G94" s="50">
        <v>28097</v>
      </c>
      <c r="H94" s="50">
        <v>38.4</v>
      </c>
      <c r="I94" s="50">
        <v>304</v>
      </c>
      <c r="J94" s="50">
        <v>94.9</v>
      </c>
      <c r="K94" s="50">
        <v>22.6</v>
      </c>
      <c r="L94" s="50">
        <v>38.9</v>
      </c>
      <c r="M94" s="50">
        <v>42.6</v>
      </c>
      <c r="N94" s="50">
        <v>3</v>
      </c>
      <c r="O94" s="50">
        <v>2.61</v>
      </c>
      <c r="P94" s="50">
        <v>5</v>
      </c>
      <c r="Q94" s="50">
        <v>19</v>
      </c>
      <c r="R94" s="50">
        <v>52.75</v>
      </c>
      <c r="S94" s="50">
        <f t="shared" si="2"/>
        <v>74.8</v>
      </c>
      <c r="T94" s="50" t="s">
        <v>1676</v>
      </c>
      <c r="U94" s="53" t="s">
        <v>266</v>
      </c>
    </row>
    <row r="95" spans="1:21" ht="25.5" customHeight="1" x14ac:dyDescent="0.25">
      <c r="A95" s="46" t="s">
        <v>4919</v>
      </c>
      <c r="B95" s="46" t="s">
        <v>2315</v>
      </c>
      <c r="C95" s="46" t="s">
        <v>4837</v>
      </c>
      <c r="D95" s="46" t="s">
        <v>4820</v>
      </c>
      <c r="E95" s="46">
        <v>26.5</v>
      </c>
      <c r="F95" s="46">
        <v>152</v>
      </c>
      <c r="G95" s="46">
        <v>35804</v>
      </c>
      <c r="H95" s="46">
        <v>42.5</v>
      </c>
      <c r="I95" s="46">
        <v>2846</v>
      </c>
      <c r="J95" s="46">
        <v>86</v>
      </c>
      <c r="K95" s="46">
        <v>24.3</v>
      </c>
      <c r="L95" s="46">
        <v>64.3</v>
      </c>
      <c r="M95" s="46">
        <v>63.9</v>
      </c>
      <c r="N95" s="46">
        <v>7</v>
      </c>
      <c r="O95" s="46">
        <v>9.57</v>
      </c>
      <c r="P95" s="46">
        <v>1</v>
      </c>
      <c r="Q95" s="46">
        <v>11</v>
      </c>
      <c r="R95" s="46">
        <v>24.92</v>
      </c>
      <c r="S95" s="46">
        <f t="shared" si="2"/>
        <v>60.7</v>
      </c>
      <c r="T95" s="46" t="s">
        <v>1640</v>
      </c>
      <c r="U95" s="49" t="s">
        <v>321</v>
      </c>
    </row>
    <row r="96" spans="1:21" ht="15" customHeight="1" x14ac:dyDescent="0.25">
      <c r="A96" s="46" t="s">
        <v>4920</v>
      </c>
      <c r="B96" s="46" t="s">
        <v>2063</v>
      </c>
      <c r="C96" s="46" t="s">
        <v>4810</v>
      </c>
      <c r="D96" s="46" t="s">
        <v>4814</v>
      </c>
      <c r="E96" s="46">
        <v>26.6</v>
      </c>
      <c r="F96" s="46">
        <v>201</v>
      </c>
      <c r="G96" s="46">
        <v>11216</v>
      </c>
      <c r="H96" s="46">
        <v>49</v>
      </c>
      <c r="I96" s="46">
        <v>4009</v>
      </c>
      <c r="J96" s="46">
        <v>89.8</v>
      </c>
      <c r="K96" s="46">
        <v>9</v>
      </c>
      <c r="L96" s="46">
        <v>26.1</v>
      </c>
      <c r="M96" s="46">
        <v>37.6</v>
      </c>
      <c r="N96" s="46">
        <v>3</v>
      </c>
      <c r="O96" s="46">
        <v>1.72</v>
      </c>
      <c r="P96" s="46">
        <v>9</v>
      </c>
      <c r="Q96" s="46">
        <v>0</v>
      </c>
      <c r="R96" s="46">
        <v>57.46</v>
      </c>
      <c r="S96" s="46">
        <f t="shared" si="2"/>
        <v>51.4</v>
      </c>
      <c r="T96" s="46" t="s">
        <v>1640</v>
      </c>
      <c r="U96" s="49" t="s">
        <v>321</v>
      </c>
    </row>
    <row r="97" spans="1:21" ht="15" customHeight="1" x14ac:dyDescent="0.25">
      <c r="A97" s="46" t="s">
        <v>4921</v>
      </c>
      <c r="B97" s="46" t="s">
        <v>1848</v>
      </c>
      <c r="C97" s="46" t="s">
        <v>4810</v>
      </c>
      <c r="D97" s="46" t="s">
        <v>4811</v>
      </c>
      <c r="E97" s="46">
        <v>36</v>
      </c>
      <c r="F97" s="46">
        <v>121</v>
      </c>
      <c r="G97" s="46">
        <v>27145</v>
      </c>
      <c r="H97" s="46">
        <v>7.2</v>
      </c>
      <c r="I97" s="46">
        <v>2753</v>
      </c>
      <c r="J97" s="46">
        <v>75.2</v>
      </c>
      <c r="K97" s="46">
        <v>16.399999999999999</v>
      </c>
      <c r="L97" s="46">
        <v>36.799999999999997</v>
      </c>
      <c r="M97" s="46">
        <v>85.5</v>
      </c>
      <c r="N97" s="46">
        <v>5</v>
      </c>
      <c r="O97" s="46">
        <v>3.82</v>
      </c>
      <c r="P97" s="46">
        <v>10</v>
      </c>
      <c r="Q97" s="46">
        <v>1</v>
      </c>
      <c r="R97" s="46">
        <v>71.44</v>
      </c>
      <c r="S97" s="46">
        <f t="shared" si="2"/>
        <v>60.8</v>
      </c>
      <c r="T97" s="46" t="s">
        <v>1640</v>
      </c>
      <c r="U97" s="49" t="s">
        <v>321</v>
      </c>
    </row>
    <row r="98" spans="1:21" ht="15" customHeight="1" x14ac:dyDescent="0.25">
      <c r="A98" s="46" t="s">
        <v>4922</v>
      </c>
      <c r="B98" s="46" t="s">
        <v>1323</v>
      </c>
      <c r="C98" s="46" t="s">
        <v>4813</v>
      </c>
      <c r="D98" s="46" t="s">
        <v>4808</v>
      </c>
      <c r="E98" s="46">
        <v>23.7</v>
      </c>
      <c r="F98" s="46">
        <v>163</v>
      </c>
      <c r="G98" s="46">
        <v>32790</v>
      </c>
      <c r="H98" s="46">
        <v>40.1</v>
      </c>
      <c r="I98" s="46">
        <v>701</v>
      </c>
      <c r="J98" s="46">
        <v>90</v>
      </c>
      <c r="K98" s="46">
        <v>16.100000000000001</v>
      </c>
      <c r="L98" s="46">
        <v>28.6</v>
      </c>
      <c r="M98" s="46">
        <v>86.8</v>
      </c>
      <c r="N98" s="46">
        <v>3</v>
      </c>
      <c r="O98" s="46">
        <v>7.46</v>
      </c>
      <c r="P98" s="46">
        <v>4</v>
      </c>
      <c r="Q98" s="46">
        <v>7</v>
      </c>
      <c r="R98" s="46">
        <v>68.39</v>
      </c>
      <c r="S98" s="46">
        <f t="shared" si="2"/>
        <v>53</v>
      </c>
      <c r="T98" s="46" t="s">
        <v>1640</v>
      </c>
      <c r="U98" s="49" t="s">
        <v>321</v>
      </c>
    </row>
    <row r="99" spans="1:21" ht="15" customHeight="1" x14ac:dyDescent="0.25">
      <c r="A99" s="46" t="s">
        <v>4923</v>
      </c>
      <c r="B99" s="46" t="s">
        <v>1544</v>
      </c>
      <c r="C99" s="46" t="s">
        <v>4824</v>
      </c>
      <c r="D99" s="46" t="s">
        <v>4804</v>
      </c>
      <c r="E99" s="46">
        <v>34.4</v>
      </c>
      <c r="F99" s="46">
        <v>223</v>
      </c>
      <c r="G99" s="46">
        <v>14394</v>
      </c>
      <c r="H99" s="46">
        <v>48.8</v>
      </c>
      <c r="I99" s="46">
        <v>1700</v>
      </c>
      <c r="J99" s="46">
        <v>91.9</v>
      </c>
      <c r="K99" s="46">
        <v>24.4</v>
      </c>
      <c r="L99" s="46">
        <v>16.3</v>
      </c>
      <c r="M99" s="46">
        <v>63.1</v>
      </c>
      <c r="N99" s="46">
        <v>3</v>
      </c>
      <c r="O99" s="46">
        <v>4.01</v>
      </c>
      <c r="P99" s="46">
        <v>3</v>
      </c>
      <c r="Q99" s="46">
        <v>7</v>
      </c>
      <c r="R99" s="46">
        <v>82.72</v>
      </c>
      <c r="S99" s="46">
        <f t="shared" si="2"/>
        <v>52</v>
      </c>
      <c r="T99" s="46" t="s">
        <v>1640</v>
      </c>
      <c r="U99" s="49" t="s">
        <v>321</v>
      </c>
    </row>
    <row r="100" spans="1:21" ht="15" customHeight="1" x14ac:dyDescent="0.25">
      <c r="A100" s="46" t="s">
        <v>4924</v>
      </c>
      <c r="B100" s="46" t="s">
        <v>2281</v>
      </c>
      <c r="C100" s="46" t="s">
        <v>4800</v>
      </c>
      <c r="D100" s="46" t="s">
        <v>4808</v>
      </c>
      <c r="E100" s="46">
        <v>32.200000000000003</v>
      </c>
      <c r="F100" s="46">
        <v>244</v>
      </c>
      <c r="G100" s="46">
        <v>32049</v>
      </c>
      <c r="H100" s="46">
        <v>17.399999999999999</v>
      </c>
      <c r="I100" s="46">
        <v>2988</v>
      </c>
      <c r="J100" s="46">
        <v>73.5</v>
      </c>
      <c r="K100" s="46">
        <v>31.5</v>
      </c>
      <c r="L100" s="46">
        <v>49.1</v>
      </c>
      <c r="M100" s="46">
        <v>38</v>
      </c>
      <c r="N100" s="46">
        <v>3</v>
      </c>
      <c r="O100" s="46">
        <v>5.08</v>
      </c>
      <c r="P100" s="46">
        <v>1</v>
      </c>
      <c r="Q100" s="46">
        <v>5</v>
      </c>
      <c r="R100" s="46">
        <v>15.25</v>
      </c>
      <c r="S100" s="46">
        <f t="shared" si="2"/>
        <v>60</v>
      </c>
      <c r="T100" s="46" t="s">
        <v>1640</v>
      </c>
      <c r="U100" s="49" t="s">
        <v>321</v>
      </c>
    </row>
    <row r="101" spans="1:21" ht="15" customHeight="1" x14ac:dyDescent="0.25">
      <c r="A101" s="46" t="s">
        <v>4925</v>
      </c>
      <c r="B101" s="46" t="s">
        <v>1511</v>
      </c>
      <c r="C101" s="46" t="s">
        <v>4803</v>
      </c>
      <c r="D101" s="46" t="s">
        <v>4804</v>
      </c>
      <c r="E101" s="46">
        <v>59.3</v>
      </c>
      <c r="F101" s="46">
        <v>142</v>
      </c>
      <c r="G101" s="46">
        <v>25030</v>
      </c>
      <c r="H101" s="46">
        <v>14.8</v>
      </c>
      <c r="I101" s="46">
        <v>3957</v>
      </c>
      <c r="J101" s="46">
        <v>70.3</v>
      </c>
      <c r="K101" s="46">
        <v>9.1999999999999993</v>
      </c>
      <c r="L101" s="46">
        <v>27.5</v>
      </c>
      <c r="M101" s="46">
        <v>54.5</v>
      </c>
      <c r="N101" s="46">
        <v>1</v>
      </c>
      <c r="O101" s="46">
        <v>4.8</v>
      </c>
      <c r="P101" s="46">
        <v>2</v>
      </c>
      <c r="Q101" s="46">
        <v>7</v>
      </c>
      <c r="R101" s="46">
        <v>82.15</v>
      </c>
      <c r="S101" s="46">
        <f t="shared" si="2"/>
        <v>62.5</v>
      </c>
      <c r="T101" s="46" t="s">
        <v>1640</v>
      </c>
      <c r="U101" s="49" t="s">
        <v>321</v>
      </c>
    </row>
    <row r="102" spans="1:21" ht="15" customHeight="1" x14ac:dyDescent="0.25">
      <c r="A102" s="46" t="s">
        <v>4926</v>
      </c>
      <c r="B102" s="46" t="s">
        <v>2840</v>
      </c>
      <c r="C102" s="46" t="s">
        <v>4800</v>
      </c>
      <c r="D102" s="46" t="s">
        <v>4804</v>
      </c>
      <c r="E102" s="46">
        <v>49.1</v>
      </c>
      <c r="F102" s="46">
        <v>27</v>
      </c>
      <c r="G102" s="46">
        <v>24462</v>
      </c>
      <c r="H102" s="46">
        <v>61.7</v>
      </c>
      <c r="I102" s="46">
        <v>2856</v>
      </c>
      <c r="J102" s="46">
        <v>83.2</v>
      </c>
      <c r="K102" s="46">
        <v>18</v>
      </c>
      <c r="L102" s="46">
        <v>57.3</v>
      </c>
      <c r="M102" s="46">
        <v>92.4</v>
      </c>
      <c r="N102" s="46">
        <v>4</v>
      </c>
      <c r="O102" s="46">
        <v>7.61</v>
      </c>
      <c r="P102" s="46">
        <v>11</v>
      </c>
      <c r="Q102" s="46">
        <v>1</v>
      </c>
      <c r="R102" s="46">
        <v>27.34</v>
      </c>
      <c r="S102" s="46">
        <f t="shared" si="2"/>
        <v>61.1</v>
      </c>
      <c r="T102" s="46" t="s">
        <v>1640</v>
      </c>
      <c r="U102" s="49" t="s">
        <v>321</v>
      </c>
    </row>
    <row r="103" spans="1:21" ht="15" customHeight="1" x14ac:dyDescent="0.25">
      <c r="A103" s="62" t="s">
        <v>4927</v>
      </c>
      <c r="B103" s="62" t="s">
        <v>1463</v>
      </c>
      <c r="C103" s="62" t="s">
        <v>4817</v>
      </c>
      <c r="D103" s="62" t="s">
        <v>4832</v>
      </c>
      <c r="E103" s="62">
        <v>58.5</v>
      </c>
      <c r="F103" s="62">
        <v>6</v>
      </c>
      <c r="G103" s="62">
        <v>5771</v>
      </c>
      <c r="H103" s="62">
        <v>51</v>
      </c>
      <c r="I103" s="62">
        <v>4060</v>
      </c>
      <c r="J103" s="62">
        <v>88</v>
      </c>
      <c r="K103" s="62">
        <v>17.399999999999999</v>
      </c>
      <c r="L103" s="62">
        <v>20.3</v>
      </c>
      <c r="M103" s="62">
        <v>74.900000000000006</v>
      </c>
      <c r="N103" s="62">
        <v>0</v>
      </c>
      <c r="O103" s="62">
        <v>0</v>
      </c>
      <c r="P103" s="62">
        <v>2</v>
      </c>
      <c r="Q103" s="62">
        <v>9</v>
      </c>
      <c r="R103" s="62">
        <v>56.04</v>
      </c>
      <c r="S103" s="62">
        <v>64.5</v>
      </c>
      <c r="T103" s="66" t="s">
        <v>1640</v>
      </c>
      <c r="U103" s="66" t="s">
        <v>321</v>
      </c>
    </row>
    <row r="104" spans="1:21" ht="15" customHeight="1" x14ac:dyDescent="0.25">
      <c r="A104" s="64" t="s">
        <v>4928</v>
      </c>
      <c r="B104" s="64" t="s">
        <v>3843</v>
      </c>
      <c r="C104" s="64" t="s">
        <v>4829</v>
      </c>
      <c r="D104" s="64" t="s">
        <v>4814</v>
      </c>
      <c r="E104" s="64">
        <v>74</v>
      </c>
      <c r="F104" s="64">
        <v>20</v>
      </c>
      <c r="G104" s="64">
        <v>32619</v>
      </c>
      <c r="H104" s="64">
        <v>14.3</v>
      </c>
      <c r="I104" s="64">
        <v>2210</v>
      </c>
      <c r="J104" s="64">
        <v>80</v>
      </c>
      <c r="K104" s="64">
        <v>23.6</v>
      </c>
      <c r="L104" s="64">
        <v>57.8</v>
      </c>
      <c r="M104" s="64">
        <v>65</v>
      </c>
      <c r="N104" s="64">
        <v>3</v>
      </c>
      <c r="O104" s="64">
        <v>5.73</v>
      </c>
      <c r="P104" s="64">
        <v>7</v>
      </c>
      <c r="Q104" s="64">
        <v>18</v>
      </c>
      <c r="R104" s="64">
        <v>76.09</v>
      </c>
      <c r="S104" s="64">
        <v>79.3</v>
      </c>
      <c r="T104" s="65" t="s">
        <v>1676</v>
      </c>
      <c r="U104" s="65" t="s">
        <v>266</v>
      </c>
    </row>
    <row r="105" spans="1:21" ht="15" customHeight="1" x14ac:dyDescent="0.25">
      <c r="A105" s="62" t="s">
        <v>4929</v>
      </c>
      <c r="B105" s="62" t="s">
        <v>1986</v>
      </c>
      <c r="C105" s="62" t="s">
        <v>4810</v>
      </c>
      <c r="D105" s="62" t="s">
        <v>246</v>
      </c>
      <c r="E105" s="62">
        <v>81.2</v>
      </c>
      <c r="F105" s="62">
        <v>198</v>
      </c>
      <c r="G105" s="62">
        <v>35231</v>
      </c>
      <c r="H105" s="62">
        <v>25.3</v>
      </c>
      <c r="I105" s="62">
        <v>1856</v>
      </c>
      <c r="J105" s="62">
        <v>81</v>
      </c>
      <c r="K105" s="62">
        <v>23.1</v>
      </c>
      <c r="L105" s="62">
        <v>35.1</v>
      </c>
      <c r="M105" s="62">
        <v>68.400000000000006</v>
      </c>
      <c r="N105" s="62">
        <v>2</v>
      </c>
      <c r="O105" s="62">
        <v>6.88</v>
      </c>
      <c r="P105" s="62">
        <v>2</v>
      </c>
      <c r="Q105" s="62">
        <v>6</v>
      </c>
      <c r="R105" s="62">
        <v>51.57</v>
      </c>
      <c r="S105" s="62">
        <v>79.2</v>
      </c>
      <c r="T105" s="65" t="s">
        <v>1676</v>
      </c>
      <c r="U105" s="65" t="s">
        <v>266</v>
      </c>
    </row>
    <row r="106" spans="1:21" ht="15" customHeight="1" x14ac:dyDescent="0.25">
      <c r="A106" s="64" t="s">
        <v>4930</v>
      </c>
      <c r="B106" s="64" t="s">
        <v>4307</v>
      </c>
      <c r="C106" s="64" t="s">
        <v>4829</v>
      </c>
      <c r="D106" s="64" t="s">
        <v>4801</v>
      </c>
      <c r="E106" s="64">
        <v>65.7</v>
      </c>
      <c r="F106" s="64">
        <v>1</v>
      </c>
      <c r="G106" s="64">
        <v>39134</v>
      </c>
      <c r="H106" s="64">
        <v>23.6</v>
      </c>
      <c r="I106" s="64">
        <v>4113</v>
      </c>
      <c r="J106" s="64">
        <v>95.4</v>
      </c>
      <c r="K106" s="64">
        <v>19.100000000000001</v>
      </c>
      <c r="L106" s="64">
        <v>28.8</v>
      </c>
      <c r="M106" s="64">
        <v>77.099999999999994</v>
      </c>
      <c r="N106" s="64">
        <v>2</v>
      </c>
      <c r="O106" s="64">
        <v>1.74</v>
      </c>
      <c r="P106" s="64">
        <v>6</v>
      </c>
      <c r="Q106" s="64">
        <v>8</v>
      </c>
      <c r="R106" s="64">
        <v>23.45</v>
      </c>
      <c r="S106" s="64">
        <v>77.8</v>
      </c>
      <c r="T106" s="65" t="s">
        <v>1676</v>
      </c>
      <c r="U106" s="65" t="s">
        <v>266</v>
      </c>
    </row>
    <row r="107" spans="1:21" ht="15" customHeight="1" x14ac:dyDescent="0.25">
      <c r="A107" s="62" t="s">
        <v>4931</v>
      </c>
      <c r="B107" s="62" t="s">
        <v>1746</v>
      </c>
      <c r="C107" s="62" t="s">
        <v>4803</v>
      </c>
      <c r="D107" s="62" t="s">
        <v>4804</v>
      </c>
      <c r="E107" s="62">
        <v>78.5</v>
      </c>
      <c r="F107" s="62">
        <v>9</v>
      </c>
      <c r="G107" s="62">
        <v>38212</v>
      </c>
      <c r="H107" s="62">
        <v>48</v>
      </c>
      <c r="I107" s="62">
        <v>3917</v>
      </c>
      <c r="J107" s="62">
        <v>85.5</v>
      </c>
      <c r="K107" s="62">
        <v>8.6</v>
      </c>
      <c r="L107" s="62">
        <v>35.6</v>
      </c>
      <c r="M107" s="62">
        <v>55.2</v>
      </c>
      <c r="N107" s="62">
        <v>5</v>
      </c>
      <c r="O107" s="62">
        <v>6.35</v>
      </c>
      <c r="P107" s="62">
        <v>1</v>
      </c>
      <c r="Q107" s="62">
        <v>9</v>
      </c>
      <c r="R107" s="62">
        <v>22.21</v>
      </c>
      <c r="S107" s="62">
        <v>72.7</v>
      </c>
      <c r="T107" s="65" t="s">
        <v>1676</v>
      </c>
      <c r="U107" s="65" t="s">
        <v>266</v>
      </c>
    </row>
    <row r="108" spans="1:21" ht="15" customHeight="1" x14ac:dyDescent="0.25">
      <c r="A108" s="64" t="s">
        <v>4932</v>
      </c>
      <c r="B108" s="64" t="s">
        <v>1431</v>
      </c>
      <c r="C108" s="64" t="s">
        <v>4800</v>
      </c>
      <c r="D108" s="64" t="s">
        <v>4814</v>
      </c>
      <c r="E108" s="64">
        <v>39.299999999999997</v>
      </c>
      <c r="F108" s="64">
        <v>118</v>
      </c>
      <c r="G108" s="64">
        <v>3457</v>
      </c>
      <c r="H108" s="64">
        <v>26.8</v>
      </c>
      <c r="I108" s="64">
        <v>3083</v>
      </c>
      <c r="J108" s="64">
        <v>72.400000000000006</v>
      </c>
      <c r="K108" s="64">
        <v>22.8</v>
      </c>
      <c r="L108" s="64">
        <v>60.6</v>
      </c>
      <c r="M108" s="64">
        <v>88.2</v>
      </c>
      <c r="N108" s="64">
        <v>2</v>
      </c>
      <c r="O108" s="64">
        <v>8.7799999999999994</v>
      </c>
      <c r="P108" s="64">
        <v>4</v>
      </c>
      <c r="Q108" s="64">
        <v>13</v>
      </c>
      <c r="R108" s="64">
        <v>84.91</v>
      </c>
      <c r="S108" s="64">
        <v>59.4</v>
      </c>
      <c r="T108" s="66" t="s">
        <v>1640</v>
      </c>
      <c r="U108" s="66" t="s">
        <v>321</v>
      </c>
    </row>
    <row r="109" spans="1:21" ht="15" customHeight="1" x14ac:dyDescent="0.25">
      <c r="A109" s="62" t="s">
        <v>4933</v>
      </c>
      <c r="B109" s="62" t="s">
        <v>4934</v>
      </c>
      <c r="C109" s="62" t="s">
        <v>4837</v>
      </c>
      <c r="D109" s="62" t="s">
        <v>4808</v>
      </c>
      <c r="E109" s="62">
        <v>48.3</v>
      </c>
      <c r="F109" s="62">
        <v>18</v>
      </c>
      <c r="G109" s="62">
        <v>24200</v>
      </c>
      <c r="H109" s="62">
        <v>41.3</v>
      </c>
      <c r="I109" s="62">
        <v>723</v>
      </c>
      <c r="J109" s="62">
        <v>85.1</v>
      </c>
      <c r="K109" s="62">
        <v>24.7</v>
      </c>
      <c r="L109" s="62">
        <v>54.8</v>
      </c>
      <c r="M109" s="62">
        <v>68.599999999999994</v>
      </c>
      <c r="N109" s="62">
        <v>0</v>
      </c>
      <c r="O109" s="62">
        <v>0</v>
      </c>
      <c r="P109" s="62">
        <v>2</v>
      </c>
      <c r="Q109" s="62">
        <v>14</v>
      </c>
      <c r="R109" s="62">
        <v>47.54</v>
      </c>
      <c r="S109" s="62">
        <v>62.5</v>
      </c>
      <c r="T109" s="66" t="s">
        <v>1640</v>
      </c>
      <c r="U109" s="66" t="s">
        <v>321</v>
      </c>
    </row>
    <row r="110" spans="1:21" ht="25.5" customHeight="1" x14ac:dyDescent="0.25">
      <c r="A110" s="64" t="s">
        <v>4935</v>
      </c>
      <c r="B110" s="64" t="s">
        <v>1590</v>
      </c>
      <c r="C110" s="64" t="s">
        <v>4810</v>
      </c>
      <c r="D110" s="64" t="s">
        <v>4811</v>
      </c>
      <c r="E110" s="64">
        <v>79</v>
      </c>
      <c r="F110" s="64">
        <v>3</v>
      </c>
      <c r="G110" s="64">
        <v>33983</v>
      </c>
      <c r="H110" s="64">
        <v>21.9</v>
      </c>
      <c r="I110" s="64">
        <v>345</v>
      </c>
      <c r="J110" s="64">
        <v>90.2</v>
      </c>
      <c r="K110" s="64">
        <v>19.8</v>
      </c>
      <c r="L110" s="64">
        <v>60.3</v>
      </c>
      <c r="M110" s="64">
        <v>59.3</v>
      </c>
      <c r="N110" s="64">
        <v>2</v>
      </c>
      <c r="O110" s="64">
        <v>9.76</v>
      </c>
      <c r="P110" s="64">
        <v>5</v>
      </c>
      <c r="Q110" s="64">
        <v>13</v>
      </c>
      <c r="R110" s="64">
        <v>75.290000000000006</v>
      </c>
      <c r="S110" s="64">
        <v>82.1</v>
      </c>
      <c r="T110" s="65" t="s">
        <v>1676</v>
      </c>
      <c r="U110" s="65" t="s">
        <v>266</v>
      </c>
    </row>
    <row r="111" spans="1:21" ht="15" customHeight="1" x14ac:dyDescent="0.25">
      <c r="A111" s="62" t="s">
        <v>4936</v>
      </c>
      <c r="B111" s="62" t="s">
        <v>1325</v>
      </c>
      <c r="C111" s="62" t="s">
        <v>4807</v>
      </c>
      <c r="D111" s="62" t="s">
        <v>246</v>
      </c>
      <c r="E111" s="62">
        <v>83</v>
      </c>
      <c r="F111" s="62">
        <v>59</v>
      </c>
      <c r="G111" s="62">
        <v>46361</v>
      </c>
      <c r="H111" s="62">
        <v>18.600000000000001</v>
      </c>
      <c r="I111" s="62">
        <v>2197</v>
      </c>
      <c r="J111" s="62">
        <v>96.5</v>
      </c>
      <c r="K111" s="62">
        <v>18.2</v>
      </c>
      <c r="L111" s="62">
        <v>24.7</v>
      </c>
      <c r="M111" s="62">
        <v>41.4</v>
      </c>
      <c r="N111" s="62">
        <v>3</v>
      </c>
      <c r="O111" s="62">
        <v>6.45</v>
      </c>
      <c r="P111" s="62">
        <v>10</v>
      </c>
      <c r="Q111" s="62">
        <v>6</v>
      </c>
      <c r="R111" s="62">
        <v>2.23</v>
      </c>
      <c r="S111" s="62">
        <v>86.6</v>
      </c>
      <c r="T111" s="65" t="s">
        <v>1676</v>
      </c>
      <c r="U111" s="65" t="s">
        <v>266</v>
      </c>
    </row>
    <row r="112" spans="1:21" ht="15" customHeight="1" x14ac:dyDescent="0.25">
      <c r="A112" s="64" t="s">
        <v>4937</v>
      </c>
      <c r="B112" s="64" t="s">
        <v>2229</v>
      </c>
      <c r="C112" s="64" t="s">
        <v>4824</v>
      </c>
      <c r="D112" s="64" t="s">
        <v>4801</v>
      </c>
      <c r="E112" s="64">
        <v>58.4</v>
      </c>
      <c r="F112" s="64">
        <v>35</v>
      </c>
      <c r="G112" s="64">
        <v>12095</v>
      </c>
      <c r="H112" s="64">
        <v>45.4</v>
      </c>
      <c r="I112" s="64">
        <v>3455</v>
      </c>
      <c r="J112" s="64">
        <v>81.900000000000006</v>
      </c>
      <c r="K112" s="64">
        <v>25.9</v>
      </c>
      <c r="L112" s="64">
        <v>64.7</v>
      </c>
      <c r="M112" s="64">
        <v>72.099999999999994</v>
      </c>
      <c r="N112" s="64">
        <v>0</v>
      </c>
      <c r="O112" s="64">
        <v>0</v>
      </c>
      <c r="P112" s="64">
        <v>9</v>
      </c>
      <c r="Q112" s="64">
        <v>0</v>
      </c>
      <c r="R112" s="64">
        <v>77.11</v>
      </c>
      <c r="S112" s="64">
        <v>64.3</v>
      </c>
      <c r="T112" s="66" t="s">
        <v>1640</v>
      </c>
      <c r="U112" s="66" t="s">
        <v>321</v>
      </c>
    </row>
    <row r="113" spans="1:21" ht="15" customHeight="1" x14ac:dyDescent="0.25">
      <c r="A113" s="62" t="s">
        <v>4938</v>
      </c>
      <c r="B113" s="62" t="s">
        <v>4939</v>
      </c>
      <c r="C113" s="62" t="s">
        <v>4800</v>
      </c>
      <c r="D113" s="62" t="s">
        <v>4832</v>
      </c>
      <c r="E113" s="62">
        <v>50.2</v>
      </c>
      <c r="F113" s="62">
        <v>56</v>
      </c>
      <c r="G113" s="62">
        <v>33024</v>
      </c>
      <c r="H113" s="62">
        <v>46.8</v>
      </c>
      <c r="I113" s="62">
        <v>4907</v>
      </c>
      <c r="J113" s="62">
        <v>93.4</v>
      </c>
      <c r="K113" s="62">
        <v>2.4</v>
      </c>
      <c r="L113" s="62">
        <v>38.200000000000003</v>
      </c>
      <c r="M113" s="62">
        <v>50.3</v>
      </c>
      <c r="N113" s="62">
        <v>3</v>
      </c>
      <c r="O113" s="62">
        <v>2.04</v>
      </c>
      <c r="P113" s="62">
        <v>10</v>
      </c>
      <c r="Q113" s="62">
        <v>5</v>
      </c>
      <c r="R113" s="62">
        <v>69.64</v>
      </c>
      <c r="S113" s="62">
        <v>64.099999999999994</v>
      </c>
      <c r="T113" s="66" t="s">
        <v>1640</v>
      </c>
      <c r="U113" s="66" t="s">
        <v>321</v>
      </c>
    </row>
    <row r="114" spans="1:21" ht="15" customHeight="1" x14ac:dyDescent="0.25">
      <c r="A114" s="64" t="s">
        <v>4940</v>
      </c>
      <c r="B114" s="64" t="s">
        <v>4941</v>
      </c>
      <c r="C114" s="64" t="s">
        <v>4803</v>
      </c>
      <c r="D114" s="64" t="s">
        <v>4832</v>
      </c>
      <c r="E114" s="64">
        <v>72.900000000000006</v>
      </c>
      <c r="F114" s="64">
        <v>103</v>
      </c>
      <c r="G114" s="64">
        <v>1677</v>
      </c>
      <c r="H114" s="64">
        <v>45.8</v>
      </c>
      <c r="I114" s="64">
        <v>2589</v>
      </c>
      <c r="J114" s="64">
        <v>93.2</v>
      </c>
      <c r="K114" s="64">
        <v>19.5</v>
      </c>
      <c r="L114" s="64">
        <v>60.9</v>
      </c>
      <c r="M114" s="64">
        <v>82.2</v>
      </c>
      <c r="N114" s="64">
        <v>5</v>
      </c>
      <c r="O114" s="64">
        <v>3.03</v>
      </c>
      <c r="P114" s="64">
        <v>2</v>
      </c>
      <c r="Q114" s="64">
        <v>4</v>
      </c>
      <c r="R114" s="64">
        <v>82.84</v>
      </c>
      <c r="S114" s="64">
        <v>73.400000000000006</v>
      </c>
      <c r="T114" s="65" t="s">
        <v>1676</v>
      </c>
      <c r="U114" s="65" t="s">
        <v>266</v>
      </c>
    </row>
    <row r="115" spans="1:21" ht="15" customHeight="1" x14ac:dyDescent="0.25">
      <c r="A115" s="62" t="s">
        <v>4942</v>
      </c>
      <c r="B115" s="62" t="s">
        <v>2242</v>
      </c>
      <c r="C115" s="62" t="s">
        <v>4824</v>
      </c>
      <c r="D115" s="62" t="s">
        <v>4804</v>
      </c>
      <c r="E115" s="62">
        <v>38.4</v>
      </c>
      <c r="F115" s="62">
        <v>144</v>
      </c>
      <c r="G115" s="62">
        <v>27794</v>
      </c>
      <c r="H115" s="62">
        <v>47.1</v>
      </c>
      <c r="I115" s="62">
        <v>646</v>
      </c>
      <c r="J115" s="62">
        <v>85.8</v>
      </c>
      <c r="K115" s="62">
        <v>12.6</v>
      </c>
      <c r="L115" s="62">
        <v>53.4</v>
      </c>
      <c r="M115" s="62">
        <v>41.5</v>
      </c>
      <c r="N115" s="62">
        <v>3</v>
      </c>
      <c r="O115" s="62">
        <v>2.06</v>
      </c>
      <c r="P115" s="62">
        <v>0</v>
      </c>
      <c r="Q115" s="62">
        <v>2</v>
      </c>
      <c r="R115" s="62">
        <v>40.22</v>
      </c>
      <c r="S115" s="62">
        <v>57</v>
      </c>
      <c r="T115" s="66" t="s">
        <v>1640</v>
      </c>
      <c r="U115" s="66" t="s">
        <v>321</v>
      </c>
    </row>
    <row r="116" spans="1:21" ht="15" customHeight="1" x14ac:dyDescent="0.25">
      <c r="A116" s="64" t="s">
        <v>4943</v>
      </c>
      <c r="B116" s="64" t="s">
        <v>1863</v>
      </c>
      <c r="C116" s="64" t="s">
        <v>4803</v>
      </c>
      <c r="D116" s="64" t="s">
        <v>4804</v>
      </c>
      <c r="E116" s="64">
        <v>53.2</v>
      </c>
      <c r="F116" s="64">
        <v>149</v>
      </c>
      <c r="G116" s="64">
        <v>38199</v>
      </c>
      <c r="H116" s="64">
        <v>14.8</v>
      </c>
      <c r="I116" s="64">
        <v>4179</v>
      </c>
      <c r="J116" s="64">
        <v>94.3</v>
      </c>
      <c r="K116" s="64">
        <v>3.3</v>
      </c>
      <c r="L116" s="64">
        <v>69.7</v>
      </c>
      <c r="M116" s="64">
        <v>80.8</v>
      </c>
      <c r="N116" s="64">
        <v>1</v>
      </c>
      <c r="O116" s="64">
        <v>4.91</v>
      </c>
      <c r="P116" s="64">
        <v>8</v>
      </c>
      <c r="Q116" s="64">
        <v>4</v>
      </c>
      <c r="R116" s="64">
        <v>41.87</v>
      </c>
      <c r="S116" s="64">
        <v>75.099999999999994</v>
      </c>
      <c r="T116" s="65" t="s">
        <v>1676</v>
      </c>
      <c r="U116" s="65" t="s">
        <v>266</v>
      </c>
    </row>
    <row r="117" spans="1:21" ht="15" customHeight="1" x14ac:dyDescent="0.25">
      <c r="A117" s="62" t="s">
        <v>4944</v>
      </c>
      <c r="B117" s="62" t="s">
        <v>4934</v>
      </c>
      <c r="C117" s="62" t="s">
        <v>4813</v>
      </c>
      <c r="D117" s="62" t="s">
        <v>4808</v>
      </c>
      <c r="E117" s="62">
        <v>52.5</v>
      </c>
      <c r="F117" s="62">
        <v>118</v>
      </c>
      <c r="G117" s="62">
        <v>48435</v>
      </c>
      <c r="H117" s="62">
        <v>55.3</v>
      </c>
      <c r="I117" s="62">
        <v>59</v>
      </c>
      <c r="J117" s="62">
        <v>85.5</v>
      </c>
      <c r="K117" s="62">
        <v>24.8</v>
      </c>
      <c r="L117" s="62">
        <v>28.5</v>
      </c>
      <c r="M117" s="62">
        <v>53.1</v>
      </c>
      <c r="N117" s="62">
        <v>3</v>
      </c>
      <c r="O117" s="62">
        <v>5.87</v>
      </c>
      <c r="P117" s="62">
        <v>2</v>
      </c>
      <c r="Q117" s="62">
        <v>0</v>
      </c>
      <c r="R117" s="62">
        <v>20.62</v>
      </c>
      <c r="S117" s="62">
        <v>60.1</v>
      </c>
      <c r="T117" s="66" t="s">
        <v>1640</v>
      </c>
      <c r="U117" s="66" t="s">
        <v>321</v>
      </c>
    </row>
    <row r="118" spans="1:21" ht="15" customHeight="1" x14ac:dyDescent="0.25">
      <c r="A118" s="64" t="s">
        <v>4945</v>
      </c>
      <c r="B118" s="64" t="s">
        <v>1801</v>
      </c>
      <c r="C118" s="64" t="s">
        <v>4803</v>
      </c>
      <c r="D118" s="64" t="s">
        <v>4832</v>
      </c>
      <c r="E118" s="64">
        <v>68.099999999999994</v>
      </c>
      <c r="F118" s="64">
        <v>171</v>
      </c>
      <c r="G118" s="64">
        <v>15462</v>
      </c>
      <c r="H118" s="64">
        <v>58.5</v>
      </c>
      <c r="I118" s="64">
        <v>723</v>
      </c>
      <c r="J118" s="64">
        <v>89.6</v>
      </c>
      <c r="K118" s="64">
        <v>7.9</v>
      </c>
      <c r="L118" s="64">
        <v>29.6</v>
      </c>
      <c r="M118" s="64">
        <v>74.400000000000006</v>
      </c>
      <c r="N118" s="64">
        <v>5</v>
      </c>
      <c r="O118" s="64">
        <v>6.02</v>
      </c>
      <c r="P118" s="64">
        <v>0</v>
      </c>
      <c r="Q118" s="64">
        <v>3</v>
      </c>
      <c r="R118" s="64">
        <v>28.23</v>
      </c>
      <c r="S118" s="64">
        <v>66.599999999999994</v>
      </c>
      <c r="T118" s="65" t="s">
        <v>1676</v>
      </c>
      <c r="U118" s="65" t="s">
        <v>266</v>
      </c>
    </row>
    <row r="119" spans="1:21" ht="15" customHeight="1" x14ac:dyDescent="0.25">
      <c r="A119" s="62" t="s">
        <v>4946</v>
      </c>
      <c r="B119" s="62" t="s">
        <v>755</v>
      </c>
      <c r="C119" s="62" t="s">
        <v>4803</v>
      </c>
      <c r="D119" s="62" t="s">
        <v>4825</v>
      </c>
      <c r="E119" s="62">
        <v>51.5</v>
      </c>
      <c r="F119" s="62">
        <v>98</v>
      </c>
      <c r="G119" s="62">
        <v>39343</v>
      </c>
      <c r="H119" s="62">
        <v>14.9</v>
      </c>
      <c r="I119" s="62">
        <v>2795</v>
      </c>
      <c r="J119" s="62">
        <v>93.8</v>
      </c>
      <c r="K119" s="62">
        <v>13.7</v>
      </c>
      <c r="L119" s="62">
        <v>10.1</v>
      </c>
      <c r="M119" s="62">
        <v>52.9</v>
      </c>
      <c r="N119" s="62">
        <v>4</v>
      </c>
      <c r="O119" s="62">
        <v>5.31</v>
      </c>
      <c r="P119" s="62">
        <v>4</v>
      </c>
      <c r="Q119" s="62">
        <v>7</v>
      </c>
      <c r="R119" s="62">
        <v>56.14</v>
      </c>
      <c r="S119" s="62">
        <v>74.3</v>
      </c>
      <c r="T119" s="65" t="s">
        <v>1676</v>
      </c>
      <c r="U119" s="65" t="s">
        <v>266</v>
      </c>
    </row>
    <row r="120" spans="1:21" ht="15" customHeight="1" x14ac:dyDescent="0.25">
      <c r="A120" s="64" t="s">
        <v>4947</v>
      </c>
      <c r="B120" s="64" t="s">
        <v>1999</v>
      </c>
      <c r="C120" s="64" t="s">
        <v>4829</v>
      </c>
      <c r="D120" s="64" t="s">
        <v>4808</v>
      </c>
      <c r="E120" s="64">
        <v>76.8</v>
      </c>
      <c r="F120" s="64">
        <v>179</v>
      </c>
      <c r="G120" s="64">
        <v>9714</v>
      </c>
      <c r="H120" s="64">
        <v>48.1</v>
      </c>
      <c r="I120" s="64">
        <v>627</v>
      </c>
      <c r="J120" s="64">
        <v>83.5</v>
      </c>
      <c r="K120" s="64">
        <v>16.600000000000001</v>
      </c>
      <c r="L120" s="64">
        <v>34.9</v>
      </c>
      <c r="M120" s="64">
        <v>65.099999999999994</v>
      </c>
      <c r="N120" s="64">
        <v>0</v>
      </c>
      <c r="O120" s="64">
        <v>0</v>
      </c>
      <c r="P120" s="64">
        <v>6</v>
      </c>
      <c r="Q120" s="64">
        <v>20</v>
      </c>
      <c r="R120" s="64">
        <v>37.69</v>
      </c>
      <c r="S120" s="64">
        <v>71.3</v>
      </c>
      <c r="T120" s="65" t="s">
        <v>1676</v>
      </c>
      <c r="U120" s="65" t="s">
        <v>266</v>
      </c>
    </row>
    <row r="121" spans="1:21" ht="15" customHeight="1" x14ac:dyDescent="0.25">
      <c r="A121" s="62" t="s">
        <v>4948</v>
      </c>
      <c r="B121" s="62" t="s">
        <v>3457</v>
      </c>
      <c r="C121" s="62" t="s">
        <v>4829</v>
      </c>
      <c r="D121" s="62" t="s">
        <v>4808</v>
      </c>
      <c r="E121" s="62">
        <v>67.400000000000006</v>
      </c>
      <c r="F121" s="62">
        <v>88</v>
      </c>
      <c r="G121" s="62">
        <v>42383</v>
      </c>
      <c r="H121" s="62">
        <v>34</v>
      </c>
      <c r="I121" s="62">
        <v>434</v>
      </c>
      <c r="J121" s="62">
        <v>73</v>
      </c>
      <c r="K121" s="62">
        <v>19.899999999999999</v>
      </c>
      <c r="L121" s="62">
        <v>25.2</v>
      </c>
      <c r="M121" s="62">
        <v>78.599999999999994</v>
      </c>
      <c r="N121" s="62">
        <v>5</v>
      </c>
      <c r="O121" s="62">
        <v>6.58</v>
      </c>
      <c r="P121" s="62">
        <v>10</v>
      </c>
      <c r="Q121" s="62">
        <v>16</v>
      </c>
      <c r="R121" s="62">
        <v>9.32</v>
      </c>
      <c r="S121" s="62">
        <v>68.7</v>
      </c>
      <c r="T121" s="65" t="s">
        <v>1676</v>
      </c>
      <c r="U121" s="65" t="s">
        <v>266</v>
      </c>
    </row>
    <row r="122" spans="1:21" ht="15" customHeight="1" x14ac:dyDescent="0.25">
      <c r="A122" s="64" t="s">
        <v>4949</v>
      </c>
      <c r="B122" s="64" t="s">
        <v>1599</v>
      </c>
      <c r="C122" s="64" t="s">
        <v>4813</v>
      </c>
      <c r="D122" s="64" t="s">
        <v>4818</v>
      </c>
      <c r="E122" s="64">
        <v>74.2</v>
      </c>
      <c r="F122" s="64">
        <v>30</v>
      </c>
      <c r="G122" s="64">
        <v>31292</v>
      </c>
      <c r="H122" s="64">
        <v>8</v>
      </c>
      <c r="I122" s="64">
        <v>4917</v>
      </c>
      <c r="J122" s="64">
        <v>98.3</v>
      </c>
      <c r="K122" s="64">
        <v>13</v>
      </c>
      <c r="L122" s="64">
        <v>27.9</v>
      </c>
      <c r="M122" s="64">
        <v>62.3</v>
      </c>
      <c r="N122" s="64">
        <v>0</v>
      </c>
      <c r="O122" s="64">
        <v>0</v>
      </c>
      <c r="P122" s="64">
        <v>3</v>
      </c>
      <c r="Q122" s="64">
        <v>0</v>
      </c>
      <c r="R122" s="64">
        <v>51.32</v>
      </c>
      <c r="S122" s="64">
        <v>86.8</v>
      </c>
      <c r="T122" s="65" t="s">
        <v>1676</v>
      </c>
      <c r="U122" s="65" t="s">
        <v>266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22"/>
  <sheetViews>
    <sheetView zoomScaleNormal="100" workbookViewId="0">
      <pane xSplit="2" ySplit="2" topLeftCell="G107" activePane="bottomRight" state="frozen"/>
      <selection pane="topRight" activeCell="G1" sqref="G1"/>
      <selection pane="bottomLeft" activeCell="A107" sqref="A107"/>
      <selection pane="bottomRight" activeCell="F10" sqref="F10"/>
    </sheetView>
  </sheetViews>
  <sheetFormatPr defaultColWidth="8.7109375" defaultRowHeight="15" x14ac:dyDescent="0.25"/>
  <cols>
    <col min="1" max="1" width="11.7109375" customWidth="1"/>
    <col min="2" max="2" width="8.85546875" customWidth="1"/>
    <col min="3" max="3" width="21.5703125" customWidth="1"/>
    <col min="4" max="4" width="18" customWidth="1"/>
    <col min="5" max="5" width="14.5703125" customWidth="1"/>
    <col min="6" max="6" width="14" customWidth="1"/>
    <col min="7" max="7" width="12.7109375" customWidth="1"/>
    <col min="8" max="8" width="11" customWidth="1"/>
    <col min="9" max="9" width="18" customWidth="1"/>
    <col min="10" max="10" width="18.42578125" customWidth="1"/>
    <col min="11" max="11" width="25.28515625" customWidth="1"/>
    <col min="12" max="12" width="10.28515625" customWidth="1"/>
    <col min="13" max="13" width="8.5703125" customWidth="1"/>
    <col min="15" max="15" width="24" customWidth="1"/>
    <col min="16" max="16" width="25.140625" customWidth="1"/>
    <col min="17" max="17" width="19.140625" customWidth="1"/>
    <col min="18" max="18" width="20.7109375" customWidth="1"/>
    <col min="19" max="19" width="15.5703125" customWidth="1"/>
    <col min="20" max="20" width="19.28515625" customWidth="1"/>
    <col min="21" max="21" width="7.5703125" customWidth="1"/>
    <col min="22" max="22" width="7" customWidth="1"/>
  </cols>
  <sheetData>
    <row r="1" spans="1:22" ht="37.5" customHeight="1" x14ac:dyDescent="0.25">
      <c r="A1" s="138" t="s">
        <v>4950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</row>
    <row r="2" spans="1:22" ht="21.75" customHeight="1" x14ac:dyDescent="0.25">
      <c r="A2" s="58" t="s">
        <v>2148</v>
      </c>
      <c r="B2" s="58" t="s">
        <v>2119</v>
      </c>
      <c r="C2" s="58" t="s">
        <v>4951</v>
      </c>
      <c r="D2" s="58" t="s">
        <v>4952</v>
      </c>
      <c r="E2" s="58" t="s">
        <v>4953</v>
      </c>
      <c r="F2" s="58" t="s">
        <v>4954</v>
      </c>
      <c r="G2" s="58" t="s">
        <v>4955</v>
      </c>
      <c r="H2" s="58" t="s">
        <v>4956</v>
      </c>
      <c r="I2" s="58" t="s">
        <v>4957</v>
      </c>
      <c r="J2" s="58" t="s">
        <v>4958</v>
      </c>
      <c r="K2" s="58" t="s">
        <v>4959</v>
      </c>
      <c r="L2" s="58" t="s">
        <v>4960</v>
      </c>
      <c r="M2" s="58" t="s">
        <v>4961</v>
      </c>
      <c r="N2" s="58" t="s">
        <v>4962</v>
      </c>
      <c r="O2" s="58" t="s">
        <v>4963</v>
      </c>
      <c r="P2" s="58" t="s">
        <v>4964</v>
      </c>
      <c r="Q2" s="58" t="s">
        <v>4965</v>
      </c>
      <c r="R2" s="58" t="s">
        <v>4966</v>
      </c>
      <c r="S2" s="58" t="s">
        <v>4967</v>
      </c>
      <c r="T2" s="58" t="s">
        <v>4968</v>
      </c>
      <c r="U2" s="58" t="s">
        <v>567</v>
      </c>
      <c r="V2" s="58" t="s">
        <v>568</v>
      </c>
    </row>
    <row r="3" spans="1:22" ht="15" customHeight="1" x14ac:dyDescent="0.25">
      <c r="A3" s="62" t="s">
        <v>4969</v>
      </c>
      <c r="B3" s="62" t="s">
        <v>2145</v>
      </c>
      <c r="C3" s="62" t="s">
        <v>4970</v>
      </c>
      <c r="D3" s="62" t="s">
        <v>4971</v>
      </c>
      <c r="E3" s="62">
        <v>17.809999999999999</v>
      </c>
      <c r="F3" s="62">
        <v>20.18</v>
      </c>
      <c r="G3" s="67">
        <f t="shared" ref="G3:G34" si="0">ROUND((F3-E3)/ABS(E3)*100,1)</f>
        <v>13.3</v>
      </c>
      <c r="H3" s="62">
        <v>17.899999999999999</v>
      </c>
      <c r="I3" s="67">
        <f t="shared" ref="I3:I34" si="1">ROUND(H3*F3/100,2)</f>
        <v>3.61</v>
      </c>
      <c r="J3" s="62">
        <v>19.54</v>
      </c>
      <c r="K3" s="62">
        <v>18.559999999999999</v>
      </c>
      <c r="L3" s="62">
        <v>13.29</v>
      </c>
      <c r="M3" s="62">
        <v>1.1000000000000001</v>
      </c>
      <c r="N3" s="62">
        <v>14.15</v>
      </c>
      <c r="O3" s="62">
        <v>48.48</v>
      </c>
      <c r="P3" s="62">
        <v>3.81</v>
      </c>
      <c r="Q3" s="62">
        <v>9.44</v>
      </c>
      <c r="R3" s="62">
        <v>8.89</v>
      </c>
      <c r="S3" s="62">
        <v>78.430000000000007</v>
      </c>
      <c r="T3" s="62" t="s">
        <v>4972</v>
      </c>
      <c r="U3" s="65" t="s">
        <v>590</v>
      </c>
      <c r="V3" s="65" t="s">
        <v>266</v>
      </c>
    </row>
    <row r="4" spans="1:22" ht="15" customHeight="1" x14ac:dyDescent="0.25">
      <c r="A4" s="64" t="s">
        <v>4973</v>
      </c>
      <c r="B4" s="64" t="s">
        <v>2136</v>
      </c>
      <c r="C4" s="64" t="s">
        <v>4970</v>
      </c>
      <c r="D4" s="64" t="s">
        <v>4974</v>
      </c>
      <c r="E4" s="64">
        <v>7.95</v>
      </c>
      <c r="F4" s="64">
        <v>7.58</v>
      </c>
      <c r="G4" s="68">
        <f t="shared" si="0"/>
        <v>-4.7</v>
      </c>
      <c r="H4" s="64">
        <v>13.7</v>
      </c>
      <c r="I4" s="68">
        <f t="shared" si="1"/>
        <v>1.04</v>
      </c>
      <c r="J4" s="64">
        <v>18.39</v>
      </c>
      <c r="K4" s="64">
        <v>19.04</v>
      </c>
      <c r="L4" s="64">
        <v>14.42</v>
      </c>
      <c r="M4" s="64">
        <v>0.97</v>
      </c>
      <c r="N4" s="64">
        <v>12.76</v>
      </c>
      <c r="O4" s="64">
        <v>46.51</v>
      </c>
      <c r="P4" s="64">
        <v>3.31</v>
      </c>
      <c r="Q4" s="64">
        <v>11.34</v>
      </c>
      <c r="R4" s="64">
        <v>12.7</v>
      </c>
      <c r="S4" s="64">
        <v>63.93</v>
      </c>
      <c r="T4" s="64" t="s">
        <v>4975</v>
      </c>
      <c r="U4" s="65" t="s">
        <v>590</v>
      </c>
      <c r="V4" s="65" t="s">
        <v>266</v>
      </c>
    </row>
    <row r="5" spans="1:22" ht="15" customHeight="1" x14ac:dyDescent="0.25">
      <c r="A5" s="62" t="s">
        <v>4976</v>
      </c>
      <c r="B5" s="62" t="s">
        <v>2139</v>
      </c>
      <c r="C5" s="62" t="s">
        <v>4977</v>
      </c>
      <c r="D5" s="62" t="s">
        <v>4974</v>
      </c>
      <c r="E5" s="62">
        <v>13.12</v>
      </c>
      <c r="F5" s="62">
        <v>10.050000000000001</v>
      </c>
      <c r="G5" s="67">
        <f t="shared" si="0"/>
        <v>-23.4</v>
      </c>
      <c r="H5" s="62">
        <v>13.4</v>
      </c>
      <c r="I5" s="67">
        <f t="shared" si="1"/>
        <v>1.35</v>
      </c>
      <c r="J5" s="62">
        <v>20.3</v>
      </c>
      <c r="K5" s="62">
        <v>23.71</v>
      </c>
      <c r="L5" s="62">
        <v>10.4</v>
      </c>
      <c r="M5" s="62">
        <v>0.62</v>
      </c>
      <c r="N5" s="62">
        <v>10.57</v>
      </c>
      <c r="O5" s="62">
        <v>60.15</v>
      </c>
      <c r="P5" s="62">
        <v>2.76</v>
      </c>
      <c r="Q5" s="62">
        <v>18.84</v>
      </c>
      <c r="R5" s="62">
        <v>7.53</v>
      </c>
      <c r="S5" s="62">
        <v>91.55</v>
      </c>
      <c r="T5" s="62" t="s">
        <v>4978</v>
      </c>
      <c r="U5" s="63" t="s">
        <v>622</v>
      </c>
      <c r="V5" s="63" t="s">
        <v>495</v>
      </c>
    </row>
    <row r="6" spans="1:22" ht="15" customHeight="1" x14ac:dyDescent="0.25">
      <c r="A6" s="64" t="s">
        <v>4979</v>
      </c>
      <c r="B6" s="64" t="s">
        <v>2139</v>
      </c>
      <c r="C6" s="64" t="s">
        <v>4980</v>
      </c>
      <c r="D6" s="64" t="s">
        <v>4981</v>
      </c>
      <c r="E6" s="64">
        <v>11.52</v>
      </c>
      <c r="F6" s="64">
        <v>11.49</v>
      </c>
      <c r="G6" s="68">
        <f t="shared" si="0"/>
        <v>-0.3</v>
      </c>
      <c r="H6" s="64">
        <v>14.5</v>
      </c>
      <c r="I6" s="68">
        <f t="shared" si="1"/>
        <v>1.67</v>
      </c>
      <c r="J6" s="64">
        <v>16.84</v>
      </c>
      <c r="K6" s="64">
        <v>14.37</v>
      </c>
      <c r="L6" s="64">
        <v>17.98</v>
      </c>
      <c r="M6" s="64">
        <v>1.18</v>
      </c>
      <c r="N6" s="64">
        <v>18.75</v>
      </c>
      <c r="O6" s="64">
        <v>63</v>
      </c>
      <c r="P6" s="64">
        <v>2.62</v>
      </c>
      <c r="Q6" s="64">
        <v>5.16</v>
      </c>
      <c r="R6" s="64">
        <v>14.7</v>
      </c>
      <c r="S6" s="64">
        <v>88.37</v>
      </c>
      <c r="T6" s="64" t="s">
        <v>4982</v>
      </c>
      <c r="U6" s="65" t="s">
        <v>590</v>
      </c>
      <c r="V6" s="65" t="s">
        <v>266</v>
      </c>
    </row>
    <row r="7" spans="1:22" ht="15" customHeight="1" x14ac:dyDescent="0.25">
      <c r="A7" s="62" t="s">
        <v>4983</v>
      </c>
      <c r="B7" s="62" t="s">
        <v>2138</v>
      </c>
      <c r="C7" s="62" t="s">
        <v>4977</v>
      </c>
      <c r="D7" s="62" t="s">
        <v>4984</v>
      </c>
      <c r="E7" s="62">
        <v>9.3000000000000007</v>
      </c>
      <c r="F7" s="62">
        <v>9.2799999999999994</v>
      </c>
      <c r="G7" s="67">
        <f t="shared" si="0"/>
        <v>-0.2</v>
      </c>
      <c r="H7" s="62">
        <v>13.8</v>
      </c>
      <c r="I7" s="67">
        <f t="shared" si="1"/>
        <v>1.28</v>
      </c>
      <c r="J7" s="62">
        <v>24.39</v>
      </c>
      <c r="K7" s="62">
        <v>20.95</v>
      </c>
      <c r="L7" s="62">
        <v>10.23</v>
      </c>
      <c r="M7" s="62">
        <v>0.86</v>
      </c>
      <c r="N7" s="62">
        <v>10.09</v>
      </c>
      <c r="O7" s="62">
        <v>56.03</v>
      </c>
      <c r="P7" s="62">
        <v>2.9</v>
      </c>
      <c r="Q7" s="62">
        <v>11.77</v>
      </c>
      <c r="R7" s="62">
        <v>15.7</v>
      </c>
      <c r="S7" s="62">
        <v>92.44</v>
      </c>
      <c r="T7" s="62" t="s">
        <v>4972</v>
      </c>
      <c r="U7" s="65" t="s">
        <v>590</v>
      </c>
      <c r="V7" s="65" t="s">
        <v>266</v>
      </c>
    </row>
    <row r="8" spans="1:22" ht="15" customHeight="1" x14ac:dyDescent="0.25">
      <c r="A8" s="64" t="s">
        <v>4985</v>
      </c>
      <c r="B8" s="64" t="s">
        <v>2146</v>
      </c>
      <c r="C8" s="64" t="s">
        <v>4986</v>
      </c>
      <c r="D8" s="64" t="s">
        <v>4987</v>
      </c>
      <c r="E8" s="64">
        <v>17.98</v>
      </c>
      <c r="F8" s="64">
        <v>16.62</v>
      </c>
      <c r="G8" s="68">
        <f t="shared" si="0"/>
        <v>-7.6</v>
      </c>
      <c r="H8" s="64">
        <v>7</v>
      </c>
      <c r="I8" s="68">
        <f t="shared" si="1"/>
        <v>1.1599999999999999</v>
      </c>
      <c r="J8" s="64">
        <v>22.54</v>
      </c>
      <c r="K8" s="64">
        <v>19.96</v>
      </c>
      <c r="L8" s="64">
        <v>11.18</v>
      </c>
      <c r="M8" s="64">
        <v>1.34</v>
      </c>
      <c r="N8" s="64">
        <v>18.91</v>
      </c>
      <c r="O8" s="64">
        <v>51.17</v>
      </c>
      <c r="P8" s="64">
        <v>3.03</v>
      </c>
      <c r="Q8" s="64">
        <v>8.33</v>
      </c>
      <c r="R8" s="64">
        <v>14.93</v>
      </c>
      <c r="S8" s="64">
        <v>68.95</v>
      </c>
      <c r="T8" s="64" t="s">
        <v>4972</v>
      </c>
      <c r="U8" s="66" t="s">
        <v>579</v>
      </c>
      <c r="V8" s="66" t="s">
        <v>321</v>
      </c>
    </row>
    <row r="9" spans="1:22" ht="15" customHeight="1" x14ac:dyDescent="0.25">
      <c r="A9" s="62" t="s">
        <v>4988</v>
      </c>
      <c r="B9" s="62" t="s">
        <v>2138</v>
      </c>
      <c r="C9" s="62" t="s">
        <v>4989</v>
      </c>
      <c r="D9" s="62" t="s">
        <v>4974</v>
      </c>
      <c r="E9" s="62">
        <v>20.8</v>
      </c>
      <c r="F9" s="62">
        <v>22.66</v>
      </c>
      <c r="G9" s="67">
        <f t="shared" si="0"/>
        <v>8.9</v>
      </c>
      <c r="H9" s="62">
        <v>9.1999999999999993</v>
      </c>
      <c r="I9" s="67">
        <f t="shared" si="1"/>
        <v>2.08</v>
      </c>
      <c r="J9" s="62">
        <v>15.16</v>
      </c>
      <c r="K9" s="62">
        <v>12.59</v>
      </c>
      <c r="L9" s="62">
        <v>12</v>
      </c>
      <c r="M9" s="62">
        <v>1.2</v>
      </c>
      <c r="N9" s="62">
        <v>18.399999999999999</v>
      </c>
      <c r="O9" s="62">
        <v>62.98</v>
      </c>
      <c r="P9" s="62">
        <v>3.32</v>
      </c>
      <c r="Q9" s="62">
        <v>6.78</v>
      </c>
      <c r="R9" s="62">
        <v>16.37</v>
      </c>
      <c r="S9" s="62">
        <v>79.95</v>
      </c>
      <c r="T9" s="62" t="s">
        <v>4975</v>
      </c>
      <c r="U9" s="65" t="s">
        <v>590</v>
      </c>
      <c r="V9" s="65" t="s">
        <v>266</v>
      </c>
    </row>
    <row r="10" spans="1:22" ht="15" customHeight="1" x14ac:dyDescent="0.25">
      <c r="A10" s="64" t="s">
        <v>4990</v>
      </c>
      <c r="B10" s="64" t="s">
        <v>2140</v>
      </c>
      <c r="C10" s="64" t="s">
        <v>4989</v>
      </c>
      <c r="D10" s="64" t="s">
        <v>4984</v>
      </c>
      <c r="E10" s="64">
        <v>10.53</v>
      </c>
      <c r="F10" s="64">
        <v>11.12</v>
      </c>
      <c r="G10" s="68">
        <f t="shared" si="0"/>
        <v>5.6</v>
      </c>
      <c r="H10" s="64">
        <v>11.2</v>
      </c>
      <c r="I10" s="68">
        <f t="shared" si="1"/>
        <v>1.25</v>
      </c>
      <c r="J10" s="64">
        <v>24.99</v>
      </c>
      <c r="K10" s="64">
        <v>29.6</v>
      </c>
      <c r="L10" s="64">
        <v>10.31</v>
      </c>
      <c r="M10" s="64">
        <v>0.54</v>
      </c>
      <c r="N10" s="64">
        <v>14.03</v>
      </c>
      <c r="O10" s="64">
        <v>54.27</v>
      </c>
      <c r="P10" s="64">
        <v>3.66</v>
      </c>
      <c r="Q10" s="64">
        <v>19.55</v>
      </c>
      <c r="R10" s="64">
        <v>10.3</v>
      </c>
      <c r="S10" s="64">
        <v>80.489999999999995</v>
      </c>
      <c r="T10" s="64" t="s">
        <v>4982</v>
      </c>
      <c r="U10" s="65" t="s">
        <v>590</v>
      </c>
      <c r="V10" s="65" t="s">
        <v>266</v>
      </c>
    </row>
    <row r="11" spans="1:22" ht="15" customHeight="1" x14ac:dyDescent="0.25">
      <c r="A11" s="62" t="s">
        <v>4991</v>
      </c>
      <c r="B11" s="62" t="s">
        <v>2141</v>
      </c>
      <c r="C11" s="62" t="s">
        <v>4986</v>
      </c>
      <c r="D11" s="62" t="s">
        <v>4992</v>
      </c>
      <c r="E11" s="62">
        <v>16.34</v>
      </c>
      <c r="F11" s="62">
        <v>15.4</v>
      </c>
      <c r="G11" s="67">
        <f t="shared" si="0"/>
        <v>-5.8</v>
      </c>
      <c r="H11" s="62">
        <v>18.7</v>
      </c>
      <c r="I11" s="67">
        <f t="shared" si="1"/>
        <v>2.88</v>
      </c>
      <c r="J11" s="62">
        <v>23.87</v>
      </c>
      <c r="K11" s="62">
        <v>27.92</v>
      </c>
      <c r="L11" s="62">
        <v>9.35</v>
      </c>
      <c r="M11" s="62">
        <v>0.55000000000000004</v>
      </c>
      <c r="N11" s="62">
        <v>12.57</v>
      </c>
      <c r="O11" s="62">
        <v>57.1</v>
      </c>
      <c r="P11" s="62">
        <v>3.08</v>
      </c>
      <c r="Q11" s="62">
        <v>7.49</v>
      </c>
      <c r="R11" s="62">
        <v>10.34</v>
      </c>
      <c r="S11" s="62">
        <v>81.7</v>
      </c>
      <c r="T11" s="62" t="s">
        <v>4972</v>
      </c>
      <c r="U11" s="66" t="s">
        <v>579</v>
      </c>
      <c r="V11" s="66" t="s">
        <v>321</v>
      </c>
    </row>
    <row r="12" spans="1:22" ht="15" customHeight="1" x14ac:dyDescent="0.25">
      <c r="A12" s="64" t="s">
        <v>4993</v>
      </c>
      <c r="B12" s="64" t="s">
        <v>2138</v>
      </c>
      <c r="C12" s="64" t="s">
        <v>4994</v>
      </c>
      <c r="D12" s="64" t="s">
        <v>4987</v>
      </c>
      <c r="E12" s="64">
        <v>6.45</v>
      </c>
      <c r="F12" s="64">
        <v>5.98</v>
      </c>
      <c r="G12" s="68">
        <f t="shared" si="0"/>
        <v>-7.3</v>
      </c>
      <c r="H12" s="64">
        <v>19</v>
      </c>
      <c r="I12" s="68">
        <f t="shared" si="1"/>
        <v>1.1399999999999999</v>
      </c>
      <c r="J12" s="64">
        <v>20.83</v>
      </c>
      <c r="K12" s="64">
        <v>17.600000000000001</v>
      </c>
      <c r="L12" s="64">
        <v>16.93</v>
      </c>
      <c r="M12" s="64">
        <v>0.88</v>
      </c>
      <c r="N12" s="64">
        <v>19.850000000000001</v>
      </c>
      <c r="O12" s="64">
        <v>63.17</v>
      </c>
      <c r="P12" s="64">
        <v>3.92</v>
      </c>
      <c r="Q12" s="64">
        <v>14.86</v>
      </c>
      <c r="R12" s="64">
        <v>7.01</v>
      </c>
      <c r="S12" s="64">
        <v>92.02</v>
      </c>
      <c r="T12" s="64" t="s">
        <v>4982</v>
      </c>
      <c r="U12" s="66" t="s">
        <v>579</v>
      </c>
      <c r="V12" s="66" t="s">
        <v>321</v>
      </c>
    </row>
    <row r="13" spans="1:22" ht="15" customHeight="1" x14ac:dyDescent="0.25">
      <c r="A13" s="62" t="s">
        <v>4995</v>
      </c>
      <c r="B13" s="62" t="s">
        <v>2144</v>
      </c>
      <c r="C13" s="62" t="s">
        <v>4996</v>
      </c>
      <c r="D13" s="62" t="s">
        <v>4971</v>
      </c>
      <c r="E13" s="62">
        <v>19.7</v>
      </c>
      <c r="F13" s="62">
        <v>22.31</v>
      </c>
      <c r="G13" s="67">
        <f t="shared" si="0"/>
        <v>13.2</v>
      </c>
      <c r="H13" s="62">
        <v>11</v>
      </c>
      <c r="I13" s="67">
        <f t="shared" si="1"/>
        <v>2.4500000000000002</v>
      </c>
      <c r="J13" s="62">
        <v>20.149999999999999</v>
      </c>
      <c r="K13" s="62">
        <v>22.25</v>
      </c>
      <c r="L13" s="62">
        <v>12.51</v>
      </c>
      <c r="M13" s="62">
        <v>0.69</v>
      </c>
      <c r="N13" s="62">
        <v>19.16</v>
      </c>
      <c r="O13" s="62">
        <v>53.68</v>
      </c>
      <c r="P13" s="62">
        <v>2.95</v>
      </c>
      <c r="Q13" s="62">
        <v>8.7100000000000009</v>
      </c>
      <c r="R13" s="62">
        <v>11.83</v>
      </c>
      <c r="S13" s="62">
        <v>61.71</v>
      </c>
      <c r="T13" s="62" t="s">
        <v>4978</v>
      </c>
      <c r="U13" s="65" t="s">
        <v>590</v>
      </c>
      <c r="V13" s="65" t="s">
        <v>266</v>
      </c>
    </row>
    <row r="14" spans="1:22" ht="15" customHeight="1" x14ac:dyDescent="0.25">
      <c r="A14" s="64" t="s">
        <v>4997</v>
      </c>
      <c r="B14" s="64" t="s">
        <v>2141</v>
      </c>
      <c r="C14" s="64" t="s">
        <v>4998</v>
      </c>
      <c r="D14" s="64" t="s">
        <v>4999</v>
      </c>
      <c r="E14" s="64">
        <v>11.55</v>
      </c>
      <c r="F14" s="64">
        <v>11.57</v>
      </c>
      <c r="G14" s="68">
        <f t="shared" si="0"/>
        <v>0.2</v>
      </c>
      <c r="H14" s="64">
        <v>16.2</v>
      </c>
      <c r="I14" s="68">
        <f t="shared" si="1"/>
        <v>1.87</v>
      </c>
      <c r="J14" s="64">
        <v>24.76</v>
      </c>
      <c r="K14" s="64">
        <v>25.75</v>
      </c>
      <c r="L14" s="64">
        <v>9.5500000000000007</v>
      </c>
      <c r="M14" s="64">
        <v>0.63</v>
      </c>
      <c r="N14" s="64">
        <v>10.1</v>
      </c>
      <c r="O14" s="64">
        <v>45.09</v>
      </c>
      <c r="P14" s="64">
        <v>2.6</v>
      </c>
      <c r="Q14" s="64">
        <v>9.4600000000000009</v>
      </c>
      <c r="R14" s="64">
        <v>13.48</v>
      </c>
      <c r="S14" s="64">
        <v>83.04</v>
      </c>
      <c r="T14" s="64" t="s">
        <v>4975</v>
      </c>
      <c r="U14" s="65" t="s">
        <v>590</v>
      </c>
      <c r="V14" s="65" t="s">
        <v>266</v>
      </c>
    </row>
    <row r="15" spans="1:22" ht="15" customHeight="1" x14ac:dyDescent="0.25">
      <c r="A15" s="62" t="s">
        <v>5000</v>
      </c>
      <c r="B15" s="62" t="s">
        <v>2140</v>
      </c>
      <c r="C15" s="62" t="s">
        <v>4977</v>
      </c>
      <c r="D15" s="62" t="s">
        <v>5001</v>
      </c>
      <c r="E15" s="62">
        <v>19.489999999999998</v>
      </c>
      <c r="F15" s="62">
        <v>22.84</v>
      </c>
      <c r="G15" s="67">
        <f t="shared" si="0"/>
        <v>17.2</v>
      </c>
      <c r="H15" s="62">
        <v>19.3</v>
      </c>
      <c r="I15" s="67">
        <f t="shared" si="1"/>
        <v>4.41</v>
      </c>
      <c r="J15" s="62">
        <v>18.05</v>
      </c>
      <c r="K15" s="62">
        <v>19.57</v>
      </c>
      <c r="L15" s="62">
        <v>10.27</v>
      </c>
      <c r="M15" s="62">
        <v>0.53</v>
      </c>
      <c r="N15" s="62">
        <v>12.84</v>
      </c>
      <c r="O15" s="62">
        <v>63.72</v>
      </c>
      <c r="P15" s="62">
        <v>2.61</v>
      </c>
      <c r="Q15" s="62">
        <v>9.51</v>
      </c>
      <c r="R15" s="62">
        <v>5.22</v>
      </c>
      <c r="S15" s="62">
        <v>78.08</v>
      </c>
      <c r="T15" s="62" t="s">
        <v>4975</v>
      </c>
      <c r="U15" s="65" t="s">
        <v>590</v>
      </c>
      <c r="V15" s="65" t="s">
        <v>266</v>
      </c>
    </row>
    <row r="16" spans="1:22" ht="15" customHeight="1" x14ac:dyDescent="0.25">
      <c r="A16" s="64" t="s">
        <v>5002</v>
      </c>
      <c r="B16" s="64" t="s">
        <v>2135</v>
      </c>
      <c r="C16" s="64" t="s">
        <v>4977</v>
      </c>
      <c r="D16" s="64" t="s">
        <v>4971</v>
      </c>
      <c r="E16" s="64">
        <v>14.4</v>
      </c>
      <c r="F16" s="64">
        <v>10.32</v>
      </c>
      <c r="G16" s="68">
        <f t="shared" si="0"/>
        <v>-28.3</v>
      </c>
      <c r="H16" s="64">
        <v>14.2</v>
      </c>
      <c r="I16" s="68">
        <f t="shared" si="1"/>
        <v>1.47</v>
      </c>
      <c r="J16" s="64">
        <v>19.350000000000001</v>
      </c>
      <c r="K16" s="64">
        <v>17.62</v>
      </c>
      <c r="L16" s="64">
        <v>14.71</v>
      </c>
      <c r="M16" s="64">
        <v>0.8</v>
      </c>
      <c r="N16" s="64">
        <v>17.420000000000002</v>
      </c>
      <c r="O16" s="64">
        <v>58.34</v>
      </c>
      <c r="P16" s="64">
        <v>3.55</v>
      </c>
      <c r="Q16" s="64">
        <v>9.4499999999999993</v>
      </c>
      <c r="R16" s="64">
        <v>5.15</v>
      </c>
      <c r="S16" s="64">
        <v>81.739999999999995</v>
      </c>
      <c r="T16" s="64" t="s">
        <v>4982</v>
      </c>
      <c r="U16" s="63" t="s">
        <v>622</v>
      </c>
      <c r="V16" s="63" t="s">
        <v>495</v>
      </c>
    </row>
    <row r="17" spans="1:22" ht="15" customHeight="1" x14ac:dyDescent="0.25">
      <c r="A17" s="62" t="s">
        <v>5003</v>
      </c>
      <c r="B17" s="62" t="s">
        <v>2145</v>
      </c>
      <c r="C17" s="62" t="s">
        <v>4989</v>
      </c>
      <c r="D17" s="62" t="s">
        <v>5004</v>
      </c>
      <c r="E17" s="62">
        <v>9.67</v>
      </c>
      <c r="F17" s="62">
        <v>10.79</v>
      </c>
      <c r="G17" s="67">
        <f t="shared" si="0"/>
        <v>11.6</v>
      </c>
      <c r="H17" s="62">
        <v>5.5</v>
      </c>
      <c r="I17" s="67">
        <f t="shared" si="1"/>
        <v>0.59</v>
      </c>
      <c r="J17" s="62">
        <v>24.32</v>
      </c>
      <c r="K17" s="62">
        <v>29.25</v>
      </c>
      <c r="L17" s="62">
        <v>12.28</v>
      </c>
      <c r="M17" s="62">
        <v>1.44</v>
      </c>
      <c r="N17" s="62">
        <v>11.02</v>
      </c>
      <c r="O17" s="62">
        <v>63.87</v>
      </c>
      <c r="P17" s="62">
        <v>3.34</v>
      </c>
      <c r="Q17" s="62">
        <v>14.31</v>
      </c>
      <c r="R17" s="62">
        <v>6.63</v>
      </c>
      <c r="S17" s="62">
        <v>92.82</v>
      </c>
      <c r="T17" s="62" t="s">
        <v>4972</v>
      </c>
      <c r="U17" s="65" t="s">
        <v>590</v>
      </c>
      <c r="V17" s="65" t="s">
        <v>266</v>
      </c>
    </row>
    <row r="18" spans="1:22" ht="15" customHeight="1" x14ac:dyDescent="0.25">
      <c r="A18" s="64" t="s">
        <v>5005</v>
      </c>
      <c r="B18" s="64" t="s">
        <v>2135</v>
      </c>
      <c r="C18" s="64" t="s">
        <v>4996</v>
      </c>
      <c r="D18" s="64" t="s">
        <v>4987</v>
      </c>
      <c r="E18" s="64">
        <v>15.68</v>
      </c>
      <c r="F18" s="64">
        <v>17.87</v>
      </c>
      <c r="G18" s="68">
        <f t="shared" si="0"/>
        <v>14</v>
      </c>
      <c r="H18" s="64">
        <v>6.3</v>
      </c>
      <c r="I18" s="68">
        <f t="shared" si="1"/>
        <v>1.1299999999999999</v>
      </c>
      <c r="J18" s="64">
        <v>21.59</v>
      </c>
      <c r="K18" s="64">
        <v>19.05</v>
      </c>
      <c r="L18" s="64">
        <v>17.350000000000001</v>
      </c>
      <c r="M18" s="64">
        <v>0.95</v>
      </c>
      <c r="N18" s="64">
        <v>14.08</v>
      </c>
      <c r="O18" s="64">
        <v>47.01</v>
      </c>
      <c r="P18" s="64">
        <v>3.29</v>
      </c>
      <c r="Q18" s="64">
        <v>13.58</v>
      </c>
      <c r="R18" s="64">
        <v>17.72</v>
      </c>
      <c r="S18" s="64">
        <v>65.349999999999994</v>
      </c>
      <c r="T18" s="64" t="s">
        <v>4978</v>
      </c>
      <c r="U18" s="65" t="s">
        <v>590</v>
      </c>
      <c r="V18" s="65" t="s">
        <v>266</v>
      </c>
    </row>
    <row r="19" spans="1:22" ht="15" customHeight="1" x14ac:dyDescent="0.25">
      <c r="A19" s="62" t="s">
        <v>5006</v>
      </c>
      <c r="B19" s="62" t="s">
        <v>2145</v>
      </c>
      <c r="C19" s="62" t="s">
        <v>4980</v>
      </c>
      <c r="D19" s="62" t="s">
        <v>4981</v>
      </c>
      <c r="E19" s="62">
        <v>20.91</v>
      </c>
      <c r="F19" s="62">
        <v>17.850000000000001</v>
      </c>
      <c r="G19" s="67">
        <f t="shared" si="0"/>
        <v>-14.6</v>
      </c>
      <c r="H19" s="62">
        <v>8.9</v>
      </c>
      <c r="I19" s="67">
        <f t="shared" si="1"/>
        <v>1.59</v>
      </c>
      <c r="J19" s="62">
        <v>22.11</v>
      </c>
      <c r="K19" s="62">
        <v>20.29</v>
      </c>
      <c r="L19" s="62">
        <v>17.64</v>
      </c>
      <c r="M19" s="62">
        <v>1.1599999999999999</v>
      </c>
      <c r="N19" s="62">
        <v>14.82</v>
      </c>
      <c r="O19" s="62">
        <v>57.37</v>
      </c>
      <c r="P19" s="62">
        <v>3.78</v>
      </c>
      <c r="Q19" s="62">
        <v>6.45</v>
      </c>
      <c r="R19" s="62">
        <v>5.67</v>
      </c>
      <c r="S19" s="62">
        <v>77.16</v>
      </c>
      <c r="T19" s="62" t="s">
        <v>4982</v>
      </c>
      <c r="U19" s="66" t="s">
        <v>579</v>
      </c>
      <c r="V19" s="66" t="s">
        <v>321</v>
      </c>
    </row>
    <row r="20" spans="1:22" ht="15" customHeight="1" x14ac:dyDescent="0.25">
      <c r="A20" s="64" t="s">
        <v>5007</v>
      </c>
      <c r="B20" s="64" t="s">
        <v>2143</v>
      </c>
      <c r="C20" s="64" t="s">
        <v>4977</v>
      </c>
      <c r="D20" s="64" t="s">
        <v>4999</v>
      </c>
      <c r="E20" s="64">
        <v>14.93</v>
      </c>
      <c r="F20" s="64">
        <v>17.7</v>
      </c>
      <c r="G20" s="68">
        <f t="shared" si="0"/>
        <v>18.600000000000001</v>
      </c>
      <c r="H20" s="64">
        <v>5.9</v>
      </c>
      <c r="I20" s="68">
        <f t="shared" si="1"/>
        <v>1.04</v>
      </c>
      <c r="J20" s="64">
        <v>19.190000000000001</v>
      </c>
      <c r="K20" s="64">
        <v>21.77</v>
      </c>
      <c r="L20" s="64">
        <v>15.62</v>
      </c>
      <c r="M20" s="64">
        <v>0.68</v>
      </c>
      <c r="N20" s="64">
        <v>10.45</v>
      </c>
      <c r="O20" s="64">
        <v>58.9</v>
      </c>
      <c r="P20" s="64">
        <v>3.75</v>
      </c>
      <c r="Q20" s="64">
        <v>16.16</v>
      </c>
      <c r="R20" s="64">
        <v>12.59</v>
      </c>
      <c r="S20" s="64">
        <v>85.28</v>
      </c>
      <c r="T20" s="64" t="s">
        <v>4982</v>
      </c>
      <c r="U20" s="65" t="s">
        <v>590</v>
      </c>
      <c r="V20" s="65" t="s">
        <v>266</v>
      </c>
    </row>
    <row r="21" spans="1:22" ht="15" customHeight="1" x14ac:dyDescent="0.25">
      <c r="A21" s="62" t="s">
        <v>5008</v>
      </c>
      <c r="B21" s="62" t="s">
        <v>2137</v>
      </c>
      <c r="C21" s="62" t="s">
        <v>5009</v>
      </c>
      <c r="D21" s="62" t="s">
        <v>4981</v>
      </c>
      <c r="E21" s="62">
        <v>9.1999999999999993</v>
      </c>
      <c r="F21" s="62">
        <v>6.63</v>
      </c>
      <c r="G21" s="67">
        <f t="shared" si="0"/>
        <v>-27.9</v>
      </c>
      <c r="H21" s="62">
        <v>9.5</v>
      </c>
      <c r="I21" s="67">
        <f t="shared" si="1"/>
        <v>0.63</v>
      </c>
      <c r="J21" s="62">
        <v>16.84</v>
      </c>
      <c r="K21" s="62">
        <v>14.78</v>
      </c>
      <c r="L21" s="62">
        <v>17.96</v>
      </c>
      <c r="M21" s="62">
        <v>0.78</v>
      </c>
      <c r="N21" s="62">
        <v>14.49</v>
      </c>
      <c r="O21" s="62">
        <v>56</v>
      </c>
      <c r="P21" s="62">
        <v>2.5</v>
      </c>
      <c r="Q21" s="62">
        <v>9.06</v>
      </c>
      <c r="R21" s="62">
        <v>10.61</v>
      </c>
      <c r="S21" s="62">
        <v>75.540000000000006</v>
      </c>
      <c r="T21" s="62" t="s">
        <v>4975</v>
      </c>
      <c r="U21" s="63" t="s">
        <v>622</v>
      </c>
      <c r="V21" s="63" t="s">
        <v>495</v>
      </c>
    </row>
    <row r="22" spans="1:22" ht="15" customHeight="1" x14ac:dyDescent="0.25">
      <c r="A22" s="64" t="s">
        <v>5010</v>
      </c>
      <c r="B22" s="64" t="s">
        <v>2136</v>
      </c>
      <c r="C22" s="64" t="s">
        <v>4998</v>
      </c>
      <c r="D22" s="64" t="s">
        <v>4984</v>
      </c>
      <c r="E22" s="64">
        <v>24.73</v>
      </c>
      <c r="F22" s="64">
        <v>28.72</v>
      </c>
      <c r="G22" s="68">
        <f t="shared" si="0"/>
        <v>16.100000000000001</v>
      </c>
      <c r="H22" s="64">
        <v>18.3</v>
      </c>
      <c r="I22" s="68">
        <f t="shared" si="1"/>
        <v>5.26</v>
      </c>
      <c r="J22" s="64">
        <v>21.92</v>
      </c>
      <c r="K22" s="64">
        <v>21.62</v>
      </c>
      <c r="L22" s="64">
        <v>11.21</v>
      </c>
      <c r="M22" s="64">
        <v>1.28</v>
      </c>
      <c r="N22" s="64">
        <v>16.079999999999998</v>
      </c>
      <c r="O22" s="64">
        <v>60.73</v>
      </c>
      <c r="P22" s="64">
        <v>3.44</v>
      </c>
      <c r="Q22" s="64">
        <v>19.66</v>
      </c>
      <c r="R22" s="64">
        <v>13.94</v>
      </c>
      <c r="S22" s="64">
        <v>89.87</v>
      </c>
      <c r="T22" s="64" t="s">
        <v>4978</v>
      </c>
      <c r="U22" s="65" t="s">
        <v>590</v>
      </c>
      <c r="V22" s="65" t="s">
        <v>266</v>
      </c>
    </row>
    <row r="23" spans="1:22" ht="15" customHeight="1" x14ac:dyDescent="0.25">
      <c r="A23" s="62" t="s">
        <v>5011</v>
      </c>
      <c r="B23" s="62" t="s">
        <v>2146</v>
      </c>
      <c r="C23" s="62" t="s">
        <v>5009</v>
      </c>
      <c r="D23" s="62" t="s">
        <v>4981</v>
      </c>
      <c r="E23" s="62">
        <v>24.22</v>
      </c>
      <c r="F23" s="62">
        <v>18.97</v>
      </c>
      <c r="G23" s="67">
        <f t="shared" si="0"/>
        <v>-21.7</v>
      </c>
      <c r="H23" s="62">
        <v>13.1</v>
      </c>
      <c r="I23" s="67">
        <f t="shared" si="1"/>
        <v>2.4900000000000002</v>
      </c>
      <c r="J23" s="62">
        <v>18.47</v>
      </c>
      <c r="K23" s="62">
        <v>16.149999999999999</v>
      </c>
      <c r="L23" s="62">
        <v>11.84</v>
      </c>
      <c r="M23" s="62">
        <v>1.47</v>
      </c>
      <c r="N23" s="62">
        <v>10.37</v>
      </c>
      <c r="O23" s="62">
        <v>61.28</v>
      </c>
      <c r="P23" s="62">
        <v>3.34</v>
      </c>
      <c r="Q23" s="62">
        <v>10.31</v>
      </c>
      <c r="R23" s="62">
        <v>5.0199999999999996</v>
      </c>
      <c r="S23" s="62">
        <v>72.12</v>
      </c>
      <c r="T23" s="62" t="s">
        <v>4972</v>
      </c>
      <c r="U23" s="63" t="s">
        <v>622</v>
      </c>
      <c r="V23" s="63" t="s">
        <v>495</v>
      </c>
    </row>
    <row r="24" spans="1:22" ht="15" customHeight="1" x14ac:dyDescent="0.25">
      <c r="A24" s="64" t="s">
        <v>5012</v>
      </c>
      <c r="B24" s="64" t="s">
        <v>2135</v>
      </c>
      <c r="C24" s="64" t="s">
        <v>5013</v>
      </c>
      <c r="D24" s="64" t="s">
        <v>4984</v>
      </c>
      <c r="E24" s="64">
        <v>22.9</v>
      </c>
      <c r="F24" s="64">
        <v>21.2</v>
      </c>
      <c r="G24" s="68">
        <f t="shared" si="0"/>
        <v>-7.4</v>
      </c>
      <c r="H24" s="64">
        <v>9.1</v>
      </c>
      <c r="I24" s="68">
        <f t="shared" si="1"/>
        <v>1.93</v>
      </c>
      <c r="J24" s="64">
        <v>23.01</v>
      </c>
      <c r="K24" s="64">
        <v>21.93</v>
      </c>
      <c r="L24" s="64">
        <v>11.66</v>
      </c>
      <c r="M24" s="64">
        <v>1.1000000000000001</v>
      </c>
      <c r="N24" s="64">
        <v>11.17</v>
      </c>
      <c r="O24" s="64">
        <v>52.97</v>
      </c>
      <c r="P24" s="64">
        <v>3.47</v>
      </c>
      <c r="Q24" s="64">
        <v>17.32</v>
      </c>
      <c r="R24" s="64">
        <v>5.04</v>
      </c>
      <c r="S24" s="64">
        <v>69.98</v>
      </c>
      <c r="T24" s="64" t="s">
        <v>4982</v>
      </c>
      <c r="U24" s="66" t="s">
        <v>579</v>
      </c>
      <c r="V24" s="66" t="s">
        <v>321</v>
      </c>
    </row>
    <row r="25" spans="1:22" ht="15" customHeight="1" x14ac:dyDescent="0.25">
      <c r="A25" s="62" t="s">
        <v>5014</v>
      </c>
      <c r="B25" s="62" t="s">
        <v>2146</v>
      </c>
      <c r="C25" s="62" t="s">
        <v>4980</v>
      </c>
      <c r="D25" s="62" t="s">
        <v>4984</v>
      </c>
      <c r="E25" s="62">
        <v>22.86</v>
      </c>
      <c r="F25" s="62">
        <v>17.34</v>
      </c>
      <c r="G25" s="67">
        <f t="shared" si="0"/>
        <v>-24.1</v>
      </c>
      <c r="H25" s="62">
        <v>9.1</v>
      </c>
      <c r="I25" s="67">
        <f t="shared" si="1"/>
        <v>1.58</v>
      </c>
      <c r="J25" s="62">
        <v>15.18</v>
      </c>
      <c r="K25" s="62">
        <v>17.79</v>
      </c>
      <c r="L25" s="62">
        <v>14.04</v>
      </c>
      <c r="M25" s="62">
        <v>1.29</v>
      </c>
      <c r="N25" s="62">
        <v>15.46</v>
      </c>
      <c r="O25" s="62">
        <v>48.56</v>
      </c>
      <c r="P25" s="62">
        <v>3.71</v>
      </c>
      <c r="Q25" s="62">
        <v>5.36</v>
      </c>
      <c r="R25" s="62">
        <v>7.72</v>
      </c>
      <c r="S25" s="62">
        <v>73.39</v>
      </c>
      <c r="T25" s="62" t="s">
        <v>4982</v>
      </c>
      <c r="U25" s="63" t="s">
        <v>622</v>
      </c>
      <c r="V25" s="63" t="s">
        <v>495</v>
      </c>
    </row>
    <row r="26" spans="1:22" ht="15" customHeight="1" x14ac:dyDescent="0.25">
      <c r="A26" s="64" t="s">
        <v>5015</v>
      </c>
      <c r="B26" s="64" t="s">
        <v>2136</v>
      </c>
      <c r="C26" s="64" t="s">
        <v>4970</v>
      </c>
      <c r="D26" s="64" t="s">
        <v>4981</v>
      </c>
      <c r="E26" s="64">
        <v>15.27</v>
      </c>
      <c r="F26" s="64">
        <v>17.68</v>
      </c>
      <c r="G26" s="68">
        <f t="shared" si="0"/>
        <v>15.8</v>
      </c>
      <c r="H26" s="64">
        <v>13.2</v>
      </c>
      <c r="I26" s="68">
        <f t="shared" si="1"/>
        <v>2.33</v>
      </c>
      <c r="J26" s="64">
        <v>18.989999999999998</v>
      </c>
      <c r="K26" s="64">
        <v>23.48</v>
      </c>
      <c r="L26" s="64">
        <v>14.28</v>
      </c>
      <c r="M26" s="64">
        <v>1.19</v>
      </c>
      <c r="N26" s="64">
        <v>10.210000000000001</v>
      </c>
      <c r="O26" s="64">
        <v>53.9</v>
      </c>
      <c r="P26" s="64">
        <v>3.31</v>
      </c>
      <c r="Q26" s="64">
        <v>7.27</v>
      </c>
      <c r="R26" s="64">
        <v>9.18</v>
      </c>
      <c r="S26" s="64">
        <v>81.28</v>
      </c>
      <c r="T26" s="64" t="s">
        <v>4978</v>
      </c>
      <c r="U26" s="65" t="s">
        <v>590</v>
      </c>
      <c r="V26" s="65" t="s">
        <v>266</v>
      </c>
    </row>
    <row r="27" spans="1:22" ht="15" customHeight="1" x14ac:dyDescent="0.25">
      <c r="A27" s="62" t="s">
        <v>5016</v>
      </c>
      <c r="B27" s="62" t="s">
        <v>2141</v>
      </c>
      <c r="C27" s="62" t="s">
        <v>4994</v>
      </c>
      <c r="D27" s="62" t="s">
        <v>4992</v>
      </c>
      <c r="E27" s="62">
        <v>18.84</v>
      </c>
      <c r="F27" s="62">
        <v>19.87</v>
      </c>
      <c r="G27" s="67">
        <f t="shared" si="0"/>
        <v>5.5</v>
      </c>
      <c r="H27" s="62">
        <v>8.1</v>
      </c>
      <c r="I27" s="67">
        <f t="shared" si="1"/>
        <v>1.61</v>
      </c>
      <c r="J27" s="62">
        <v>17.04</v>
      </c>
      <c r="K27" s="62">
        <v>14.41</v>
      </c>
      <c r="L27" s="62">
        <v>15.21</v>
      </c>
      <c r="M27" s="62">
        <v>0.63</v>
      </c>
      <c r="N27" s="62">
        <v>10.55</v>
      </c>
      <c r="O27" s="62">
        <v>48.8</v>
      </c>
      <c r="P27" s="62">
        <v>3.98</v>
      </c>
      <c r="Q27" s="62">
        <v>9.5</v>
      </c>
      <c r="R27" s="62">
        <v>16.05</v>
      </c>
      <c r="S27" s="62">
        <v>77.61</v>
      </c>
      <c r="T27" s="62" t="s">
        <v>4972</v>
      </c>
      <c r="U27" s="65" t="s">
        <v>590</v>
      </c>
      <c r="V27" s="65" t="s">
        <v>266</v>
      </c>
    </row>
    <row r="28" spans="1:22" ht="15" customHeight="1" x14ac:dyDescent="0.25">
      <c r="A28" s="64" t="s">
        <v>5017</v>
      </c>
      <c r="B28" s="64" t="s">
        <v>2138</v>
      </c>
      <c r="C28" s="64" t="s">
        <v>5009</v>
      </c>
      <c r="D28" s="64" t="s">
        <v>5018</v>
      </c>
      <c r="E28" s="64">
        <v>15.11</v>
      </c>
      <c r="F28" s="64">
        <v>17.87</v>
      </c>
      <c r="G28" s="68">
        <f t="shared" si="0"/>
        <v>18.3</v>
      </c>
      <c r="H28" s="64">
        <v>13.4</v>
      </c>
      <c r="I28" s="68">
        <f t="shared" si="1"/>
        <v>2.39</v>
      </c>
      <c r="J28" s="64">
        <v>24.92</v>
      </c>
      <c r="K28" s="64">
        <v>20.350000000000001</v>
      </c>
      <c r="L28" s="64">
        <v>9.68</v>
      </c>
      <c r="M28" s="64">
        <v>1.48</v>
      </c>
      <c r="N28" s="64">
        <v>17.16</v>
      </c>
      <c r="O28" s="64">
        <v>56.99</v>
      </c>
      <c r="P28" s="64">
        <v>3.42</v>
      </c>
      <c r="Q28" s="64">
        <v>13.11</v>
      </c>
      <c r="R28" s="64">
        <v>14.4</v>
      </c>
      <c r="S28" s="64">
        <v>84.25</v>
      </c>
      <c r="T28" s="64" t="s">
        <v>4978</v>
      </c>
      <c r="U28" s="65" t="s">
        <v>590</v>
      </c>
      <c r="V28" s="65" t="s">
        <v>266</v>
      </c>
    </row>
    <row r="29" spans="1:22" ht="15" customHeight="1" x14ac:dyDescent="0.25">
      <c r="A29" s="62" t="s">
        <v>5019</v>
      </c>
      <c r="B29" s="62" t="s">
        <v>2135</v>
      </c>
      <c r="C29" s="62" t="s">
        <v>5013</v>
      </c>
      <c r="D29" s="62" t="s">
        <v>4999</v>
      </c>
      <c r="E29" s="62">
        <v>8.99</v>
      </c>
      <c r="F29" s="62">
        <v>10.14</v>
      </c>
      <c r="G29" s="67">
        <f t="shared" si="0"/>
        <v>12.8</v>
      </c>
      <c r="H29" s="62">
        <v>7.2</v>
      </c>
      <c r="I29" s="67">
        <f t="shared" si="1"/>
        <v>0.73</v>
      </c>
      <c r="J29" s="62">
        <v>18.899999999999999</v>
      </c>
      <c r="K29" s="62">
        <v>14.9</v>
      </c>
      <c r="L29" s="62">
        <v>11.35</v>
      </c>
      <c r="M29" s="62">
        <v>0.78</v>
      </c>
      <c r="N29" s="62">
        <v>13.39</v>
      </c>
      <c r="O29" s="62">
        <v>45.94</v>
      </c>
      <c r="P29" s="62">
        <v>2.74</v>
      </c>
      <c r="Q29" s="62">
        <v>10.99</v>
      </c>
      <c r="R29" s="62">
        <v>7.42</v>
      </c>
      <c r="S29" s="62">
        <v>64.180000000000007</v>
      </c>
      <c r="T29" s="62" t="s">
        <v>4975</v>
      </c>
      <c r="U29" s="65" t="s">
        <v>590</v>
      </c>
      <c r="V29" s="65" t="s">
        <v>266</v>
      </c>
    </row>
    <row r="30" spans="1:22" ht="15" customHeight="1" x14ac:dyDescent="0.25">
      <c r="A30" s="64" t="s">
        <v>5020</v>
      </c>
      <c r="B30" s="64" t="s">
        <v>2143</v>
      </c>
      <c r="C30" s="64" t="s">
        <v>4980</v>
      </c>
      <c r="D30" s="64" t="s">
        <v>4974</v>
      </c>
      <c r="E30" s="64">
        <v>20.97</v>
      </c>
      <c r="F30" s="64">
        <v>21.73</v>
      </c>
      <c r="G30" s="68">
        <f t="shared" si="0"/>
        <v>3.6</v>
      </c>
      <c r="H30" s="64">
        <v>7.4</v>
      </c>
      <c r="I30" s="68">
        <f t="shared" si="1"/>
        <v>1.61</v>
      </c>
      <c r="J30" s="64">
        <v>15.18</v>
      </c>
      <c r="K30" s="64">
        <v>12.44</v>
      </c>
      <c r="L30" s="64">
        <v>17.05</v>
      </c>
      <c r="M30" s="64">
        <v>1.18</v>
      </c>
      <c r="N30" s="64">
        <v>14.76</v>
      </c>
      <c r="O30" s="64">
        <v>64.040000000000006</v>
      </c>
      <c r="P30" s="64">
        <v>3.05</v>
      </c>
      <c r="Q30" s="64">
        <v>9.18</v>
      </c>
      <c r="R30" s="64">
        <v>11.24</v>
      </c>
      <c r="S30" s="64">
        <v>84.44</v>
      </c>
      <c r="T30" s="64" t="s">
        <v>4972</v>
      </c>
      <c r="U30" s="65" t="s">
        <v>590</v>
      </c>
      <c r="V30" s="65" t="s">
        <v>266</v>
      </c>
    </row>
    <row r="31" spans="1:22" ht="15" customHeight="1" x14ac:dyDescent="0.25">
      <c r="A31" s="62" t="s">
        <v>5021</v>
      </c>
      <c r="B31" s="62" t="s">
        <v>2137</v>
      </c>
      <c r="C31" s="62" t="s">
        <v>4977</v>
      </c>
      <c r="D31" s="62" t="s">
        <v>4981</v>
      </c>
      <c r="E31" s="62">
        <v>6.6</v>
      </c>
      <c r="F31" s="62">
        <v>7.1</v>
      </c>
      <c r="G31" s="67">
        <f t="shared" si="0"/>
        <v>7.6</v>
      </c>
      <c r="H31" s="62">
        <v>9.3000000000000007</v>
      </c>
      <c r="I31" s="67">
        <f t="shared" si="1"/>
        <v>0.66</v>
      </c>
      <c r="J31" s="62">
        <v>22.46</v>
      </c>
      <c r="K31" s="62">
        <v>25.69</v>
      </c>
      <c r="L31" s="62">
        <v>13.72</v>
      </c>
      <c r="M31" s="62">
        <v>1.23</v>
      </c>
      <c r="N31" s="62">
        <v>15.77</v>
      </c>
      <c r="O31" s="62">
        <v>53.42</v>
      </c>
      <c r="P31" s="62">
        <v>3.69</v>
      </c>
      <c r="Q31" s="62">
        <v>17.059999999999999</v>
      </c>
      <c r="R31" s="62">
        <v>17.97</v>
      </c>
      <c r="S31" s="62">
        <v>64.63</v>
      </c>
      <c r="T31" s="62" t="s">
        <v>4975</v>
      </c>
      <c r="U31" s="65" t="s">
        <v>590</v>
      </c>
      <c r="V31" s="65" t="s">
        <v>266</v>
      </c>
    </row>
    <row r="32" spans="1:22" ht="15" customHeight="1" x14ac:dyDescent="0.25">
      <c r="A32" s="64" t="s">
        <v>5022</v>
      </c>
      <c r="B32" s="64" t="s">
        <v>2141</v>
      </c>
      <c r="C32" s="64" t="s">
        <v>4998</v>
      </c>
      <c r="D32" s="64" t="s">
        <v>4984</v>
      </c>
      <c r="E32" s="64">
        <v>19.059999999999999</v>
      </c>
      <c r="F32" s="64">
        <v>18.829999999999998</v>
      </c>
      <c r="G32" s="68">
        <f t="shared" si="0"/>
        <v>-1.2</v>
      </c>
      <c r="H32" s="64">
        <v>18.8</v>
      </c>
      <c r="I32" s="68">
        <f t="shared" si="1"/>
        <v>3.54</v>
      </c>
      <c r="J32" s="64">
        <v>18.63</v>
      </c>
      <c r="K32" s="64">
        <v>23.39</v>
      </c>
      <c r="L32" s="64">
        <v>9.3800000000000008</v>
      </c>
      <c r="M32" s="64">
        <v>0.88</v>
      </c>
      <c r="N32" s="64">
        <v>17.399999999999999</v>
      </c>
      <c r="O32" s="64">
        <v>51.02</v>
      </c>
      <c r="P32" s="64">
        <v>2.69</v>
      </c>
      <c r="Q32" s="64">
        <v>12.29</v>
      </c>
      <c r="R32" s="64">
        <v>12.22</v>
      </c>
      <c r="S32" s="64">
        <v>75.69</v>
      </c>
      <c r="T32" s="64" t="s">
        <v>4982</v>
      </c>
      <c r="U32" s="65" t="s">
        <v>590</v>
      </c>
      <c r="V32" s="65" t="s">
        <v>266</v>
      </c>
    </row>
    <row r="33" spans="1:22" ht="15" customHeight="1" x14ac:dyDescent="0.25">
      <c r="A33" s="62" t="s">
        <v>5023</v>
      </c>
      <c r="B33" s="62" t="s">
        <v>2144</v>
      </c>
      <c r="C33" s="62" t="s">
        <v>4989</v>
      </c>
      <c r="D33" s="62" t="s">
        <v>4987</v>
      </c>
      <c r="E33" s="62">
        <v>5.97</v>
      </c>
      <c r="F33" s="62">
        <v>6.95</v>
      </c>
      <c r="G33" s="67">
        <f t="shared" si="0"/>
        <v>16.399999999999999</v>
      </c>
      <c r="H33" s="62">
        <v>5.8</v>
      </c>
      <c r="I33" s="67">
        <f t="shared" si="1"/>
        <v>0.4</v>
      </c>
      <c r="J33" s="62">
        <v>17.37</v>
      </c>
      <c r="K33" s="62">
        <v>16.329999999999998</v>
      </c>
      <c r="L33" s="62">
        <v>10.39</v>
      </c>
      <c r="M33" s="62">
        <v>1.33</v>
      </c>
      <c r="N33" s="62">
        <v>13.71</v>
      </c>
      <c r="O33" s="62">
        <v>47.59</v>
      </c>
      <c r="P33" s="62">
        <v>3.3</v>
      </c>
      <c r="Q33" s="62">
        <v>14.62</v>
      </c>
      <c r="R33" s="62">
        <v>13.41</v>
      </c>
      <c r="S33" s="62">
        <v>75.010000000000005</v>
      </c>
      <c r="T33" s="62" t="s">
        <v>4972</v>
      </c>
      <c r="U33" s="65" t="s">
        <v>590</v>
      </c>
      <c r="V33" s="65" t="s">
        <v>266</v>
      </c>
    </row>
    <row r="34" spans="1:22" ht="15" customHeight="1" x14ac:dyDescent="0.25">
      <c r="A34" s="64" t="s">
        <v>5024</v>
      </c>
      <c r="B34" s="64" t="s">
        <v>2140</v>
      </c>
      <c r="C34" s="64" t="s">
        <v>4989</v>
      </c>
      <c r="D34" s="64" t="s">
        <v>5001</v>
      </c>
      <c r="E34" s="64">
        <v>7.41</v>
      </c>
      <c r="F34" s="64">
        <v>8.3699999999999992</v>
      </c>
      <c r="G34" s="68">
        <f t="shared" si="0"/>
        <v>13</v>
      </c>
      <c r="H34" s="64">
        <v>13.8</v>
      </c>
      <c r="I34" s="68">
        <f t="shared" si="1"/>
        <v>1.1599999999999999</v>
      </c>
      <c r="J34" s="64">
        <v>20.92</v>
      </c>
      <c r="K34" s="64">
        <v>25.8</v>
      </c>
      <c r="L34" s="64">
        <v>8.59</v>
      </c>
      <c r="M34" s="64">
        <v>1.24</v>
      </c>
      <c r="N34" s="64">
        <v>16.39</v>
      </c>
      <c r="O34" s="64">
        <v>47.86</v>
      </c>
      <c r="P34" s="64">
        <v>2.7</v>
      </c>
      <c r="Q34" s="64">
        <v>14.12</v>
      </c>
      <c r="R34" s="64">
        <v>9.41</v>
      </c>
      <c r="S34" s="64">
        <v>84.1</v>
      </c>
      <c r="T34" s="64" t="s">
        <v>4975</v>
      </c>
      <c r="U34" s="65" t="s">
        <v>590</v>
      </c>
      <c r="V34" s="65" t="s">
        <v>266</v>
      </c>
    </row>
    <row r="35" spans="1:22" ht="15" customHeight="1" x14ac:dyDescent="0.25">
      <c r="A35" s="62" t="s">
        <v>5025</v>
      </c>
      <c r="B35" s="62" t="s">
        <v>2139</v>
      </c>
      <c r="C35" s="62" t="s">
        <v>4986</v>
      </c>
      <c r="D35" s="62" t="s">
        <v>4974</v>
      </c>
      <c r="E35" s="62">
        <v>18.920000000000002</v>
      </c>
      <c r="F35" s="62">
        <v>16.71</v>
      </c>
      <c r="G35" s="67">
        <f t="shared" ref="G35:G66" si="2">ROUND((F35-E35)/ABS(E35)*100,1)</f>
        <v>-11.7</v>
      </c>
      <c r="H35" s="62">
        <v>17.899999999999999</v>
      </c>
      <c r="I35" s="67">
        <f t="shared" ref="I35:I66" si="3">ROUND(H35*F35/100,2)</f>
        <v>2.99</v>
      </c>
      <c r="J35" s="62">
        <v>20.74</v>
      </c>
      <c r="K35" s="62">
        <v>23.98</v>
      </c>
      <c r="L35" s="62">
        <v>17.690000000000001</v>
      </c>
      <c r="M35" s="62">
        <v>0.54</v>
      </c>
      <c r="N35" s="62">
        <v>16.23</v>
      </c>
      <c r="O35" s="62">
        <v>55.67</v>
      </c>
      <c r="P35" s="62">
        <v>2.56</v>
      </c>
      <c r="Q35" s="62">
        <v>17.95</v>
      </c>
      <c r="R35" s="62">
        <v>11.03</v>
      </c>
      <c r="S35" s="62">
        <v>92.1</v>
      </c>
      <c r="T35" s="62" t="s">
        <v>4975</v>
      </c>
      <c r="U35" s="66" t="s">
        <v>579</v>
      </c>
      <c r="V35" s="66" t="s">
        <v>321</v>
      </c>
    </row>
    <row r="36" spans="1:22" ht="15" customHeight="1" x14ac:dyDescent="0.25">
      <c r="A36" s="64" t="s">
        <v>5026</v>
      </c>
      <c r="B36" s="64" t="s">
        <v>2146</v>
      </c>
      <c r="C36" s="64" t="s">
        <v>4996</v>
      </c>
      <c r="D36" s="64" t="s">
        <v>4992</v>
      </c>
      <c r="E36" s="64">
        <v>21.23</v>
      </c>
      <c r="F36" s="64">
        <v>25.28</v>
      </c>
      <c r="G36" s="68">
        <f t="shared" si="2"/>
        <v>19.100000000000001</v>
      </c>
      <c r="H36" s="64">
        <v>13.9</v>
      </c>
      <c r="I36" s="68">
        <f t="shared" si="3"/>
        <v>3.51</v>
      </c>
      <c r="J36" s="64">
        <v>16.37</v>
      </c>
      <c r="K36" s="64">
        <v>14.56</v>
      </c>
      <c r="L36" s="64">
        <v>15.47</v>
      </c>
      <c r="M36" s="64">
        <v>1.46</v>
      </c>
      <c r="N36" s="64">
        <v>12.82</v>
      </c>
      <c r="O36" s="64">
        <v>50.71</v>
      </c>
      <c r="P36" s="64">
        <v>2.99</v>
      </c>
      <c r="Q36" s="64">
        <v>12.71</v>
      </c>
      <c r="R36" s="64">
        <v>6.62</v>
      </c>
      <c r="S36" s="64">
        <v>60.57</v>
      </c>
      <c r="T36" s="64" t="s">
        <v>4972</v>
      </c>
      <c r="U36" s="65" t="s">
        <v>590</v>
      </c>
      <c r="V36" s="65" t="s">
        <v>266</v>
      </c>
    </row>
    <row r="37" spans="1:22" ht="15" customHeight="1" x14ac:dyDescent="0.25">
      <c r="A37" s="62" t="s">
        <v>5027</v>
      </c>
      <c r="B37" s="62" t="s">
        <v>2135</v>
      </c>
      <c r="C37" s="62" t="s">
        <v>4989</v>
      </c>
      <c r="D37" s="62" t="s">
        <v>5001</v>
      </c>
      <c r="E37" s="62">
        <v>12.79</v>
      </c>
      <c r="F37" s="62">
        <v>12.98</v>
      </c>
      <c r="G37" s="67">
        <f t="shared" si="2"/>
        <v>1.5</v>
      </c>
      <c r="H37" s="62">
        <v>12.9</v>
      </c>
      <c r="I37" s="67">
        <f t="shared" si="3"/>
        <v>1.67</v>
      </c>
      <c r="J37" s="62">
        <v>17.829999999999998</v>
      </c>
      <c r="K37" s="62">
        <v>21.22</v>
      </c>
      <c r="L37" s="62">
        <v>10.83</v>
      </c>
      <c r="M37" s="62">
        <v>0.83</v>
      </c>
      <c r="N37" s="62">
        <v>19.8</v>
      </c>
      <c r="O37" s="62">
        <v>48.14</v>
      </c>
      <c r="P37" s="62">
        <v>2.75</v>
      </c>
      <c r="Q37" s="62">
        <v>16.91</v>
      </c>
      <c r="R37" s="62">
        <v>9.82</v>
      </c>
      <c r="S37" s="62">
        <v>64.319999999999993</v>
      </c>
      <c r="T37" s="62" t="s">
        <v>4975</v>
      </c>
      <c r="U37" s="65" t="s">
        <v>590</v>
      </c>
      <c r="V37" s="65" t="s">
        <v>266</v>
      </c>
    </row>
    <row r="38" spans="1:22" ht="15" customHeight="1" x14ac:dyDescent="0.25">
      <c r="A38" s="64" t="s">
        <v>5028</v>
      </c>
      <c r="B38" s="64" t="s">
        <v>2135</v>
      </c>
      <c r="C38" s="64" t="s">
        <v>4996</v>
      </c>
      <c r="D38" s="64" t="s">
        <v>4987</v>
      </c>
      <c r="E38" s="64">
        <v>12.6</v>
      </c>
      <c r="F38" s="64">
        <v>10.3</v>
      </c>
      <c r="G38" s="68">
        <f t="shared" si="2"/>
        <v>-18.3</v>
      </c>
      <c r="H38" s="64">
        <v>17.2</v>
      </c>
      <c r="I38" s="68">
        <f t="shared" si="3"/>
        <v>1.77</v>
      </c>
      <c r="J38" s="64">
        <v>16.03</v>
      </c>
      <c r="K38" s="64">
        <v>15.23</v>
      </c>
      <c r="L38" s="64">
        <v>9.4</v>
      </c>
      <c r="M38" s="64">
        <v>1.04</v>
      </c>
      <c r="N38" s="64">
        <v>10.3</v>
      </c>
      <c r="O38" s="64">
        <v>45.21</v>
      </c>
      <c r="P38" s="64">
        <v>3.17</v>
      </c>
      <c r="Q38" s="64">
        <v>14.61</v>
      </c>
      <c r="R38" s="64">
        <v>14.85</v>
      </c>
      <c r="S38" s="64">
        <v>91.56</v>
      </c>
      <c r="T38" s="64" t="s">
        <v>4975</v>
      </c>
      <c r="U38" s="63" t="s">
        <v>622</v>
      </c>
      <c r="V38" s="63" t="s">
        <v>495</v>
      </c>
    </row>
    <row r="39" spans="1:22" ht="15" customHeight="1" x14ac:dyDescent="0.25">
      <c r="A39" s="62" t="s">
        <v>5029</v>
      </c>
      <c r="B39" s="62" t="s">
        <v>2141</v>
      </c>
      <c r="C39" s="62" t="s">
        <v>4977</v>
      </c>
      <c r="D39" s="62" t="s">
        <v>4981</v>
      </c>
      <c r="E39" s="62">
        <v>12.07</v>
      </c>
      <c r="F39" s="62">
        <v>14.45</v>
      </c>
      <c r="G39" s="67">
        <f t="shared" si="2"/>
        <v>19.7</v>
      </c>
      <c r="H39" s="62">
        <v>10.5</v>
      </c>
      <c r="I39" s="67">
        <f t="shared" si="3"/>
        <v>1.52</v>
      </c>
      <c r="J39" s="62">
        <v>18.649999999999999</v>
      </c>
      <c r="K39" s="62">
        <v>14.36</v>
      </c>
      <c r="L39" s="62">
        <v>17.55</v>
      </c>
      <c r="M39" s="62">
        <v>1.18</v>
      </c>
      <c r="N39" s="62">
        <v>10.68</v>
      </c>
      <c r="O39" s="62">
        <v>49.61</v>
      </c>
      <c r="P39" s="62">
        <v>3.59</v>
      </c>
      <c r="Q39" s="62">
        <v>19.27</v>
      </c>
      <c r="R39" s="62">
        <v>10.5</v>
      </c>
      <c r="S39" s="62">
        <v>88.31</v>
      </c>
      <c r="T39" s="62" t="s">
        <v>4978</v>
      </c>
      <c r="U39" s="65" t="s">
        <v>590</v>
      </c>
      <c r="V39" s="65" t="s">
        <v>266</v>
      </c>
    </row>
    <row r="40" spans="1:22" ht="15" customHeight="1" x14ac:dyDescent="0.25">
      <c r="A40" s="64" t="s">
        <v>5030</v>
      </c>
      <c r="B40" s="64" t="s">
        <v>2136</v>
      </c>
      <c r="C40" s="64" t="s">
        <v>4970</v>
      </c>
      <c r="D40" s="64" t="s">
        <v>4984</v>
      </c>
      <c r="E40" s="64">
        <v>15.53</v>
      </c>
      <c r="F40" s="64">
        <v>15.31</v>
      </c>
      <c r="G40" s="68">
        <f t="shared" si="2"/>
        <v>-1.4</v>
      </c>
      <c r="H40" s="64">
        <v>10.6</v>
      </c>
      <c r="I40" s="68">
        <f t="shared" si="3"/>
        <v>1.62</v>
      </c>
      <c r="J40" s="64">
        <v>16.79</v>
      </c>
      <c r="K40" s="64">
        <v>14.81</v>
      </c>
      <c r="L40" s="64">
        <v>10.09</v>
      </c>
      <c r="M40" s="64">
        <v>1.0900000000000001</v>
      </c>
      <c r="N40" s="64">
        <v>13.08</v>
      </c>
      <c r="O40" s="64">
        <v>56.34</v>
      </c>
      <c r="P40" s="64">
        <v>2.58</v>
      </c>
      <c r="Q40" s="64">
        <v>10.63</v>
      </c>
      <c r="R40" s="64">
        <v>8.43</v>
      </c>
      <c r="S40" s="64">
        <v>86.09</v>
      </c>
      <c r="T40" s="64" t="s">
        <v>4982</v>
      </c>
      <c r="U40" s="65" t="s">
        <v>590</v>
      </c>
      <c r="V40" s="65" t="s">
        <v>266</v>
      </c>
    </row>
    <row r="41" spans="1:22" ht="15" customHeight="1" x14ac:dyDescent="0.25">
      <c r="A41" s="62" t="s">
        <v>5031</v>
      </c>
      <c r="B41" s="62" t="s">
        <v>2141</v>
      </c>
      <c r="C41" s="62" t="s">
        <v>4996</v>
      </c>
      <c r="D41" s="62" t="s">
        <v>4974</v>
      </c>
      <c r="E41" s="62">
        <v>16.670000000000002</v>
      </c>
      <c r="F41" s="62">
        <v>14.33</v>
      </c>
      <c r="G41" s="67">
        <f t="shared" si="2"/>
        <v>-14</v>
      </c>
      <c r="H41" s="62">
        <v>11.9</v>
      </c>
      <c r="I41" s="67">
        <f t="shared" si="3"/>
        <v>1.71</v>
      </c>
      <c r="J41" s="62">
        <v>20.73</v>
      </c>
      <c r="K41" s="62">
        <v>23.08</v>
      </c>
      <c r="L41" s="62">
        <v>15.58</v>
      </c>
      <c r="M41" s="62">
        <v>1.43</v>
      </c>
      <c r="N41" s="62">
        <v>16.37</v>
      </c>
      <c r="O41" s="62">
        <v>55.63</v>
      </c>
      <c r="P41" s="62">
        <v>3.15</v>
      </c>
      <c r="Q41" s="62">
        <v>16.149999999999999</v>
      </c>
      <c r="R41" s="62">
        <v>8.9</v>
      </c>
      <c r="S41" s="62">
        <v>85.15</v>
      </c>
      <c r="T41" s="62" t="s">
        <v>4982</v>
      </c>
      <c r="U41" s="66" t="s">
        <v>579</v>
      </c>
      <c r="V41" s="66" t="s">
        <v>321</v>
      </c>
    </row>
    <row r="42" spans="1:22" ht="15" customHeight="1" x14ac:dyDescent="0.25">
      <c r="A42" s="64" t="s">
        <v>5032</v>
      </c>
      <c r="B42" s="64" t="s">
        <v>2146</v>
      </c>
      <c r="C42" s="64" t="s">
        <v>4996</v>
      </c>
      <c r="D42" s="64" t="s">
        <v>4987</v>
      </c>
      <c r="E42" s="64">
        <v>22.7</v>
      </c>
      <c r="F42" s="64">
        <v>22.17</v>
      </c>
      <c r="G42" s="68">
        <f t="shared" si="2"/>
        <v>-2.2999999999999998</v>
      </c>
      <c r="H42" s="64">
        <v>7.9</v>
      </c>
      <c r="I42" s="68">
        <f t="shared" si="3"/>
        <v>1.75</v>
      </c>
      <c r="J42" s="64">
        <v>18.22</v>
      </c>
      <c r="K42" s="64">
        <v>19.29</v>
      </c>
      <c r="L42" s="64">
        <v>10.64</v>
      </c>
      <c r="M42" s="64">
        <v>1.17</v>
      </c>
      <c r="N42" s="64">
        <v>14.6</v>
      </c>
      <c r="O42" s="64">
        <v>55.94</v>
      </c>
      <c r="P42" s="64">
        <v>2.5099999999999998</v>
      </c>
      <c r="Q42" s="64">
        <v>15.3</v>
      </c>
      <c r="R42" s="64">
        <v>5.64</v>
      </c>
      <c r="S42" s="64">
        <v>66.5</v>
      </c>
      <c r="T42" s="64" t="s">
        <v>4982</v>
      </c>
      <c r="U42" s="65" t="s">
        <v>590</v>
      </c>
      <c r="V42" s="65" t="s">
        <v>266</v>
      </c>
    </row>
    <row r="43" spans="1:22" ht="15" customHeight="1" x14ac:dyDescent="0.25">
      <c r="A43" s="62" t="s">
        <v>5033</v>
      </c>
      <c r="B43" s="62" t="s">
        <v>2138</v>
      </c>
      <c r="C43" s="62" t="s">
        <v>5009</v>
      </c>
      <c r="D43" s="62" t="s">
        <v>4974</v>
      </c>
      <c r="E43" s="62">
        <v>21.03</v>
      </c>
      <c r="F43" s="62">
        <v>15.65</v>
      </c>
      <c r="G43" s="67">
        <f t="shared" si="2"/>
        <v>-25.6</v>
      </c>
      <c r="H43" s="62">
        <v>9</v>
      </c>
      <c r="I43" s="67">
        <f t="shared" si="3"/>
        <v>1.41</v>
      </c>
      <c r="J43" s="62">
        <v>23.56</v>
      </c>
      <c r="K43" s="62">
        <v>26.62</v>
      </c>
      <c r="L43" s="62">
        <v>9</v>
      </c>
      <c r="M43" s="62">
        <v>0.69</v>
      </c>
      <c r="N43" s="62">
        <v>10.26</v>
      </c>
      <c r="O43" s="62">
        <v>52.2</v>
      </c>
      <c r="P43" s="62">
        <v>3.23</v>
      </c>
      <c r="Q43" s="62">
        <v>8.26</v>
      </c>
      <c r="R43" s="62">
        <v>16.05</v>
      </c>
      <c r="S43" s="62">
        <v>65.03</v>
      </c>
      <c r="T43" s="62" t="s">
        <v>4975</v>
      </c>
      <c r="U43" s="63" t="s">
        <v>622</v>
      </c>
      <c r="V43" s="63" t="s">
        <v>495</v>
      </c>
    </row>
    <row r="44" spans="1:22" ht="15" customHeight="1" x14ac:dyDescent="0.25">
      <c r="A44" s="64" t="s">
        <v>5034</v>
      </c>
      <c r="B44" s="64" t="s">
        <v>2139</v>
      </c>
      <c r="C44" s="64" t="s">
        <v>4977</v>
      </c>
      <c r="D44" s="64" t="s">
        <v>4981</v>
      </c>
      <c r="E44" s="64">
        <v>16.309999999999999</v>
      </c>
      <c r="F44" s="64">
        <v>18.440000000000001</v>
      </c>
      <c r="G44" s="68">
        <f t="shared" si="2"/>
        <v>13.1</v>
      </c>
      <c r="H44" s="64">
        <v>9.3000000000000007</v>
      </c>
      <c r="I44" s="68">
        <f t="shared" si="3"/>
        <v>1.71</v>
      </c>
      <c r="J44" s="64">
        <v>15.4</v>
      </c>
      <c r="K44" s="64">
        <v>19.09</v>
      </c>
      <c r="L44" s="64">
        <v>17.22</v>
      </c>
      <c r="M44" s="64">
        <v>0.82</v>
      </c>
      <c r="N44" s="64">
        <v>17.63</v>
      </c>
      <c r="O44" s="64">
        <v>61.31</v>
      </c>
      <c r="P44" s="64">
        <v>3.9</v>
      </c>
      <c r="Q44" s="64">
        <v>18.440000000000001</v>
      </c>
      <c r="R44" s="64">
        <v>10.98</v>
      </c>
      <c r="S44" s="64">
        <v>81.61</v>
      </c>
      <c r="T44" s="64" t="s">
        <v>4982</v>
      </c>
      <c r="U44" s="65" t="s">
        <v>590</v>
      </c>
      <c r="V44" s="65" t="s">
        <v>266</v>
      </c>
    </row>
    <row r="45" spans="1:22" ht="15" customHeight="1" x14ac:dyDescent="0.25">
      <c r="A45" s="62" t="s">
        <v>5035</v>
      </c>
      <c r="B45" s="62" t="s">
        <v>2141</v>
      </c>
      <c r="C45" s="62" t="s">
        <v>4977</v>
      </c>
      <c r="D45" s="62" t="s">
        <v>4974</v>
      </c>
      <c r="E45" s="62">
        <v>14.47</v>
      </c>
      <c r="F45" s="62">
        <v>11.84</v>
      </c>
      <c r="G45" s="67">
        <f t="shared" si="2"/>
        <v>-18.2</v>
      </c>
      <c r="H45" s="62">
        <v>19</v>
      </c>
      <c r="I45" s="67">
        <f t="shared" si="3"/>
        <v>2.25</v>
      </c>
      <c r="J45" s="62">
        <v>16.59</v>
      </c>
      <c r="K45" s="62">
        <v>18.8</v>
      </c>
      <c r="L45" s="62">
        <v>16.670000000000002</v>
      </c>
      <c r="M45" s="62">
        <v>1.1499999999999999</v>
      </c>
      <c r="N45" s="62">
        <v>10.47</v>
      </c>
      <c r="O45" s="62">
        <v>49.77</v>
      </c>
      <c r="P45" s="62">
        <v>2.77</v>
      </c>
      <c r="Q45" s="62">
        <v>13.63</v>
      </c>
      <c r="R45" s="62">
        <v>8.27</v>
      </c>
      <c r="S45" s="62">
        <v>94.71</v>
      </c>
      <c r="T45" s="62" t="s">
        <v>4972</v>
      </c>
      <c r="U45" s="63" t="s">
        <v>622</v>
      </c>
      <c r="V45" s="63" t="s">
        <v>495</v>
      </c>
    </row>
    <row r="46" spans="1:22" ht="15" customHeight="1" x14ac:dyDescent="0.25">
      <c r="A46" s="64" t="s">
        <v>5036</v>
      </c>
      <c r="B46" s="64" t="s">
        <v>2136</v>
      </c>
      <c r="C46" s="64" t="s">
        <v>4986</v>
      </c>
      <c r="D46" s="64" t="s">
        <v>4981</v>
      </c>
      <c r="E46" s="64">
        <v>9.56</v>
      </c>
      <c r="F46" s="64">
        <v>10.51</v>
      </c>
      <c r="G46" s="68">
        <f t="shared" si="2"/>
        <v>9.9</v>
      </c>
      <c r="H46" s="64">
        <v>12.7</v>
      </c>
      <c r="I46" s="68">
        <f t="shared" si="3"/>
        <v>1.33</v>
      </c>
      <c r="J46" s="64">
        <v>17.93</v>
      </c>
      <c r="K46" s="64">
        <v>15.05</v>
      </c>
      <c r="L46" s="64">
        <v>10.97</v>
      </c>
      <c r="M46" s="64">
        <v>1.1599999999999999</v>
      </c>
      <c r="N46" s="64">
        <v>16.05</v>
      </c>
      <c r="O46" s="64">
        <v>55.51</v>
      </c>
      <c r="P46" s="64">
        <v>3.83</v>
      </c>
      <c r="Q46" s="64">
        <v>5.14</v>
      </c>
      <c r="R46" s="64">
        <v>13.74</v>
      </c>
      <c r="S46" s="64">
        <v>71.599999999999994</v>
      </c>
      <c r="T46" s="64" t="s">
        <v>4978</v>
      </c>
      <c r="U46" s="65" t="s">
        <v>590</v>
      </c>
      <c r="V46" s="65" t="s">
        <v>266</v>
      </c>
    </row>
    <row r="47" spans="1:22" ht="15" customHeight="1" x14ac:dyDescent="0.25">
      <c r="A47" s="62" t="s">
        <v>5037</v>
      </c>
      <c r="B47" s="62" t="s">
        <v>2138</v>
      </c>
      <c r="C47" s="62" t="s">
        <v>4996</v>
      </c>
      <c r="D47" s="62" t="s">
        <v>4992</v>
      </c>
      <c r="E47" s="62">
        <v>18.8</v>
      </c>
      <c r="F47" s="62">
        <v>14.35</v>
      </c>
      <c r="G47" s="67">
        <f t="shared" si="2"/>
        <v>-23.7</v>
      </c>
      <c r="H47" s="62">
        <v>10.8</v>
      </c>
      <c r="I47" s="67">
        <f t="shared" si="3"/>
        <v>1.55</v>
      </c>
      <c r="J47" s="62">
        <v>24.15</v>
      </c>
      <c r="K47" s="62">
        <v>23.58</v>
      </c>
      <c r="L47" s="62">
        <v>12.36</v>
      </c>
      <c r="M47" s="62">
        <v>1.19</v>
      </c>
      <c r="N47" s="62">
        <v>16.22</v>
      </c>
      <c r="O47" s="62">
        <v>49.03</v>
      </c>
      <c r="P47" s="62">
        <v>3.94</v>
      </c>
      <c r="Q47" s="62">
        <v>6.86</v>
      </c>
      <c r="R47" s="62">
        <v>5.05</v>
      </c>
      <c r="S47" s="62">
        <v>89.13</v>
      </c>
      <c r="T47" s="62" t="s">
        <v>4978</v>
      </c>
      <c r="U47" s="63" t="s">
        <v>622</v>
      </c>
      <c r="V47" s="63" t="s">
        <v>495</v>
      </c>
    </row>
    <row r="48" spans="1:22" ht="15" customHeight="1" x14ac:dyDescent="0.25">
      <c r="A48" s="64" t="s">
        <v>5038</v>
      </c>
      <c r="B48" s="64" t="s">
        <v>2141</v>
      </c>
      <c r="C48" s="64" t="s">
        <v>4998</v>
      </c>
      <c r="D48" s="64" t="s">
        <v>5004</v>
      </c>
      <c r="E48" s="64">
        <v>8.69</v>
      </c>
      <c r="F48" s="64">
        <v>9.3800000000000008</v>
      </c>
      <c r="G48" s="68">
        <f t="shared" si="2"/>
        <v>7.9</v>
      </c>
      <c r="H48" s="64">
        <v>19.899999999999999</v>
      </c>
      <c r="I48" s="68">
        <f t="shared" si="3"/>
        <v>1.87</v>
      </c>
      <c r="J48" s="64">
        <v>22.25</v>
      </c>
      <c r="K48" s="64">
        <v>18.760000000000002</v>
      </c>
      <c r="L48" s="64">
        <v>9.2799999999999994</v>
      </c>
      <c r="M48" s="64">
        <v>0.95</v>
      </c>
      <c r="N48" s="64">
        <v>14.67</v>
      </c>
      <c r="O48" s="64">
        <v>49.08</v>
      </c>
      <c r="P48" s="64">
        <v>2.61</v>
      </c>
      <c r="Q48" s="64">
        <v>18.3</v>
      </c>
      <c r="R48" s="64">
        <v>11.58</v>
      </c>
      <c r="S48" s="64">
        <v>93.6</v>
      </c>
      <c r="T48" s="64" t="s">
        <v>4975</v>
      </c>
      <c r="U48" s="65" t="s">
        <v>590</v>
      </c>
      <c r="V48" s="65" t="s">
        <v>266</v>
      </c>
    </row>
    <row r="49" spans="1:22" ht="15" customHeight="1" x14ac:dyDescent="0.25">
      <c r="A49" s="62" t="s">
        <v>5039</v>
      </c>
      <c r="B49" s="62" t="s">
        <v>2145</v>
      </c>
      <c r="C49" s="62" t="s">
        <v>4980</v>
      </c>
      <c r="D49" s="62" t="s">
        <v>4974</v>
      </c>
      <c r="E49" s="62">
        <v>5.57</v>
      </c>
      <c r="F49" s="62">
        <v>6.13</v>
      </c>
      <c r="G49" s="67">
        <f t="shared" si="2"/>
        <v>10.1</v>
      </c>
      <c r="H49" s="62">
        <v>5.0999999999999996</v>
      </c>
      <c r="I49" s="67">
        <f t="shared" si="3"/>
        <v>0.31</v>
      </c>
      <c r="J49" s="62">
        <v>20.59</v>
      </c>
      <c r="K49" s="62">
        <v>16.11</v>
      </c>
      <c r="L49" s="62">
        <v>11.78</v>
      </c>
      <c r="M49" s="62">
        <v>0.53</v>
      </c>
      <c r="N49" s="62">
        <v>16.14</v>
      </c>
      <c r="O49" s="62">
        <v>48.39</v>
      </c>
      <c r="P49" s="62">
        <v>3.26</v>
      </c>
      <c r="Q49" s="62">
        <v>9.56</v>
      </c>
      <c r="R49" s="62">
        <v>13.19</v>
      </c>
      <c r="S49" s="62">
        <v>62.97</v>
      </c>
      <c r="T49" s="62" t="s">
        <v>4972</v>
      </c>
      <c r="U49" s="65" t="s">
        <v>590</v>
      </c>
      <c r="V49" s="65" t="s">
        <v>266</v>
      </c>
    </row>
    <row r="50" spans="1:22" ht="15" customHeight="1" x14ac:dyDescent="0.25">
      <c r="A50" s="64" t="s">
        <v>5040</v>
      </c>
      <c r="B50" s="64" t="s">
        <v>2137</v>
      </c>
      <c r="C50" s="64" t="s">
        <v>5009</v>
      </c>
      <c r="D50" s="64" t="s">
        <v>4992</v>
      </c>
      <c r="E50" s="64">
        <v>19.559999999999999</v>
      </c>
      <c r="F50" s="64">
        <v>14.99</v>
      </c>
      <c r="G50" s="68">
        <f t="shared" si="2"/>
        <v>-23.4</v>
      </c>
      <c r="H50" s="64">
        <v>12.4</v>
      </c>
      <c r="I50" s="68">
        <f t="shared" si="3"/>
        <v>1.86</v>
      </c>
      <c r="J50" s="64">
        <v>15.19</v>
      </c>
      <c r="K50" s="64">
        <v>16.670000000000002</v>
      </c>
      <c r="L50" s="64">
        <v>12.34</v>
      </c>
      <c r="M50" s="64">
        <v>1.28</v>
      </c>
      <c r="N50" s="64">
        <v>13.67</v>
      </c>
      <c r="O50" s="64">
        <v>48.34</v>
      </c>
      <c r="P50" s="64">
        <v>3.18</v>
      </c>
      <c r="Q50" s="64">
        <v>7.07</v>
      </c>
      <c r="R50" s="64">
        <v>12.4</v>
      </c>
      <c r="S50" s="64">
        <v>60.08</v>
      </c>
      <c r="T50" s="64" t="s">
        <v>4975</v>
      </c>
      <c r="U50" s="63" t="s">
        <v>622</v>
      </c>
      <c r="V50" s="63" t="s">
        <v>495</v>
      </c>
    </row>
    <row r="51" spans="1:22" ht="15" customHeight="1" x14ac:dyDescent="0.25">
      <c r="A51" s="62" t="s">
        <v>5041</v>
      </c>
      <c r="B51" s="62" t="s">
        <v>2140</v>
      </c>
      <c r="C51" s="62" t="s">
        <v>4970</v>
      </c>
      <c r="D51" s="62" t="s">
        <v>5018</v>
      </c>
      <c r="E51" s="62">
        <v>9.9</v>
      </c>
      <c r="F51" s="62">
        <v>8.93</v>
      </c>
      <c r="G51" s="67">
        <f t="shared" si="2"/>
        <v>-9.8000000000000007</v>
      </c>
      <c r="H51" s="62">
        <v>17.100000000000001</v>
      </c>
      <c r="I51" s="67">
        <f t="shared" si="3"/>
        <v>1.53</v>
      </c>
      <c r="J51" s="62">
        <v>21.62</v>
      </c>
      <c r="K51" s="62">
        <v>20.190000000000001</v>
      </c>
      <c r="L51" s="62">
        <v>16.47</v>
      </c>
      <c r="M51" s="62">
        <v>1.31</v>
      </c>
      <c r="N51" s="62">
        <v>14.04</v>
      </c>
      <c r="O51" s="62">
        <v>64.099999999999994</v>
      </c>
      <c r="P51" s="62">
        <v>2.89</v>
      </c>
      <c r="Q51" s="62">
        <v>11.17</v>
      </c>
      <c r="R51" s="62">
        <v>5.92</v>
      </c>
      <c r="S51" s="62">
        <v>80.08</v>
      </c>
      <c r="T51" s="62" t="s">
        <v>4978</v>
      </c>
      <c r="U51" s="66" t="s">
        <v>579</v>
      </c>
      <c r="V51" s="66" t="s">
        <v>321</v>
      </c>
    </row>
    <row r="52" spans="1:22" ht="15" customHeight="1" x14ac:dyDescent="0.25">
      <c r="A52" s="64" t="s">
        <v>5042</v>
      </c>
      <c r="B52" s="64" t="s">
        <v>2135</v>
      </c>
      <c r="C52" s="64" t="s">
        <v>4986</v>
      </c>
      <c r="D52" s="64" t="s">
        <v>4974</v>
      </c>
      <c r="E52" s="64">
        <v>17.91</v>
      </c>
      <c r="F52" s="64">
        <v>14.41</v>
      </c>
      <c r="G52" s="68">
        <f t="shared" si="2"/>
        <v>-19.5</v>
      </c>
      <c r="H52" s="64">
        <v>12.8</v>
      </c>
      <c r="I52" s="68">
        <f t="shared" si="3"/>
        <v>1.84</v>
      </c>
      <c r="J52" s="64">
        <v>17.18</v>
      </c>
      <c r="K52" s="64">
        <v>18.05</v>
      </c>
      <c r="L52" s="64">
        <v>15.7</v>
      </c>
      <c r="M52" s="64">
        <v>1.18</v>
      </c>
      <c r="N52" s="64">
        <v>17.489999999999998</v>
      </c>
      <c r="O52" s="64">
        <v>61.77</v>
      </c>
      <c r="P52" s="64">
        <v>3.56</v>
      </c>
      <c r="Q52" s="64">
        <v>17.63</v>
      </c>
      <c r="R52" s="64">
        <v>12.78</v>
      </c>
      <c r="S52" s="64">
        <v>62.71</v>
      </c>
      <c r="T52" s="64" t="s">
        <v>4975</v>
      </c>
      <c r="U52" s="63" t="s">
        <v>622</v>
      </c>
      <c r="V52" s="63" t="s">
        <v>495</v>
      </c>
    </row>
    <row r="53" spans="1:22" ht="15" customHeight="1" x14ac:dyDescent="0.25">
      <c r="A53" s="62" t="s">
        <v>5043</v>
      </c>
      <c r="B53" s="62" t="s">
        <v>2141</v>
      </c>
      <c r="C53" s="62" t="s">
        <v>4986</v>
      </c>
      <c r="D53" s="62" t="s">
        <v>5001</v>
      </c>
      <c r="E53" s="62">
        <v>22.77</v>
      </c>
      <c r="F53" s="62">
        <v>25.2</v>
      </c>
      <c r="G53" s="67">
        <f t="shared" si="2"/>
        <v>10.7</v>
      </c>
      <c r="H53" s="62">
        <v>5.2</v>
      </c>
      <c r="I53" s="67">
        <f t="shared" si="3"/>
        <v>1.31</v>
      </c>
      <c r="J53" s="62">
        <v>17.82</v>
      </c>
      <c r="K53" s="62">
        <v>19.84</v>
      </c>
      <c r="L53" s="62">
        <v>14.62</v>
      </c>
      <c r="M53" s="62">
        <v>0.64</v>
      </c>
      <c r="N53" s="62">
        <v>14.17</v>
      </c>
      <c r="O53" s="62">
        <v>62.45</v>
      </c>
      <c r="P53" s="62">
        <v>2.94</v>
      </c>
      <c r="Q53" s="62">
        <v>6.91</v>
      </c>
      <c r="R53" s="62">
        <v>14.69</v>
      </c>
      <c r="S53" s="62">
        <v>94.14</v>
      </c>
      <c r="T53" s="62" t="s">
        <v>4978</v>
      </c>
      <c r="U53" s="65" t="s">
        <v>590</v>
      </c>
      <c r="V53" s="65" t="s">
        <v>266</v>
      </c>
    </row>
    <row r="54" spans="1:22" ht="15" customHeight="1" x14ac:dyDescent="0.25">
      <c r="A54" s="64" t="s">
        <v>5044</v>
      </c>
      <c r="B54" s="64" t="s">
        <v>2137</v>
      </c>
      <c r="C54" s="64" t="s">
        <v>5013</v>
      </c>
      <c r="D54" s="64" t="s">
        <v>5004</v>
      </c>
      <c r="E54" s="64">
        <v>7.02</v>
      </c>
      <c r="F54" s="64">
        <v>7.44</v>
      </c>
      <c r="G54" s="68">
        <f t="shared" si="2"/>
        <v>6</v>
      </c>
      <c r="H54" s="64">
        <v>13.8</v>
      </c>
      <c r="I54" s="68">
        <f t="shared" si="3"/>
        <v>1.03</v>
      </c>
      <c r="J54" s="64">
        <v>24.35</v>
      </c>
      <c r="K54" s="64">
        <v>24.69</v>
      </c>
      <c r="L54" s="64">
        <v>14.51</v>
      </c>
      <c r="M54" s="64">
        <v>1.1599999999999999</v>
      </c>
      <c r="N54" s="64">
        <v>19.100000000000001</v>
      </c>
      <c r="O54" s="64">
        <v>51.59</v>
      </c>
      <c r="P54" s="64">
        <v>2.93</v>
      </c>
      <c r="Q54" s="64">
        <v>18.989999999999998</v>
      </c>
      <c r="R54" s="64">
        <v>7.96</v>
      </c>
      <c r="S54" s="64">
        <v>60.57</v>
      </c>
      <c r="T54" s="64" t="s">
        <v>4972</v>
      </c>
      <c r="U54" s="65" t="s">
        <v>590</v>
      </c>
      <c r="V54" s="65" t="s">
        <v>266</v>
      </c>
    </row>
    <row r="55" spans="1:22" ht="15" customHeight="1" x14ac:dyDescent="0.25">
      <c r="A55" s="62" t="s">
        <v>5045</v>
      </c>
      <c r="B55" s="62" t="s">
        <v>2146</v>
      </c>
      <c r="C55" s="62" t="s">
        <v>5009</v>
      </c>
      <c r="D55" s="62" t="s">
        <v>4987</v>
      </c>
      <c r="E55" s="62">
        <v>19.829999999999998</v>
      </c>
      <c r="F55" s="62">
        <v>23.67</v>
      </c>
      <c r="G55" s="67">
        <f t="shared" si="2"/>
        <v>19.399999999999999</v>
      </c>
      <c r="H55" s="62">
        <v>18.100000000000001</v>
      </c>
      <c r="I55" s="67">
        <f t="shared" si="3"/>
        <v>4.28</v>
      </c>
      <c r="J55" s="62">
        <v>16.37</v>
      </c>
      <c r="K55" s="62">
        <v>13.3</v>
      </c>
      <c r="L55" s="62">
        <v>13.92</v>
      </c>
      <c r="M55" s="62">
        <v>1.03</v>
      </c>
      <c r="N55" s="62">
        <v>19.149999999999999</v>
      </c>
      <c r="O55" s="62">
        <v>63.78</v>
      </c>
      <c r="P55" s="62">
        <v>2.95</v>
      </c>
      <c r="Q55" s="62">
        <v>17.399999999999999</v>
      </c>
      <c r="R55" s="62">
        <v>17.079999999999998</v>
      </c>
      <c r="S55" s="62">
        <v>65.66</v>
      </c>
      <c r="T55" s="62" t="s">
        <v>4975</v>
      </c>
      <c r="U55" s="65" t="s">
        <v>590</v>
      </c>
      <c r="V55" s="65" t="s">
        <v>266</v>
      </c>
    </row>
    <row r="56" spans="1:22" ht="15" customHeight="1" x14ac:dyDescent="0.25">
      <c r="A56" s="64" t="s">
        <v>5046</v>
      </c>
      <c r="B56" s="64" t="s">
        <v>2141</v>
      </c>
      <c r="C56" s="64" t="s">
        <v>5009</v>
      </c>
      <c r="D56" s="64" t="s">
        <v>4971</v>
      </c>
      <c r="E56" s="64">
        <v>18.920000000000002</v>
      </c>
      <c r="F56" s="64">
        <v>13.85</v>
      </c>
      <c r="G56" s="68">
        <f t="shared" si="2"/>
        <v>-26.8</v>
      </c>
      <c r="H56" s="64">
        <v>12.7</v>
      </c>
      <c r="I56" s="68">
        <f t="shared" si="3"/>
        <v>1.76</v>
      </c>
      <c r="J56" s="64">
        <v>20.010000000000002</v>
      </c>
      <c r="K56" s="64">
        <v>16.420000000000002</v>
      </c>
      <c r="L56" s="64">
        <v>17.649999999999999</v>
      </c>
      <c r="M56" s="64">
        <v>0.71</v>
      </c>
      <c r="N56" s="64">
        <v>15.26</v>
      </c>
      <c r="O56" s="64">
        <v>55.92</v>
      </c>
      <c r="P56" s="64">
        <v>3.22</v>
      </c>
      <c r="Q56" s="64">
        <v>9.9499999999999993</v>
      </c>
      <c r="R56" s="64">
        <v>12.11</v>
      </c>
      <c r="S56" s="64">
        <v>89.67</v>
      </c>
      <c r="T56" s="64" t="s">
        <v>4972</v>
      </c>
      <c r="U56" s="63" t="s">
        <v>622</v>
      </c>
      <c r="V56" s="63" t="s">
        <v>495</v>
      </c>
    </row>
    <row r="57" spans="1:22" ht="15" customHeight="1" x14ac:dyDescent="0.25">
      <c r="A57" s="62" t="s">
        <v>5047</v>
      </c>
      <c r="B57" s="62" t="s">
        <v>2143</v>
      </c>
      <c r="C57" s="62" t="s">
        <v>4989</v>
      </c>
      <c r="D57" s="62" t="s">
        <v>5018</v>
      </c>
      <c r="E57" s="62">
        <v>12.69</v>
      </c>
      <c r="F57" s="62">
        <v>9.3699999999999992</v>
      </c>
      <c r="G57" s="67">
        <f t="shared" si="2"/>
        <v>-26.2</v>
      </c>
      <c r="H57" s="62">
        <v>16</v>
      </c>
      <c r="I57" s="67">
        <f t="shared" si="3"/>
        <v>1.5</v>
      </c>
      <c r="J57" s="62">
        <v>21.98</v>
      </c>
      <c r="K57" s="62">
        <v>19.53</v>
      </c>
      <c r="L57" s="62">
        <v>14.42</v>
      </c>
      <c r="M57" s="62">
        <v>0.9</v>
      </c>
      <c r="N57" s="62">
        <v>14.68</v>
      </c>
      <c r="O57" s="62">
        <v>64.59</v>
      </c>
      <c r="P57" s="62">
        <v>3.4</v>
      </c>
      <c r="Q57" s="62">
        <v>19.59</v>
      </c>
      <c r="R57" s="62">
        <v>17.59</v>
      </c>
      <c r="S57" s="62">
        <v>73.7</v>
      </c>
      <c r="T57" s="62" t="s">
        <v>4978</v>
      </c>
      <c r="U57" s="63" t="s">
        <v>622</v>
      </c>
      <c r="V57" s="63" t="s">
        <v>495</v>
      </c>
    </row>
    <row r="58" spans="1:22" ht="15" customHeight="1" x14ac:dyDescent="0.25">
      <c r="A58" s="64" t="s">
        <v>5048</v>
      </c>
      <c r="B58" s="64" t="s">
        <v>2144</v>
      </c>
      <c r="C58" s="64" t="s">
        <v>4994</v>
      </c>
      <c r="D58" s="64" t="s">
        <v>4974</v>
      </c>
      <c r="E58" s="64">
        <v>17.47</v>
      </c>
      <c r="F58" s="64">
        <v>17.18</v>
      </c>
      <c r="G58" s="68">
        <f t="shared" si="2"/>
        <v>-1.7</v>
      </c>
      <c r="H58" s="64">
        <v>17</v>
      </c>
      <c r="I58" s="68">
        <f t="shared" si="3"/>
        <v>2.92</v>
      </c>
      <c r="J58" s="64">
        <v>16.93</v>
      </c>
      <c r="K58" s="64">
        <v>18.71</v>
      </c>
      <c r="L58" s="64">
        <v>10.41</v>
      </c>
      <c r="M58" s="64">
        <v>0.5</v>
      </c>
      <c r="N58" s="64">
        <v>16.21</v>
      </c>
      <c r="O58" s="64">
        <v>63.37</v>
      </c>
      <c r="P58" s="64">
        <v>2.73</v>
      </c>
      <c r="Q58" s="64">
        <v>10.92</v>
      </c>
      <c r="R58" s="64">
        <v>6.55</v>
      </c>
      <c r="S58" s="64">
        <v>89.38</v>
      </c>
      <c r="T58" s="64" t="s">
        <v>4972</v>
      </c>
      <c r="U58" s="65" t="s">
        <v>590</v>
      </c>
      <c r="V58" s="65" t="s">
        <v>266</v>
      </c>
    </row>
    <row r="59" spans="1:22" ht="15" customHeight="1" x14ac:dyDescent="0.25">
      <c r="A59" s="62" t="s">
        <v>5049</v>
      </c>
      <c r="B59" s="62" t="s">
        <v>2140</v>
      </c>
      <c r="C59" s="62" t="s">
        <v>4977</v>
      </c>
      <c r="D59" s="62" t="s">
        <v>4987</v>
      </c>
      <c r="E59" s="62">
        <v>6.67</v>
      </c>
      <c r="F59" s="62">
        <v>6.01</v>
      </c>
      <c r="G59" s="67">
        <f t="shared" si="2"/>
        <v>-9.9</v>
      </c>
      <c r="H59" s="62">
        <v>5.0999999999999996</v>
      </c>
      <c r="I59" s="67">
        <f t="shared" si="3"/>
        <v>0.31</v>
      </c>
      <c r="J59" s="62">
        <v>19.190000000000001</v>
      </c>
      <c r="K59" s="62">
        <v>17.75</v>
      </c>
      <c r="L59" s="62">
        <v>11.19</v>
      </c>
      <c r="M59" s="62">
        <v>0.95</v>
      </c>
      <c r="N59" s="62">
        <v>15.07</v>
      </c>
      <c r="O59" s="62">
        <v>64.02</v>
      </c>
      <c r="P59" s="62">
        <v>3</v>
      </c>
      <c r="Q59" s="62">
        <v>14.98</v>
      </c>
      <c r="R59" s="62">
        <v>11.8</v>
      </c>
      <c r="S59" s="62">
        <v>73.95</v>
      </c>
      <c r="T59" s="62" t="s">
        <v>4978</v>
      </c>
      <c r="U59" s="66" t="s">
        <v>579</v>
      </c>
      <c r="V59" s="66" t="s">
        <v>321</v>
      </c>
    </row>
    <row r="60" spans="1:22" ht="15" customHeight="1" x14ac:dyDescent="0.25">
      <c r="A60" s="64" t="s">
        <v>5050</v>
      </c>
      <c r="B60" s="64" t="s">
        <v>2136</v>
      </c>
      <c r="C60" s="64" t="s">
        <v>5009</v>
      </c>
      <c r="D60" s="64" t="s">
        <v>4984</v>
      </c>
      <c r="E60" s="64">
        <v>7</v>
      </c>
      <c r="F60" s="64">
        <v>8.2799999999999994</v>
      </c>
      <c r="G60" s="68">
        <f t="shared" si="2"/>
        <v>18.3</v>
      </c>
      <c r="H60" s="64">
        <v>8.8000000000000007</v>
      </c>
      <c r="I60" s="68">
        <f t="shared" si="3"/>
        <v>0.73</v>
      </c>
      <c r="J60" s="64">
        <v>19.309999999999999</v>
      </c>
      <c r="K60" s="64">
        <v>14.37</v>
      </c>
      <c r="L60" s="64">
        <v>8.52</v>
      </c>
      <c r="M60" s="64">
        <v>1.02</v>
      </c>
      <c r="N60" s="64">
        <v>13.38</v>
      </c>
      <c r="O60" s="64">
        <v>60.74</v>
      </c>
      <c r="P60" s="64">
        <v>3.12</v>
      </c>
      <c r="Q60" s="64">
        <v>12.96</v>
      </c>
      <c r="R60" s="64">
        <v>6.73</v>
      </c>
      <c r="S60" s="64">
        <v>83.92</v>
      </c>
      <c r="T60" s="64" t="s">
        <v>4978</v>
      </c>
      <c r="U60" s="65" t="s">
        <v>590</v>
      </c>
      <c r="V60" s="65" t="s">
        <v>266</v>
      </c>
    </row>
    <row r="61" spans="1:22" ht="15" customHeight="1" x14ac:dyDescent="0.25">
      <c r="A61" s="62" t="s">
        <v>5051</v>
      </c>
      <c r="B61" s="62" t="s">
        <v>2143</v>
      </c>
      <c r="C61" s="62" t="s">
        <v>4994</v>
      </c>
      <c r="D61" s="62" t="s">
        <v>4987</v>
      </c>
      <c r="E61" s="62">
        <v>12.06</v>
      </c>
      <c r="F61" s="62">
        <v>10.4</v>
      </c>
      <c r="G61" s="67">
        <f t="shared" si="2"/>
        <v>-13.8</v>
      </c>
      <c r="H61" s="62">
        <v>7.3</v>
      </c>
      <c r="I61" s="67">
        <f t="shared" si="3"/>
        <v>0.76</v>
      </c>
      <c r="J61" s="62">
        <v>23.92</v>
      </c>
      <c r="K61" s="62">
        <v>27.54</v>
      </c>
      <c r="L61" s="62">
        <v>10.6</v>
      </c>
      <c r="M61" s="62">
        <v>1.27</v>
      </c>
      <c r="N61" s="62">
        <v>15.89</v>
      </c>
      <c r="O61" s="62">
        <v>54.45</v>
      </c>
      <c r="P61" s="62">
        <v>2.94</v>
      </c>
      <c r="Q61" s="62">
        <v>7.16</v>
      </c>
      <c r="R61" s="62">
        <v>16.02</v>
      </c>
      <c r="S61" s="62">
        <v>67.06</v>
      </c>
      <c r="T61" s="62" t="s">
        <v>4975</v>
      </c>
      <c r="U61" s="66" t="s">
        <v>579</v>
      </c>
      <c r="V61" s="66" t="s">
        <v>321</v>
      </c>
    </row>
    <row r="62" spans="1:22" ht="15" customHeight="1" x14ac:dyDescent="0.25">
      <c r="A62" s="64" t="s">
        <v>5052</v>
      </c>
      <c r="B62" s="64" t="s">
        <v>2143</v>
      </c>
      <c r="C62" s="64" t="s">
        <v>4994</v>
      </c>
      <c r="D62" s="64" t="s">
        <v>5018</v>
      </c>
      <c r="E62" s="64">
        <v>15.25</v>
      </c>
      <c r="F62" s="64">
        <v>12.45</v>
      </c>
      <c r="G62" s="68">
        <f t="shared" si="2"/>
        <v>-18.399999999999999</v>
      </c>
      <c r="H62" s="64">
        <v>9.8000000000000007</v>
      </c>
      <c r="I62" s="68">
        <f t="shared" si="3"/>
        <v>1.22</v>
      </c>
      <c r="J62" s="64">
        <v>19.7</v>
      </c>
      <c r="K62" s="64">
        <v>15.12</v>
      </c>
      <c r="L62" s="64">
        <v>8.64</v>
      </c>
      <c r="M62" s="64">
        <v>0.52</v>
      </c>
      <c r="N62" s="64">
        <v>12.45</v>
      </c>
      <c r="O62" s="64">
        <v>48.88</v>
      </c>
      <c r="P62" s="64">
        <v>3.82</v>
      </c>
      <c r="Q62" s="64">
        <v>9.4700000000000006</v>
      </c>
      <c r="R62" s="64">
        <v>17.18</v>
      </c>
      <c r="S62" s="64">
        <v>65.39</v>
      </c>
      <c r="T62" s="64" t="s">
        <v>4982</v>
      </c>
      <c r="U62" s="63" t="s">
        <v>622</v>
      </c>
      <c r="V62" s="63" t="s">
        <v>495</v>
      </c>
    </row>
    <row r="63" spans="1:22" ht="15" customHeight="1" x14ac:dyDescent="0.25">
      <c r="A63" s="62" t="s">
        <v>5053</v>
      </c>
      <c r="B63" s="62" t="s">
        <v>2145</v>
      </c>
      <c r="C63" s="62" t="s">
        <v>4994</v>
      </c>
      <c r="D63" s="62" t="s">
        <v>5018</v>
      </c>
      <c r="E63" s="62">
        <v>8.4700000000000006</v>
      </c>
      <c r="F63" s="62">
        <v>9.31</v>
      </c>
      <c r="G63" s="67">
        <f t="shared" si="2"/>
        <v>9.9</v>
      </c>
      <c r="H63" s="62">
        <v>10</v>
      </c>
      <c r="I63" s="67">
        <f t="shared" si="3"/>
        <v>0.93</v>
      </c>
      <c r="J63" s="62">
        <v>15.49</v>
      </c>
      <c r="K63" s="62">
        <v>16.600000000000001</v>
      </c>
      <c r="L63" s="62">
        <v>13.35</v>
      </c>
      <c r="M63" s="62">
        <v>0.53</v>
      </c>
      <c r="N63" s="62">
        <v>16.09</v>
      </c>
      <c r="O63" s="62">
        <v>62.45</v>
      </c>
      <c r="P63" s="62">
        <v>3.62</v>
      </c>
      <c r="Q63" s="62">
        <v>8.19</v>
      </c>
      <c r="R63" s="62">
        <v>13.68</v>
      </c>
      <c r="S63" s="62">
        <v>60.42</v>
      </c>
      <c r="T63" s="62" t="s">
        <v>4975</v>
      </c>
      <c r="U63" s="65" t="s">
        <v>590</v>
      </c>
      <c r="V63" s="65" t="s">
        <v>266</v>
      </c>
    </row>
    <row r="64" spans="1:22" ht="15" customHeight="1" x14ac:dyDescent="0.25">
      <c r="A64" s="64" t="s">
        <v>5054</v>
      </c>
      <c r="B64" s="64" t="s">
        <v>2139</v>
      </c>
      <c r="C64" s="64" t="s">
        <v>5013</v>
      </c>
      <c r="D64" s="64" t="s">
        <v>5001</v>
      </c>
      <c r="E64" s="64">
        <v>14.51</v>
      </c>
      <c r="F64" s="64">
        <v>13.67</v>
      </c>
      <c r="G64" s="68">
        <f t="shared" si="2"/>
        <v>-5.8</v>
      </c>
      <c r="H64" s="64">
        <v>17.7</v>
      </c>
      <c r="I64" s="68">
        <f t="shared" si="3"/>
        <v>2.42</v>
      </c>
      <c r="J64" s="64">
        <v>23.21</v>
      </c>
      <c r="K64" s="64">
        <v>23.97</v>
      </c>
      <c r="L64" s="64">
        <v>12.87</v>
      </c>
      <c r="M64" s="64">
        <v>1.34</v>
      </c>
      <c r="N64" s="64">
        <v>13.37</v>
      </c>
      <c r="O64" s="64">
        <v>48.06</v>
      </c>
      <c r="P64" s="64">
        <v>2.9</v>
      </c>
      <c r="Q64" s="64">
        <v>8.15</v>
      </c>
      <c r="R64" s="64">
        <v>10.06</v>
      </c>
      <c r="S64" s="64">
        <v>69.459999999999994</v>
      </c>
      <c r="T64" s="64" t="s">
        <v>4972</v>
      </c>
      <c r="U64" s="66" t="s">
        <v>579</v>
      </c>
      <c r="V64" s="66" t="s">
        <v>321</v>
      </c>
    </row>
    <row r="65" spans="1:22" ht="15" customHeight="1" x14ac:dyDescent="0.25">
      <c r="A65" s="62" t="s">
        <v>5055</v>
      </c>
      <c r="B65" s="62" t="s">
        <v>2144</v>
      </c>
      <c r="C65" s="62" t="s">
        <v>4996</v>
      </c>
      <c r="D65" s="62" t="s">
        <v>5018</v>
      </c>
      <c r="E65" s="62">
        <v>14.28</v>
      </c>
      <c r="F65" s="62">
        <v>12.52</v>
      </c>
      <c r="G65" s="67">
        <f t="shared" si="2"/>
        <v>-12.3</v>
      </c>
      <c r="H65" s="62">
        <v>16.600000000000001</v>
      </c>
      <c r="I65" s="67">
        <f t="shared" si="3"/>
        <v>2.08</v>
      </c>
      <c r="J65" s="62">
        <v>22.52</v>
      </c>
      <c r="K65" s="62">
        <v>22.44</v>
      </c>
      <c r="L65" s="62">
        <v>17.88</v>
      </c>
      <c r="M65" s="62">
        <v>1.47</v>
      </c>
      <c r="N65" s="62">
        <v>10.14</v>
      </c>
      <c r="O65" s="62">
        <v>51.44</v>
      </c>
      <c r="P65" s="62">
        <v>3.46</v>
      </c>
      <c r="Q65" s="62">
        <v>19.3</v>
      </c>
      <c r="R65" s="62">
        <v>12.45</v>
      </c>
      <c r="S65" s="62">
        <v>83.69</v>
      </c>
      <c r="T65" s="62" t="s">
        <v>4978</v>
      </c>
      <c r="U65" s="66" t="s">
        <v>579</v>
      </c>
      <c r="V65" s="66" t="s">
        <v>321</v>
      </c>
    </row>
    <row r="66" spans="1:22" ht="15" customHeight="1" x14ac:dyDescent="0.25">
      <c r="A66" s="64" t="s">
        <v>5056</v>
      </c>
      <c r="B66" s="64" t="s">
        <v>2140</v>
      </c>
      <c r="C66" s="64" t="s">
        <v>4989</v>
      </c>
      <c r="D66" s="64" t="s">
        <v>5018</v>
      </c>
      <c r="E66" s="64">
        <v>7.81</v>
      </c>
      <c r="F66" s="64">
        <v>9.3000000000000007</v>
      </c>
      <c r="G66" s="68">
        <f t="shared" si="2"/>
        <v>19.100000000000001</v>
      </c>
      <c r="H66" s="64">
        <v>5</v>
      </c>
      <c r="I66" s="68">
        <f t="shared" si="3"/>
        <v>0.47</v>
      </c>
      <c r="J66" s="64">
        <v>22.17</v>
      </c>
      <c r="K66" s="64">
        <v>19.68</v>
      </c>
      <c r="L66" s="64">
        <v>9.4700000000000006</v>
      </c>
      <c r="M66" s="64">
        <v>1.37</v>
      </c>
      <c r="N66" s="64">
        <v>18.57</v>
      </c>
      <c r="O66" s="64">
        <v>61.03</v>
      </c>
      <c r="P66" s="64">
        <v>3.95</v>
      </c>
      <c r="Q66" s="64">
        <v>10.31</v>
      </c>
      <c r="R66" s="64">
        <v>11.9</v>
      </c>
      <c r="S66" s="64">
        <v>94.12</v>
      </c>
      <c r="T66" s="64" t="s">
        <v>4982</v>
      </c>
      <c r="U66" s="65" t="s">
        <v>590</v>
      </c>
      <c r="V66" s="65" t="s">
        <v>266</v>
      </c>
    </row>
    <row r="67" spans="1:22" ht="15" customHeight="1" x14ac:dyDescent="0.25">
      <c r="A67" s="62" t="s">
        <v>5057</v>
      </c>
      <c r="B67" s="62" t="s">
        <v>2145</v>
      </c>
      <c r="C67" s="62" t="s">
        <v>4989</v>
      </c>
      <c r="D67" s="62" t="s">
        <v>4992</v>
      </c>
      <c r="E67" s="62">
        <v>17.21</v>
      </c>
      <c r="F67" s="62">
        <v>19.54</v>
      </c>
      <c r="G67" s="67">
        <f t="shared" ref="G67:G98" si="4">ROUND((F67-E67)/ABS(E67)*100,1)</f>
        <v>13.5</v>
      </c>
      <c r="H67" s="62">
        <v>12</v>
      </c>
      <c r="I67" s="67">
        <f t="shared" ref="I67:I98" si="5">ROUND(H67*F67/100,2)</f>
        <v>2.34</v>
      </c>
      <c r="J67" s="62">
        <v>23.44</v>
      </c>
      <c r="K67" s="62">
        <v>19.98</v>
      </c>
      <c r="L67" s="62">
        <v>10.27</v>
      </c>
      <c r="M67" s="62">
        <v>1.06</v>
      </c>
      <c r="N67" s="62">
        <v>14.4</v>
      </c>
      <c r="O67" s="62">
        <v>54.2</v>
      </c>
      <c r="P67" s="62">
        <v>2.93</v>
      </c>
      <c r="Q67" s="62">
        <v>11.55</v>
      </c>
      <c r="R67" s="62">
        <v>9.7100000000000009</v>
      </c>
      <c r="S67" s="62">
        <v>72.790000000000006</v>
      </c>
      <c r="T67" s="62" t="s">
        <v>4972</v>
      </c>
      <c r="U67" s="65" t="s">
        <v>590</v>
      </c>
      <c r="V67" s="65" t="s">
        <v>266</v>
      </c>
    </row>
    <row r="68" spans="1:22" ht="15" customHeight="1" x14ac:dyDescent="0.25">
      <c r="A68" s="64" t="s">
        <v>5058</v>
      </c>
      <c r="B68" s="64" t="s">
        <v>2136</v>
      </c>
      <c r="C68" s="64" t="s">
        <v>4980</v>
      </c>
      <c r="D68" s="64" t="s">
        <v>4999</v>
      </c>
      <c r="E68" s="64">
        <v>15.27</v>
      </c>
      <c r="F68" s="64">
        <v>13.94</v>
      </c>
      <c r="G68" s="68">
        <f t="shared" si="4"/>
        <v>-8.6999999999999993</v>
      </c>
      <c r="H68" s="64">
        <v>9</v>
      </c>
      <c r="I68" s="68">
        <f t="shared" si="5"/>
        <v>1.25</v>
      </c>
      <c r="J68" s="64">
        <v>24.09</v>
      </c>
      <c r="K68" s="64">
        <v>24.32</v>
      </c>
      <c r="L68" s="64">
        <v>9.59</v>
      </c>
      <c r="M68" s="64">
        <v>0.5</v>
      </c>
      <c r="N68" s="64">
        <v>15.22</v>
      </c>
      <c r="O68" s="64">
        <v>59.48</v>
      </c>
      <c r="P68" s="64">
        <v>3.76</v>
      </c>
      <c r="Q68" s="64">
        <v>9.8000000000000007</v>
      </c>
      <c r="R68" s="64">
        <v>13.34</v>
      </c>
      <c r="S68" s="64">
        <v>90.58</v>
      </c>
      <c r="T68" s="64" t="s">
        <v>4978</v>
      </c>
      <c r="U68" s="66" t="s">
        <v>579</v>
      </c>
      <c r="V68" s="66" t="s">
        <v>321</v>
      </c>
    </row>
    <row r="69" spans="1:22" ht="15" customHeight="1" x14ac:dyDescent="0.25">
      <c r="A69" s="62" t="s">
        <v>5059</v>
      </c>
      <c r="B69" s="62" t="s">
        <v>2136</v>
      </c>
      <c r="C69" s="62" t="s">
        <v>4986</v>
      </c>
      <c r="D69" s="62" t="s">
        <v>4987</v>
      </c>
      <c r="E69" s="62">
        <v>8.18</v>
      </c>
      <c r="F69" s="62">
        <v>8.3699999999999992</v>
      </c>
      <c r="G69" s="67">
        <f t="shared" si="4"/>
        <v>2.2999999999999998</v>
      </c>
      <c r="H69" s="62">
        <v>8.3000000000000007</v>
      </c>
      <c r="I69" s="67">
        <f t="shared" si="5"/>
        <v>0.69</v>
      </c>
      <c r="J69" s="62">
        <v>24.71</v>
      </c>
      <c r="K69" s="62">
        <v>24</v>
      </c>
      <c r="L69" s="62">
        <v>15.37</v>
      </c>
      <c r="M69" s="62">
        <v>0.86</v>
      </c>
      <c r="N69" s="62">
        <v>15.49</v>
      </c>
      <c r="O69" s="62">
        <v>59.33</v>
      </c>
      <c r="P69" s="62">
        <v>3.64</v>
      </c>
      <c r="Q69" s="62">
        <v>7.49</v>
      </c>
      <c r="R69" s="62">
        <v>10.46</v>
      </c>
      <c r="S69" s="62">
        <v>76.819999999999993</v>
      </c>
      <c r="T69" s="62" t="s">
        <v>4982</v>
      </c>
      <c r="U69" s="65" t="s">
        <v>590</v>
      </c>
      <c r="V69" s="65" t="s">
        <v>266</v>
      </c>
    </row>
    <row r="70" spans="1:22" ht="15" customHeight="1" x14ac:dyDescent="0.25">
      <c r="A70" s="64" t="s">
        <v>5060</v>
      </c>
      <c r="B70" s="64" t="s">
        <v>2139</v>
      </c>
      <c r="C70" s="64" t="s">
        <v>5009</v>
      </c>
      <c r="D70" s="64" t="s">
        <v>4981</v>
      </c>
      <c r="E70" s="64">
        <v>19</v>
      </c>
      <c r="F70" s="64">
        <v>16.95</v>
      </c>
      <c r="G70" s="68">
        <f t="shared" si="4"/>
        <v>-10.8</v>
      </c>
      <c r="H70" s="64">
        <v>7.7</v>
      </c>
      <c r="I70" s="68">
        <f t="shared" si="5"/>
        <v>1.31</v>
      </c>
      <c r="J70" s="64">
        <v>20.9</v>
      </c>
      <c r="K70" s="64">
        <v>22.47</v>
      </c>
      <c r="L70" s="64">
        <v>14.42</v>
      </c>
      <c r="M70" s="64">
        <v>1.18</v>
      </c>
      <c r="N70" s="64">
        <v>13.72</v>
      </c>
      <c r="O70" s="64">
        <v>64.63</v>
      </c>
      <c r="P70" s="64">
        <v>3.29</v>
      </c>
      <c r="Q70" s="64">
        <v>18.399999999999999</v>
      </c>
      <c r="R70" s="64">
        <v>14.94</v>
      </c>
      <c r="S70" s="64">
        <v>76.41</v>
      </c>
      <c r="T70" s="64" t="s">
        <v>4982</v>
      </c>
      <c r="U70" s="66" t="s">
        <v>579</v>
      </c>
      <c r="V70" s="66" t="s">
        <v>321</v>
      </c>
    </row>
    <row r="71" spans="1:22" ht="15" customHeight="1" x14ac:dyDescent="0.25">
      <c r="A71" s="62" t="s">
        <v>5061</v>
      </c>
      <c r="B71" s="62" t="s">
        <v>2137</v>
      </c>
      <c r="C71" s="62" t="s">
        <v>4977</v>
      </c>
      <c r="D71" s="62" t="s">
        <v>4987</v>
      </c>
      <c r="E71" s="62">
        <v>21.47</v>
      </c>
      <c r="F71" s="62">
        <v>23.85</v>
      </c>
      <c r="G71" s="67">
        <f t="shared" si="4"/>
        <v>11.1</v>
      </c>
      <c r="H71" s="62">
        <v>13.4</v>
      </c>
      <c r="I71" s="67">
        <f t="shared" si="5"/>
        <v>3.2</v>
      </c>
      <c r="J71" s="62">
        <v>19.14</v>
      </c>
      <c r="K71" s="62">
        <v>19.63</v>
      </c>
      <c r="L71" s="62">
        <v>16.36</v>
      </c>
      <c r="M71" s="62">
        <v>1.43</v>
      </c>
      <c r="N71" s="62">
        <v>19.28</v>
      </c>
      <c r="O71" s="62">
        <v>49.71</v>
      </c>
      <c r="P71" s="62">
        <v>3.19</v>
      </c>
      <c r="Q71" s="62">
        <v>7.17</v>
      </c>
      <c r="R71" s="62">
        <v>13.5</v>
      </c>
      <c r="S71" s="62">
        <v>64.17</v>
      </c>
      <c r="T71" s="62" t="s">
        <v>4972</v>
      </c>
      <c r="U71" s="65" t="s">
        <v>590</v>
      </c>
      <c r="V71" s="65" t="s">
        <v>266</v>
      </c>
    </row>
    <row r="72" spans="1:22" ht="15" customHeight="1" x14ac:dyDescent="0.25">
      <c r="A72" s="64" t="s">
        <v>5062</v>
      </c>
      <c r="B72" s="64" t="s">
        <v>2142</v>
      </c>
      <c r="C72" s="64" t="s">
        <v>4977</v>
      </c>
      <c r="D72" s="64" t="s">
        <v>4981</v>
      </c>
      <c r="E72" s="64">
        <v>14.43</v>
      </c>
      <c r="F72" s="64">
        <v>16.07</v>
      </c>
      <c r="G72" s="68">
        <f t="shared" si="4"/>
        <v>11.4</v>
      </c>
      <c r="H72" s="64">
        <v>5.8</v>
      </c>
      <c r="I72" s="68">
        <f t="shared" si="5"/>
        <v>0.93</v>
      </c>
      <c r="J72" s="64">
        <v>22.08</v>
      </c>
      <c r="K72" s="64">
        <v>25.05</v>
      </c>
      <c r="L72" s="64">
        <v>17.78</v>
      </c>
      <c r="M72" s="64">
        <v>0.82</v>
      </c>
      <c r="N72" s="64">
        <v>12.73</v>
      </c>
      <c r="O72" s="64">
        <v>60.99</v>
      </c>
      <c r="P72" s="64">
        <v>3.31</v>
      </c>
      <c r="Q72" s="64">
        <v>14.57</v>
      </c>
      <c r="R72" s="64">
        <v>5.72</v>
      </c>
      <c r="S72" s="64">
        <v>91.1</v>
      </c>
      <c r="T72" s="64" t="s">
        <v>4978</v>
      </c>
      <c r="U72" s="65" t="s">
        <v>590</v>
      </c>
      <c r="V72" s="65" t="s">
        <v>266</v>
      </c>
    </row>
    <row r="73" spans="1:22" ht="15" customHeight="1" x14ac:dyDescent="0.25">
      <c r="A73" s="62" t="s">
        <v>5063</v>
      </c>
      <c r="B73" s="62" t="s">
        <v>2142</v>
      </c>
      <c r="C73" s="62" t="s">
        <v>5009</v>
      </c>
      <c r="D73" s="62" t="s">
        <v>5001</v>
      </c>
      <c r="E73" s="62">
        <v>11.46</v>
      </c>
      <c r="F73" s="62">
        <v>9.51</v>
      </c>
      <c r="G73" s="67">
        <f t="shared" si="4"/>
        <v>-17</v>
      </c>
      <c r="H73" s="62">
        <v>14.4</v>
      </c>
      <c r="I73" s="67">
        <f t="shared" si="5"/>
        <v>1.37</v>
      </c>
      <c r="J73" s="62">
        <v>19.45</v>
      </c>
      <c r="K73" s="62">
        <v>19.41</v>
      </c>
      <c r="L73" s="62">
        <v>11.14</v>
      </c>
      <c r="M73" s="62">
        <v>1.0900000000000001</v>
      </c>
      <c r="N73" s="62">
        <v>10.77</v>
      </c>
      <c r="O73" s="62">
        <v>61.37</v>
      </c>
      <c r="P73" s="62">
        <v>3.8</v>
      </c>
      <c r="Q73" s="62">
        <v>13.11</v>
      </c>
      <c r="R73" s="62">
        <v>13.91</v>
      </c>
      <c r="S73" s="62">
        <v>89.5</v>
      </c>
      <c r="T73" s="62" t="s">
        <v>4982</v>
      </c>
      <c r="U73" s="63" t="s">
        <v>622</v>
      </c>
      <c r="V73" s="63" t="s">
        <v>495</v>
      </c>
    </row>
    <row r="74" spans="1:22" ht="15" customHeight="1" x14ac:dyDescent="0.25">
      <c r="A74" s="64" t="s">
        <v>5064</v>
      </c>
      <c r="B74" s="64" t="s">
        <v>2141</v>
      </c>
      <c r="C74" s="64" t="s">
        <v>4989</v>
      </c>
      <c r="D74" s="64" t="s">
        <v>4999</v>
      </c>
      <c r="E74" s="64">
        <v>12.05</v>
      </c>
      <c r="F74" s="64">
        <v>8.83</v>
      </c>
      <c r="G74" s="68">
        <f t="shared" si="4"/>
        <v>-26.7</v>
      </c>
      <c r="H74" s="64">
        <v>12.4</v>
      </c>
      <c r="I74" s="68">
        <f t="shared" si="5"/>
        <v>1.0900000000000001</v>
      </c>
      <c r="J74" s="64">
        <v>15.58</v>
      </c>
      <c r="K74" s="64">
        <v>16.39</v>
      </c>
      <c r="L74" s="64">
        <v>11.7</v>
      </c>
      <c r="M74" s="64">
        <v>1.49</v>
      </c>
      <c r="N74" s="64">
        <v>17.62</v>
      </c>
      <c r="O74" s="64">
        <v>57.54</v>
      </c>
      <c r="P74" s="64">
        <v>2.75</v>
      </c>
      <c r="Q74" s="64">
        <v>17.399999999999999</v>
      </c>
      <c r="R74" s="64">
        <v>7.73</v>
      </c>
      <c r="S74" s="64">
        <v>69.23</v>
      </c>
      <c r="T74" s="64" t="s">
        <v>4975</v>
      </c>
      <c r="U74" s="63" t="s">
        <v>622</v>
      </c>
      <c r="V74" s="63" t="s">
        <v>495</v>
      </c>
    </row>
    <row r="75" spans="1:22" ht="15" customHeight="1" x14ac:dyDescent="0.25">
      <c r="A75" s="62" t="s">
        <v>5065</v>
      </c>
      <c r="B75" s="62" t="s">
        <v>2143</v>
      </c>
      <c r="C75" s="62" t="s">
        <v>4998</v>
      </c>
      <c r="D75" s="62" t="s">
        <v>4971</v>
      </c>
      <c r="E75" s="62">
        <v>5.46</v>
      </c>
      <c r="F75" s="62">
        <v>4.25</v>
      </c>
      <c r="G75" s="67">
        <f t="shared" si="4"/>
        <v>-22.2</v>
      </c>
      <c r="H75" s="62">
        <v>5.3</v>
      </c>
      <c r="I75" s="67">
        <f t="shared" si="5"/>
        <v>0.23</v>
      </c>
      <c r="J75" s="62">
        <v>19.79</v>
      </c>
      <c r="K75" s="62">
        <v>15.58</v>
      </c>
      <c r="L75" s="62">
        <v>10.38</v>
      </c>
      <c r="M75" s="62">
        <v>0.9</v>
      </c>
      <c r="N75" s="62">
        <v>11.09</v>
      </c>
      <c r="O75" s="62">
        <v>47.29</v>
      </c>
      <c r="P75" s="62">
        <v>3.45</v>
      </c>
      <c r="Q75" s="62">
        <v>15.02</v>
      </c>
      <c r="R75" s="62">
        <v>5.36</v>
      </c>
      <c r="S75" s="62">
        <v>89.74</v>
      </c>
      <c r="T75" s="62" t="s">
        <v>4972</v>
      </c>
      <c r="U75" s="63" t="s">
        <v>622</v>
      </c>
      <c r="V75" s="63" t="s">
        <v>495</v>
      </c>
    </row>
    <row r="76" spans="1:22" ht="15" customHeight="1" x14ac:dyDescent="0.25">
      <c r="A76" s="64" t="s">
        <v>5066</v>
      </c>
      <c r="B76" s="64" t="s">
        <v>2146</v>
      </c>
      <c r="C76" s="64" t="s">
        <v>4989</v>
      </c>
      <c r="D76" s="64" t="s">
        <v>4999</v>
      </c>
      <c r="E76" s="64">
        <v>8.09</v>
      </c>
      <c r="F76" s="64">
        <v>7.96</v>
      </c>
      <c r="G76" s="68">
        <f t="shared" si="4"/>
        <v>-1.6</v>
      </c>
      <c r="H76" s="64">
        <v>16.8</v>
      </c>
      <c r="I76" s="68">
        <f t="shared" si="5"/>
        <v>1.34</v>
      </c>
      <c r="J76" s="64">
        <v>20.23</v>
      </c>
      <c r="K76" s="64">
        <v>19.100000000000001</v>
      </c>
      <c r="L76" s="64">
        <v>14.56</v>
      </c>
      <c r="M76" s="64">
        <v>1.26</v>
      </c>
      <c r="N76" s="64">
        <v>15.11</v>
      </c>
      <c r="O76" s="64">
        <v>47.68</v>
      </c>
      <c r="P76" s="64">
        <v>3.71</v>
      </c>
      <c r="Q76" s="64">
        <v>14.73</v>
      </c>
      <c r="R76" s="64">
        <v>11.35</v>
      </c>
      <c r="S76" s="64">
        <v>92.04</v>
      </c>
      <c r="T76" s="64" t="s">
        <v>4975</v>
      </c>
      <c r="U76" s="65" t="s">
        <v>590</v>
      </c>
      <c r="V76" s="65" t="s">
        <v>266</v>
      </c>
    </row>
    <row r="77" spans="1:22" ht="15" customHeight="1" x14ac:dyDescent="0.25">
      <c r="A77" s="62" t="s">
        <v>5067</v>
      </c>
      <c r="B77" s="62" t="s">
        <v>2145</v>
      </c>
      <c r="C77" s="62" t="s">
        <v>4986</v>
      </c>
      <c r="D77" s="62" t="s">
        <v>5018</v>
      </c>
      <c r="E77" s="62">
        <v>22.46</v>
      </c>
      <c r="F77" s="62">
        <v>16.25</v>
      </c>
      <c r="G77" s="67">
        <f t="shared" si="4"/>
        <v>-27.6</v>
      </c>
      <c r="H77" s="62">
        <v>13.8</v>
      </c>
      <c r="I77" s="67">
        <f t="shared" si="5"/>
        <v>2.2400000000000002</v>
      </c>
      <c r="J77" s="62">
        <v>17.190000000000001</v>
      </c>
      <c r="K77" s="62">
        <v>19.98</v>
      </c>
      <c r="L77" s="62">
        <v>13.89</v>
      </c>
      <c r="M77" s="62">
        <v>0.64</v>
      </c>
      <c r="N77" s="62">
        <v>15.53</v>
      </c>
      <c r="O77" s="62">
        <v>62.87</v>
      </c>
      <c r="P77" s="62">
        <v>2.84</v>
      </c>
      <c r="Q77" s="62">
        <v>18.579999999999998</v>
      </c>
      <c r="R77" s="62">
        <v>11.65</v>
      </c>
      <c r="S77" s="62">
        <v>92.54</v>
      </c>
      <c r="T77" s="62" t="s">
        <v>4975</v>
      </c>
      <c r="U77" s="63" t="s">
        <v>622</v>
      </c>
      <c r="V77" s="63" t="s">
        <v>495</v>
      </c>
    </row>
    <row r="78" spans="1:22" ht="15" customHeight="1" x14ac:dyDescent="0.25">
      <c r="A78" s="64" t="s">
        <v>5068</v>
      </c>
      <c r="B78" s="64" t="s">
        <v>2135</v>
      </c>
      <c r="C78" s="64" t="s">
        <v>4980</v>
      </c>
      <c r="D78" s="64" t="s">
        <v>5001</v>
      </c>
      <c r="E78" s="64">
        <v>23.04</v>
      </c>
      <c r="F78" s="64">
        <v>26.74</v>
      </c>
      <c r="G78" s="68">
        <f t="shared" si="4"/>
        <v>16.100000000000001</v>
      </c>
      <c r="H78" s="64">
        <v>8.6</v>
      </c>
      <c r="I78" s="68">
        <f t="shared" si="5"/>
        <v>2.2999999999999998</v>
      </c>
      <c r="J78" s="64">
        <v>18.16</v>
      </c>
      <c r="K78" s="64">
        <v>17.37</v>
      </c>
      <c r="L78" s="64">
        <v>11.28</v>
      </c>
      <c r="M78" s="64">
        <v>1.01</v>
      </c>
      <c r="N78" s="64">
        <v>14.14</v>
      </c>
      <c r="O78" s="64">
        <v>55.37</v>
      </c>
      <c r="P78" s="64">
        <v>3.59</v>
      </c>
      <c r="Q78" s="64">
        <v>8.3800000000000008</v>
      </c>
      <c r="R78" s="64">
        <v>17.670000000000002</v>
      </c>
      <c r="S78" s="64">
        <v>71.84</v>
      </c>
      <c r="T78" s="64" t="s">
        <v>4975</v>
      </c>
      <c r="U78" s="65" t="s">
        <v>590</v>
      </c>
      <c r="V78" s="65" t="s">
        <v>266</v>
      </c>
    </row>
    <row r="79" spans="1:22" ht="15" customHeight="1" x14ac:dyDescent="0.25">
      <c r="A79" s="62" t="s">
        <v>5069</v>
      </c>
      <c r="B79" s="62" t="s">
        <v>2145</v>
      </c>
      <c r="C79" s="62" t="s">
        <v>5009</v>
      </c>
      <c r="D79" s="62" t="s">
        <v>4974</v>
      </c>
      <c r="E79" s="62">
        <v>9.7200000000000006</v>
      </c>
      <c r="F79" s="62">
        <v>7.3</v>
      </c>
      <c r="G79" s="67">
        <f t="shared" si="4"/>
        <v>-24.9</v>
      </c>
      <c r="H79" s="62">
        <v>7.6</v>
      </c>
      <c r="I79" s="67">
        <f t="shared" si="5"/>
        <v>0.55000000000000004</v>
      </c>
      <c r="J79" s="62">
        <v>23.05</v>
      </c>
      <c r="K79" s="62">
        <v>27.04</v>
      </c>
      <c r="L79" s="62">
        <v>10.18</v>
      </c>
      <c r="M79" s="62">
        <v>0.82</v>
      </c>
      <c r="N79" s="62">
        <v>13.4</v>
      </c>
      <c r="O79" s="62">
        <v>45.85</v>
      </c>
      <c r="P79" s="62">
        <v>3.77</v>
      </c>
      <c r="Q79" s="62">
        <v>9.77</v>
      </c>
      <c r="R79" s="62">
        <v>13.79</v>
      </c>
      <c r="S79" s="62">
        <v>61.15</v>
      </c>
      <c r="T79" s="62" t="s">
        <v>4982</v>
      </c>
      <c r="U79" s="63" t="s">
        <v>622</v>
      </c>
      <c r="V79" s="63" t="s">
        <v>495</v>
      </c>
    </row>
    <row r="80" spans="1:22" ht="15" customHeight="1" x14ac:dyDescent="0.25">
      <c r="A80" s="64" t="s">
        <v>5070</v>
      </c>
      <c r="B80" s="64" t="s">
        <v>2135</v>
      </c>
      <c r="C80" s="64" t="s">
        <v>5013</v>
      </c>
      <c r="D80" s="64" t="s">
        <v>4971</v>
      </c>
      <c r="E80" s="64">
        <v>14.57</v>
      </c>
      <c r="F80" s="64">
        <v>14.6</v>
      </c>
      <c r="G80" s="68">
        <f t="shared" si="4"/>
        <v>0.2</v>
      </c>
      <c r="H80" s="64">
        <v>18.2</v>
      </c>
      <c r="I80" s="68">
        <f t="shared" si="5"/>
        <v>2.66</v>
      </c>
      <c r="J80" s="64">
        <v>17.23</v>
      </c>
      <c r="K80" s="64">
        <v>14.97</v>
      </c>
      <c r="L80" s="64">
        <v>16.22</v>
      </c>
      <c r="M80" s="64">
        <v>0.76</v>
      </c>
      <c r="N80" s="64">
        <v>13.11</v>
      </c>
      <c r="O80" s="64">
        <v>64.64</v>
      </c>
      <c r="P80" s="64">
        <v>3.31</v>
      </c>
      <c r="Q80" s="64">
        <v>6.57</v>
      </c>
      <c r="R80" s="64">
        <v>5.99</v>
      </c>
      <c r="S80" s="64">
        <v>62.24</v>
      </c>
      <c r="T80" s="64" t="s">
        <v>4975</v>
      </c>
      <c r="U80" s="65" t="s">
        <v>590</v>
      </c>
      <c r="V80" s="65" t="s">
        <v>266</v>
      </c>
    </row>
    <row r="81" spans="1:22" ht="15" customHeight="1" x14ac:dyDescent="0.25">
      <c r="A81" s="62" t="s">
        <v>5071</v>
      </c>
      <c r="B81" s="62" t="s">
        <v>2142</v>
      </c>
      <c r="C81" s="62" t="s">
        <v>5013</v>
      </c>
      <c r="D81" s="62" t="s">
        <v>5004</v>
      </c>
      <c r="E81" s="62">
        <v>23.72</v>
      </c>
      <c r="F81" s="62">
        <v>28.2</v>
      </c>
      <c r="G81" s="67">
        <f t="shared" si="4"/>
        <v>18.899999999999999</v>
      </c>
      <c r="H81" s="62">
        <v>16.899999999999999</v>
      </c>
      <c r="I81" s="67">
        <f t="shared" si="5"/>
        <v>4.7699999999999996</v>
      </c>
      <c r="J81" s="62">
        <v>23.51</v>
      </c>
      <c r="K81" s="62">
        <v>20.49</v>
      </c>
      <c r="L81" s="62">
        <v>13.36</v>
      </c>
      <c r="M81" s="62">
        <v>0.94</v>
      </c>
      <c r="N81" s="62">
        <v>13.24</v>
      </c>
      <c r="O81" s="62">
        <v>60</v>
      </c>
      <c r="P81" s="62">
        <v>3.73</v>
      </c>
      <c r="Q81" s="62">
        <v>16.649999999999999</v>
      </c>
      <c r="R81" s="62">
        <v>12.82</v>
      </c>
      <c r="S81" s="62">
        <v>86.03</v>
      </c>
      <c r="T81" s="62" t="s">
        <v>4975</v>
      </c>
      <c r="U81" s="65" t="s">
        <v>590</v>
      </c>
      <c r="V81" s="65" t="s">
        <v>266</v>
      </c>
    </row>
    <row r="82" spans="1:22" ht="15" customHeight="1" x14ac:dyDescent="0.25">
      <c r="A82" s="64" t="s">
        <v>5072</v>
      </c>
      <c r="B82" s="64" t="s">
        <v>2141</v>
      </c>
      <c r="C82" s="64" t="s">
        <v>4986</v>
      </c>
      <c r="D82" s="64" t="s">
        <v>4974</v>
      </c>
      <c r="E82" s="64">
        <v>15.75</v>
      </c>
      <c r="F82" s="64">
        <v>17.91</v>
      </c>
      <c r="G82" s="68">
        <f t="shared" si="4"/>
        <v>13.7</v>
      </c>
      <c r="H82" s="64">
        <v>7.1</v>
      </c>
      <c r="I82" s="68">
        <f t="shared" si="5"/>
        <v>1.27</v>
      </c>
      <c r="J82" s="64">
        <v>21.39</v>
      </c>
      <c r="K82" s="64">
        <v>19.420000000000002</v>
      </c>
      <c r="L82" s="64">
        <v>15.78</v>
      </c>
      <c r="M82" s="64">
        <v>0.77</v>
      </c>
      <c r="N82" s="64">
        <v>14.26</v>
      </c>
      <c r="O82" s="64">
        <v>50.84</v>
      </c>
      <c r="P82" s="64">
        <v>3.12</v>
      </c>
      <c r="Q82" s="64">
        <v>12.1</v>
      </c>
      <c r="R82" s="64">
        <v>15.53</v>
      </c>
      <c r="S82" s="64">
        <v>60.87</v>
      </c>
      <c r="T82" s="64" t="s">
        <v>4982</v>
      </c>
      <c r="U82" s="65" t="s">
        <v>590</v>
      </c>
      <c r="V82" s="65" t="s">
        <v>266</v>
      </c>
    </row>
    <row r="83" spans="1:22" ht="15" customHeight="1" x14ac:dyDescent="0.25">
      <c r="A83" s="62" t="s">
        <v>5073</v>
      </c>
      <c r="B83" s="62" t="s">
        <v>2144</v>
      </c>
      <c r="C83" s="62" t="s">
        <v>4994</v>
      </c>
      <c r="D83" s="62" t="s">
        <v>4992</v>
      </c>
      <c r="E83" s="62">
        <v>21.29</v>
      </c>
      <c r="F83" s="62">
        <v>15.61</v>
      </c>
      <c r="G83" s="67">
        <f t="shared" si="4"/>
        <v>-26.7</v>
      </c>
      <c r="H83" s="62">
        <v>8.3000000000000007</v>
      </c>
      <c r="I83" s="67">
        <f t="shared" si="5"/>
        <v>1.3</v>
      </c>
      <c r="J83" s="62">
        <v>16.350000000000001</v>
      </c>
      <c r="K83" s="62">
        <v>14.54</v>
      </c>
      <c r="L83" s="62">
        <v>10.19</v>
      </c>
      <c r="M83" s="62">
        <v>1</v>
      </c>
      <c r="N83" s="62">
        <v>16.62</v>
      </c>
      <c r="O83" s="62">
        <v>62.37</v>
      </c>
      <c r="P83" s="62">
        <v>3.03</v>
      </c>
      <c r="Q83" s="62">
        <v>19.170000000000002</v>
      </c>
      <c r="R83" s="62">
        <v>9.76</v>
      </c>
      <c r="S83" s="62">
        <v>84.72</v>
      </c>
      <c r="T83" s="62" t="s">
        <v>4982</v>
      </c>
      <c r="U83" s="63" t="s">
        <v>622</v>
      </c>
      <c r="V83" s="63" t="s">
        <v>495</v>
      </c>
    </row>
    <row r="84" spans="1:22" ht="15" customHeight="1" x14ac:dyDescent="0.25">
      <c r="A84" s="64" t="s">
        <v>5074</v>
      </c>
      <c r="B84" s="64" t="s">
        <v>2138</v>
      </c>
      <c r="C84" s="64" t="s">
        <v>4977</v>
      </c>
      <c r="D84" s="64" t="s">
        <v>4974</v>
      </c>
      <c r="E84" s="64">
        <v>9.67</v>
      </c>
      <c r="F84" s="64">
        <v>9.23</v>
      </c>
      <c r="G84" s="68">
        <f t="shared" si="4"/>
        <v>-4.5999999999999996</v>
      </c>
      <c r="H84" s="64">
        <v>19.399999999999999</v>
      </c>
      <c r="I84" s="68">
        <f t="shared" si="5"/>
        <v>1.79</v>
      </c>
      <c r="J84" s="64">
        <v>22.74</v>
      </c>
      <c r="K84" s="64">
        <v>19.82</v>
      </c>
      <c r="L84" s="64">
        <v>8.3800000000000008</v>
      </c>
      <c r="M84" s="64">
        <v>1.06</v>
      </c>
      <c r="N84" s="64">
        <v>10.89</v>
      </c>
      <c r="O84" s="64">
        <v>56.18</v>
      </c>
      <c r="P84" s="64">
        <v>3.88</v>
      </c>
      <c r="Q84" s="64">
        <v>14.93</v>
      </c>
      <c r="R84" s="64">
        <v>13.35</v>
      </c>
      <c r="S84" s="64">
        <v>94.86</v>
      </c>
      <c r="T84" s="64" t="s">
        <v>4982</v>
      </c>
      <c r="U84" s="65" t="s">
        <v>590</v>
      </c>
      <c r="V84" s="65" t="s">
        <v>266</v>
      </c>
    </row>
    <row r="85" spans="1:22" ht="15" customHeight="1" x14ac:dyDescent="0.25">
      <c r="A85" s="62" t="s">
        <v>5075</v>
      </c>
      <c r="B85" s="62" t="s">
        <v>2142</v>
      </c>
      <c r="C85" s="62" t="s">
        <v>4977</v>
      </c>
      <c r="D85" s="62" t="s">
        <v>4992</v>
      </c>
      <c r="E85" s="62">
        <v>6.81</v>
      </c>
      <c r="F85" s="62">
        <v>7.68</v>
      </c>
      <c r="G85" s="67">
        <f t="shared" si="4"/>
        <v>12.8</v>
      </c>
      <c r="H85" s="62">
        <v>16</v>
      </c>
      <c r="I85" s="67">
        <f t="shared" si="5"/>
        <v>1.23</v>
      </c>
      <c r="J85" s="62">
        <v>15.69</v>
      </c>
      <c r="K85" s="62">
        <v>14.16</v>
      </c>
      <c r="L85" s="62">
        <v>15.39</v>
      </c>
      <c r="M85" s="62">
        <v>1.04</v>
      </c>
      <c r="N85" s="62">
        <v>15.83</v>
      </c>
      <c r="O85" s="62">
        <v>60.94</v>
      </c>
      <c r="P85" s="62">
        <v>2.54</v>
      </c>
      <c r="Q85" s="62">
        <v>12</v>
      </c>
      <c r="R85" s="62">
        <v>7.69</v>
      </c>
      <c r="S85" s="62">
        <v>70.209999999999994</v>
      </c>
      <c r="T85" s="62" t="s">
        <v>4975</v>
      </c>
      <c r="U85" s="65" t="s">
        <v>590</v>
      </c>
      <c r="V85" s="65" t="s">
        <v>266</v>
      </c>
    </row>
    <row r="86" spans="1:22" ht="15" customHeight="1" x14ac:dyDescent="0.25">
      <c r="A86" s="64" t="s">
        <v>5076</v>
      </c>
      <c r="B86" s="64" t="s">
        <v>2135</v>
      </c>
      <c r="C86" s="64" t="s">
        <v>4980</v>
      </c>
      <c r="D86" s="64" t="s">
        <v>4987</v>
      </c>
      <c r="E86" s="64">
        <v>8.5299999999999994</v>
      </c>
      <c r="F86" s="64">
        <v>6.49</v>
      </c>
      <c r="G86" s="68">
        <f t="shared" si="4"/>
        <v>-23.9</v>
      </c>
      <c r="H86" s="64">
        <v>16.100000000000001</v>
      </c>
      <c r="I86" s="68">
        <f t="shared" si="5"/>
        <v>1.04</v>
      </c>
      <c r="J86" s="64">
        <v>20.72</v>
      </c>
      <c r="K86" s="64">
        <v>21.17</v>
      </c>
      <c r="L86" s="64">
        <v>14.5</v>
      </c>
      <c r="M86" s="64">
        <v>1.42</v>
      </c>
      <c r="N86" s="64">
        <v>14.87</v>
      </c>
      <c r="O86" s="64">
        <v>59.81</v>
      </c>
      <c r="P86" s="64">
        <v>3.89</v>
      </c>
      <c r="Q86" s="64">
        <v>14.15</v>
      </c>
      <c r="R86" s="64">
        <v>10.52</v>
      </c>
      <c r="S86" s="64">
        <v>75.47</v>
      </c>
      <c r="T86" s="64" t="s">
        <v>4978</v>
      </c>
      <c r="U86" s="63" t="s">
        <v>622</v>
      </c>
      <c r="V86" s="63" t="s">
        <v>495</v>
      </c>
    </row>
    <row r="87" spans="1:22" ht="15" customHeight="1" x14ac:dyDescent="0.25">
      <c r="A87" s="62" t="s">
        <v>5077</v>
      </c>
      <c r="B87" s="62" t="s">
        <v>2146</v>
      </c>
      <c r="C87" s="62" t="s">
        <v>4977</v>
      </c>
      <c r="D87" s="62" t="s">
        <v>5004</v>
      </c>
      <c r="E87" s="62">
        <v>6.54</v>
      </c>
      <c r="F87" s="62">
        <v>6.75</v>
      </c>
      <c r="G87" s="67">
        <f t="shared" si="4"/>
        <v>3.2</v>
      </c>
      <c r="H87" s="62">
        <v>11.1</v>
      </c>
      <c r="I87" s="67">
        <f t="shared" si="5"/>
        <v>0.75</v>
      </c>
      <c r="J87" s="62">
        <v>20.52</v>
      </c>
      <c r="K87" s="62">
        <v>21.98</v>
      </c>
      <c r="L87" s="62">
        <v>17.43</v>
      </c>
      <c r="M87" s="62">
        <v>1.39</v>
      </c>
      <c r="N87" s="62">
        <v>10.99</v>
      </c>
      <c r="O87" s="62">
        <v>60.75</v>
      </c>
      <c r="P87" s="62">
        <v>2.95</v>
      </c>
      <c r="Q87" s="62">
        <v>9.1</v>
      </c>
      <c r="R87" s="62">
        <v>11.23</v>
      </c>
      <c r="S87" s="62">
        <v>84.47</v>
      </c>
      <c r="T87" s="62" t="s">
        <v>4972</v>
      </c>
      <c r="U87" s="65" t="s">
        <v>590</v>
      </c>
      <c r="V87" s="65" t="s">
        <v>266</v>
      </c>
    </row>
    <row r="88" spans="1:22" ht="15" customHeight="1" x14ac:dyDescent="0.25">
      <c r="A88" s="64" t="s">
        <v>5078</v>
      </c>
      <c r="B88" s="64" t="s">
        <v>2137</v>
      </c>
      <c r="C88" s="64" t="s">
        <v>4986</v>
      </c>
      <c r="D88" s="64" t="s">
        <v>4992</v>
      </c>
      <c r="E88" s="64">
        <v>21.35</v>
      </c>
      <c r="F88" s="64">
        <v>17.12</v>
      </c>
      <c r="G88" s="68">
        <f t="shared" si="4"/>
        <v>-19.8</v>
      </c>
      <c r="H88" s="64">
        <v>12.3</v>
      </c>
      <c r="I88" s="68">
        <f t="shared" si="5"/>
        <v>2.11</v>
      </c>
      <c r="J88" s="64">
        <v>19.5</v>
      </c>
      <c r="K88" s="64">
        <v>14.76</v>
      </c>
      <c r="L88" s="64">
        <v>17.96</v>
      </c>
      <c r="M88" s="64">
        <v>1.0900000000000001</v>
      </c>
      <c r="N88" s="64">
        <v>17.190000000000001</v>
      </c>
      <c r="O88" s="64">
        <v>47.51</v>
      </c>
      <c r="P88" s="64">
        <v>3.11</v>
      </c>
      <c r="Q88" s="64">
        <v>14.97</v>
      </c>
      <c r="R88" s="64">
        <v>17.96</v>
      </c>
      <c r="S88" s="64">
        <v>93.99</v>
      </c>
      <c r="T88" s="64" t="s">
        <v>4972</v>
      </c>
      <c r="U88" s="63" t="s">
        <v>622</v>
      </c>
      <c r="V88" s="63" t="s">
        <v>495</v>
      </c>
    </row>
    <row r="89" spans="1:22" ht="15" customHeight="1" x14ac:dyDescent="0.25">
      <c r="A89" s="62" t="s">
        <v>5079</v>
      </c>
      <c r="B89" s="62" t="s">
        <v>2141</v>
      </c>
      <c r="C89" s="62" t="s">
        <v>4994</v>
      </c>
      <c r="D89" s="62" t="s">
        <v>4984</v>
      </c>
      <c r="E89" s="62">
        <v>24.38</v>
      </c>
      <c r="F89" s="62">
        <v>26.2</v>
      </c>
      <c r="G89" s="67">
        <f t="shared" si="4"/>
        <v>7.5</v>
      </c>
      <c r="H89" s="62">
        <v>13.6</v>
      </c>
      <c r="I89" s="67">
        <f t="shared" si="5"/>
        <v>3.56</v>
      </c>
      <c r="J89" s="62">
        <v>21.46</v>
      </c>
      <c r="K89" s="62">
        <v>20.3</v>
      </c>
      <c r="L89" s="62">
        <v>16.190000000000001</v>
      </c>
      <c r="M89" s="62">
        <v>0.62</v>
      </c>
      <c r="N89" s="62">
        <v>18.91</v>
      </c>
      <c r="O89" s="62">
        <v>53.31</v>
      </c>
      <c r="P89" s="62">
        <v>3.18</v>
      </c>
      <c r="Q89" s="62">
        <v>6.85</v>
      </c>
      <c r="R89" s="62">
        <v>14.7</v>
      </c>
      <c r="S89" s="62">
        <v>94.65</v>
      </c>
      <c r="T89" s="62" t="s">
        <v>4975</v>
      </c>
      <c r="U89" s="65" t="s">
        <v>590</v>
      </c>
      <c r="V89" s="65" t="s">
        <v>266</v>
      </c>
    </row>
    <row r="90" spans="1:22" ht="15" customHeight="1" x14ac:dyDescent="0.25">
      <c r="A90" s="64" t="s">
        <v>5080</v>
      </c>
      <c r="B90" s="64" t="s">
        <v>2136</v>
      </c>
      <c r="C90" s="64" t="s">
        <v>5013</v>
      </c>
      <c r="D90" s="64" t="s">
        <v>5018</v>
      </c>
      <c r="E90" s="64">
        <v>7.79</v>
      </c>
      <c r="F90" s="64">
        <v>6.67</v>
      </c>
      <c r="G90" s="68">
        <f t="shared" si="4"/>
        <v>-14.4</v>
      </c>
      <c r="H90" s="64">
        <v>10.9</v>
      </c>
      <c r="I90" s="68">
        <f t="shared" si="5"/>
        <v>0.73</v>
      </c>
      <c r="J90" s="64">
        <v>17.41</v>
      </c>
      <c r="K90" s="64">
        <v>14.15</v>
      </c>
      <c r="L90" s="64">
        <v>17.5</v>
      </c>
      <c r="M90" s="64">
        <v>0.53</v>
      </c>
      <c r="N90" s="64">
        <v>17.93</v>
      </c>
      <c r="O90" s="64">
        <v>61.77</v>
      </c>
      <c r="P90" s="64">
        <v>2.7</v>
      </c>
      <c r="Q90" s="64">
        <v>15.48</v>
      </c>
      <c r="R90" s="64">
        <v>7.86</v>
      </c>
      <c r="S90" s="64">
        <v>81.48</v>
      </c>
      <c r="T90" s="64" t="s">
        <v>4972</v>
      </c>
      <c r="U90" s="66" t="s">
        <v>579</v>
      </c>
      <c r="V90" s="66" t="s">
        <v>321</v>
      </c>
    </row>
    <row r="91" spans="1:22" ht="15" customHeight="1" x14ac:dyDescent="0.25">
      <c r="A91" s="62" t="s">
        <v>5081</v>
      </c>
      <c r="B91" s="62" t="s">
        <v>2135</v>
      </c>
      <c r="C91" s="62" t="s">
        <v>4998</v>
      </c>
      <c r="D91" s="62" t="s">
        <v>4974</v>
      </c>
      <c r="E91" s="62">
        <v>24.44</v>
      </c>
      <c r="F91" s="62">
        <v>23.87</v>
      </c>
      <c r="G91" s="67">
        <f t="shared" si="4"/>
        <v>-2.2999999999999998</v>
      </c>
      <c r="H91" s="62">
        <v>18.399999999999999</v>
      </c>
      <c r="I91" s="67">
        <f t="shared" si="5"/>
        <v>4.3899999999999997</v>
      </c>
      <c r="J91" s="62">
        <v>19.88</v>
      </c>
      <c r="K91" s="62">
        <v>21.05</v>
      </c>
      <c r="L91" s="62">
        <v>8.16</v>
      </c>
      <c r="M91" s="62">
        <v>0.97</v>
      </c>
      <c r="N91" s="62">
        <v>14.52</v>
      </c>
      <c r="O91" s="62">
        <v>46.44</v>
      </c>
      <c r="P91" s="62">
        <v>2.72</v>
      </c>
      <c r="Q91" s="62">
        <v>9.57</v>
      </c>
      <c r="R91" s="62">
        <v>15.59</v>
      </c>
      <c r="S91" s="62">
        <v>64.209999999999994</v>
      </c>
      <c r="T91" s="62" t="s">
        <v>4978</v>
      </c>
      <c r="U91" s="65" t="s">
        <v>590</v>
      </c>
      <c r="V91" s="65" t="s">
        <v>266</v>
      </c>
    </row>
    <row r="92" spans="1:22" ht="15" customHeight="1" x14ac:dyDescent="0.25">
      <c r="A92" s="64" t="s">
        <v>5082</v>
      </c>
      <c r="B92" s="64" t="s">
        <v>2141</v>
      </c>
      <c r="C92" s="64" t="s">
        <v>4986</v>
      </c>
      <c r="D92" s="64" t="s">
        <v>5004</v>
      </c>
      <c r="E92" s="64">
        <v>9.23</v>
      </c>
      <c r="F92" s="64">
        <v>10.050000000000001</v>
      </c>
      <c r="G92" s="68">
        <f t="shared" si="4"/>
        <v>8.9</v>
      </c>
      <c r="H92" s="64">
        <v>10.3</v>
      </c>
      <c r="I92" s="68">
        <f t="shared" si="5"/>
        <v>1.04</v>
      </c>
      <c r="J92" s="64">
        <v>19.579999999999998</v>
      </c>
      <c r="K92" s="64">
        <v>23.09</v>
      </c>
      <c r="L92" s="64">
        <v>17.079999999999998</v>
      </c>
      <c r="M92" s="64">
        <v>0.93</v>
      </c>
      <c r="N92" s="64">
        <v>13.07</v>
      </c>
      <c r="O92" s="64">
        <v>62.37</v>
      </c>
      <c r="P92" s="64">
        <v>3.07</v>
      </c>
      <c r="Q92" s="64">
        <v>5.79</v>
      </c>
      <c r="R92" s="64">
        <v>12.14</v>
      </c>
      <c r="S92" s="64">
        <v>68.62</v>
      </c>
      <c r="T92" s="64" t="s">
        <v>4982</v>
      </c>
      <c r="U92" s="65" t="s">
        <v>590</v>
      </c>
      <c r="V92" s="65" t="s">
        <v>266</v>
      </c>
    </row>
    <row r="93" spans="1:22" ht="15" customHeight="1" x14ac:dyDescent="0.25">
      <c r="A93" s="62" t="s">
        <v>5083</v>
      </c>
      <c r="B93" s="62" t="s">
        <v>2139</v>
      </c>
      <c r="C93" s="62" t="s">
        <v>4998</v>
      </c>
      <c r="D93" s="62" t="s">
        <v>4999</v>
      </c>
      <c r="E93" s="62">
        <v>16.350000000000001</v>
      </c>
      <c r="F93" s="62">
        <v>17.84</v>
      </c>
      <c r="G93" s="67">
        <f t="shared" si="4"/>
        <v>9.1</v>
      </c>
      <c r="H93" s="62">
        <v>10.4</v>
      </c>
      <c r="I93" s="67">
        <f t="shared" si="5"/>
        <v>1.86</v>
      </c>
      <c r="J93" s="62">
        <v>24.05</v>
      </c>
      <c r="K93" s="62">
        <v>22.86</v>
      </c>
      <c r="L93" s="62">
        <v>14.12</v>
      </c>
      <c r="M93" s="62">
        <v>0.83</v>
      </c>
      <c r="N93" s="62">
        <v>15.83</v>
      </c>
      <c r="O93" s="62">
        <v>48.16</v>
      </c>
      <c r="P93" s="62">
        <v>2.77</v>
      </c>
      <c r="Q93" s="62">
        <v>15.28</v>
      </c>
      <c r="R93" s="62">
        <v>9.8800000000000008</v>
      </c>
      <c r="S93" s="62">
        <v>90.83</v>
      </c>
      <c r="T93" s="62" t="s">
        <v>4972</v>
      </c>
      <c r="U93" s="65" t="s">
        <v>590</v>
      </c>
      <c r="V93" s="65" t="s">
        <v>266</v>
      </c>
    </row>
    <row r="94" spans="1:22" ht="15" customHeight="1" x14ac:dyDescent="0.25">
      <c r="A94" s="64" t="s">
        <v>5084</v>
      </c>
      <c r="B94" s="64" t="s">
        <v>2139</v>
      </c>
      <c r="C94" s="64" t="s">
        <v>4986</v>
      </c>
      <c r="D94" s="64" t="s">
        <v>5018</v>
      </c>
      <c r="E94" s="64">
        <v>5.53</v>
      </c>
      <c r="F94" s="64">
        <v>6.43</v>
      </c>
      <c r="G94" s="68">
        <f t="shared" si="4"/>
        <v>16.3</v>
      </c>
      <c r="H94" s="64">
        <v>19.5</v>
      </c>
      <c r="I94" s="68">
        <f t="shared" si="5"/>
        <v>1.25</v>
      </c>
      <c r="J94" s="64">
        <v>24.19</v>
      </c>
      <c r="K94" s="64">
        <v>24.67</v>
      </c>
      <c r="L94" s="64">
        <v>8.02</v>
      </c>
      <c r="M94" s="64">
        <v>0.68</v>
      </c>
      <c r="N94" s="64">
        <v>18.02</v>
      </c>
      <c r="O94" s="64">
        <v>51.87</v>
      </c>
      <c r="P94" s="64">
        <v>3.59</v>
      </c>
      <c r="Q94" s="64">
        <v>19.68</v>
      </c>
      <c r="R94" s="64">
        <v>15.81</v>
      </c>
      <c r="S94" s="64">
        <v>87.36</v>
      </c>
      <c r="T94" s="64" t="s">
        <v>4978</v>
      </c>
      <c r="U94" s="65" t="s">
        <v>590</v>
      </c>
      <c r="V94" s="65" t="s">
        <v>266</v>
      </c>
    </row>
    <row r="95" spans="1:22" ht="15" customHeight="1" x14ac:dyDescent="0.25">
      <c r="A95" s="62" t="s">
        <v>5085</v>
      </c>
      <c r="B95" s="62" t="s">
        <v>2145</v>
      </c>
      <c r="C95" s="62" t="s">
        <v>4980</v>
      </c>
      <c r="D95" s="62" t="s">
        <v>4971</v>
      </c>
      <c r="E95" s="62">
        <v>12.99</v>
      </c>
      <c r="F95" s="62">
        <v>10.01</v>
      </c>
      <c r="G95" s="67">
        <f t="shared" si="4"/>
        <v>-22.9</v>
      </c>
      <c r="H95" s="62">
        <v>13</v>
      </c>
      <c r="I95" s="67">
        <f t="shared" si="5"/>
        <v>1.3</v>
      </c>
      <c r="J95" s="62">
        <v>20.36</v>
      </c>
      <c r="K95" s="62">
        <v>21.09</v>
      </c>
      <c r="L95" s="62">
        <v>11.01</v>
      </c>
      <c r="M95" s="62">
        <v>1.26</v>
      </c>
      <c r="N95" s="62">
        <v>19.57</v>
      </c>
      <c r="O95" s="62">
        <v>46.32</v>
      </c>
      <c r="P95" s="62">
        <v>3.89</v>
      </c>
      <c r="Q95" s="62">
        <v>9.14</v>
      </c>
      <c r="R95" s="62">
        <v>14.51</v>
      </c>
      <c r="S95" s="62">
        <v>84.35</v>
      </c>
      <c r="T95" s="62" t="s">
        <v>4978</v>
      </c>
      <c r="U95" s="63" t="s">
        <v>622</v>
      </c>
      <c r="V95" s="63" t="s">
        <v>495</v>
      </c>
    </row>
    <row r="96" spans="1:22" ht="15" customHeight="1" x14ac:dyDescent="0.25">
      <c r="A96" s="64" t="s">
        <v>5086</v>
      </c>
      <c r="B96" s="64" t="s">
        <v>2139</v>
      </c>
      <c r="C96" s="64" t="s">
        <v>5009</v>
      </c>
      <c r="D96" s="64" t="s">
        <v>4992</v>
      </c>
      <c r="E96" s="64">
        <v>16.61</v>
      </c>
      <c r="F96" s="64">
        <v>13.27</v>
      </c>
      <c r="G96" s="68">
        <f t="shared" si="4"/>
        <v>-20.100000000000001</v>
      </c>
      <c r="H96" s="64">
        <v>10.4</v>
      </c>
      <c r="I96" s="68">
        <f t="shared" si="5"/>
        <v>1.38</v>
      </c>
      <c r="J96" s="64">
        <v>16.14</v>
      </c>
      <c r="K96" s="64">
        <v>18.11</v>
      </c>
      <c r="L96" s="64">
        <v>13.88</v>
      </c>
      <c r="M96" s="64">
        <v>1.03</v>
      </c>
      <c r="N96" s="64">
        <v>14.67</v>
      </c>
      <c r="O96" s="64">
        <v>61.48</v>
      </c>
      <c r="P96" s="64">
        <v>2.82</v>
      </c>
      <c r="Q96" s="64">
        <v>7.01</v>
      </c>
      <c r="R96" s="64">
        <v>13.95</v>
      </c>
      <c r="S96" s="64">
        <v>70.13</v>
      </c>
      <c r="T96" s="64" t="s">
        <v>4978</v>
      </c>
      <c r="U96" s="63" t="s">
        <v>622</v>
      </c>
      <c r="V96" s="63" t="s">
        <v>495</v>
      </c>
    </row>
    <row r="97" spans="1:22" ht="15" customHeight="1" x14ac:dyDescent="0.25">
      <c r="A97" s="62" t="s">
        <v>5087</v>
      </c>
      <c r="B97" s="62" t="s">
        <v>2140</v>
      </c>
      <c r="C97" s="62" t="s">
        <v>4998</v>
      </c>
      <c r="D97" s="62" t="s">
        <v>4974</v>
      </c>
      <c r="E97" s="62">
        <v>14.91</v>
      </c>
      <c r="F97" s="62">
        <v>13.68</v>
      </c>
      <c r="G97" s="67">
        <f t="shared" si="4"/>
        <v>-8.1999999999999993</v>
      </c>
      <c r="H97" s="62">
        <v>6.4</v>
      </c>
      <c r="I97" s="67">
        <f t="shared" si="5"/>
        <v>0.88</v>
      </c>
      <c r="J97" s="62">
        <v>16.940000000000001</v>
      </c>
      <c r="K97" s="62">
        <v>18.920000000000002</v>
      </c>
      <c r="L97" s="62">
        <v>16.04</v>
      </c>
      <c r="M97" s="62">
        <v>1</v>
      </c>
      <c r="N97" s="62">
        <v>10.6</v>
      </c>
      <c r="O97" s="62">
        <v>59.46</v>
      </c>
      <c r="P97" s="62">
        <v>3.3</v>
      </c>
      <c r="Q97" s="62">
        <v>19.48</v>
      </c>
      <c r="R97" s="62">
        <v>6.12</v>
      </c>
      <c r="S97" s="62">
        <v>67.209999999999994</v>
      </c>
      <c r="T97" s="62" t="s">
        <v>4972</v>
      </c>
      <c r="U97" s="66" t="s">
        <v>579</v>
      </c>
      <c r="V97" s="66" t="s">
        <v>321</v>
      </c>
    </row>
    <row r="98" spans="1:22" ht="15" customHeight="1" x14ac:dyDescent="0.25">
      <c r="A98" s="64" t="s">
        <v>5088</v>
      </c>
      <c r="B98" s="64" t="s">
        <v>2139</v>
      </c>
      <c r="C98" s="64" t="s">
        <v>5013</v>
      </c>
      <c r="D98" s="64" t="s">
        <v>4999</v>
      </c>
      <c r="E98" s="64">
        <v>10</v>
      </c>
      <c r="F98" s="64">
        <v>9.17</v>
      </c>
      <c r="G98" s="68">
        <f t="shared" si="4"/>
        <v>-8.3000000000000007</v>
      </c>
      <c r="H98" s="64">
        <v>13</v>
      </c>
      <c r="I98" s="68">
        <f t="shared" si="5"/>
        <v>1.19</v>
      </c>
      <c r="J98" s="64">
        <v>16.71</v>
      </c>
      <c r="K98" s="64">
        <v>12.75</v>
      </c>
      <c r="L98" s="64">
        <v>16</v>
      </c>
      <c r="M98" s="64">
        <v>0.99</v>
      </c>
      <c r="N98" s="64">
        <v>15.49</v>
      </c>
      <c r="O98" s="64">
        <v>55.98</v>
      </c>
      <c r="P98" s="64">
        <v>2.65</v>
      </c>
      <c r="Q98" s="64">
        <v>14.23</v>
      </c>
      <c r="R98" s="64">
        <v>10.27</v>
      </c>
      <c r="S98" s="64">
        <v>78.36</v>
      </c>
      <c r="T98" s="64" t="s">
        <v>4975</v>
      </c>
      <c r="U98" s="66" t="s">
        <v>579</v>
      </c>
      <c r="V98" s="66" t="s">
        <v>321</v>
      </c>
    </row>
    <row r="99" spans="1:22" ht="15" customHeight="1" x14ac:dyDescent="0.25">
      <c r="A99" s="62" t="s">
        <v>5089</v>
      </c>
      <c r="B99" s="62" t="s">
        <v>2135</v>
      </c>
      <c r="C99" s="62" t="s">
        <v>4977</v>
      </c>
      <c r="D99" s="62" t="s">
        <v>4984</v>
      </c>
      <c r="E99" s="62">
        <v>20.22</v>
      </c>
      <c r="F99" s="62">
        <v>22.64</v>
      </c>
      <c r="G99" s="67">
        <f t="shared" ref="G99:G130" si="6">ROUND((F99-E99)/ABS(E99)*100,1)</f>
        <v>12</v>
      </c>
      <c r="H99" s="62">
        <v>11.1</v>
      </c>
      <c r="I99" s="67">
        <f t="shared" ref="I99:I130" si="7">ROUND(H99*F99/100,2)</f>
        <v>2.5099999999999998</v>
      </c>
      <c r="J99" s="62">
        <v>20.48</v>
      </c>
      <c r="K99" s="62">
        <v>23.86</v>
      </c>
      <c r="L99" s="62">
        <v>9.43</v>
      </c>
      <c r="M99" s="62">
        <v>0.93</v>
      </c>
      <c r="N99" s="62">
        <v>15.78</v>
      </c>
      <c r="O99" s="62">
        <v>48.96</v>
      </c>
      <c r="P99" s="62">
        <v>3.89</v>
      </c>
      <c r="Q99" s="62">
        <v>15.82</v>
      </c>
      <c r="R99" s="62">
        <v>9.84</v>
      </c>
      <c r="S99" s="62">
        <v>69.209999999999994</v>
      </c>
      <c r="T99" s="62" t="s">
        <v>4982</v>
      </c>
      <c r="U99" s="65" t="s">
        <v>590</v>
      </c>
      <c r="V99" s="65" t="s">
        <v>266</v>
      </c>
    </row>
    <row r="100" spans="1:22" ht="15" customHeight="1" x14ac:dyDescent="0.25">
      <c r="A100" s="64" t="s">
        <v>5090</v>
      </c>
      <c r="B100" s="64" t="s">
        <v>2136</v>
      </c>
      <c r="C100" s="64" t="s">
        <v>4994</v>
      </c>
      <c r="D100" s="64" t="s">
        <v>5018</v>
      </c>
      <c r="E100" s="64">
        <v>6.06</v>
      </c>
      <c r="F100" s="64">
        <v>4.83</v>
      </c>
      <c r="G100" s="68">
        <f t="shared" si="6"/>
        <v>-20.3</v>
      </c>
      <c r="H100" s="64">
        <v>7.8</v>
      </c>
      <c r="I100" s="68">
        <f t="shared" si="7"/>
        <v>0.38</v>
      </c>
      <c r="J100" s="64">
        <v>20.02</v>
      </c>
      <c r="K100" s="64">
        <v>23.76</v>
      </c>
      <c r="L100" s="64">
        <v>17.77</v>
      </c>
      <c r="M100" s="64">
        <v>1.19</v>
      </c>
      <c r="N100" s="64">
        <v>13.35</v>
      </c>
      <c r="O100" s="64">
        <v>58.91</v>
      </c>
      <c r="P100" s="64">
        <v>3.51</v>
      </c>
      <c r="Q100" s="64">
        <v>18.73</v>
      </c>
      <c r="R100" s="64">
        <v>6.8</v>
      </c>
      <c r="S100" s="64">
        <v>70.09</v>
      </c>
      <c r="T100" s="64" t="s">
        <v>4972</v>
      </c>
      <c r="U100" s="63" t="s">
        <v>622</v>
      </c>
      <c r="V100" s="63" t="s">
        <v>495</v>
      </c>
    </row>
    <row r="101" spans="1:22" ht="15" customHeight="1" x14ac:dyDescent="0.25">
      <c r="A101" s="62" t="s">
        <v>5091</v>
      </c>
      <c r="B101" s="62" t="s">
        <v>2137</v>
      </c>
      <c r="C101" s="62" t="s">
        <v>4980</v>
      </c>
      <c r="D101" s="62" t="s">
        <v>5004</v>
      </c>
      <c r="E101" s="62">
        <v>5.55</v>
      </c>
      <c r="F101" s="62">
        <v>5.0199999999999996</v>
      </c>
      <c r="G101" s="67">
        <f t="shared" si="6"/>
        <v>-9.5</v>
      </c>
      <c r="H101" s="62">
        <v>5.6</v>
      </c>
      <c r="I101" s="67">
        <f t="shared" si="7"/>
        <v>0.28000000000000003</v>
      </c>
      <c r="J101" s="62">
        <v>18.149999999999999</v>
      </c>
      <c r="K101" s="62">
        <v>15.71</v>
      </c>
      <c r="L101" s="62">
        <v>15.39</v>
      </c>
      <c r="M101" s="62">
        <v>1.07</v>
      </c>
      <c r="N101" s="62">
        <v>10.19</v>
      </c>
      <c r="O101" s="62">
        <v>64.66</v>
      </c>
      <c r="P101" s="62">
        <v>3.1</v>
      </c>
      <c r="Q101" s="62">
        <v>18.39</v>
      </c>
      <c r="R101" s="62">
        <v>7.68</v>
      </c>
      <c r="S101" s="62">
        <v>85.91</v>
      </c>
      <c r="T101" s="62" t="s">
        <v>4982</v>
      </c>
      <c r="U101" s="66" t="s">
        <v>579</v>
      </c>
      <c r="V101" s="66" t="s">
        <v>321</v>
      </c>
    </row>
    <row r="102" spans="1:22" ht="15" customHeight="1" x14ac:dyDescent="0.25">
      <c r="A102" s="64" t="s">
        <v>5092</v>
      </c>
      <c r="B102" s="64" t="s">
        <v>2136</v>
      </c>
      <c r="C102" s="64" t="s">
        <v>4977</v>
      </c>
      <c r="D102" s="64" t="s">
        <v>5004</v>
      </c>
      <c r="E102" s="64">
        <v>10.56</v>
      </c>
      <c r="F102" s="64">
        <v>7.56</v>
      </c>
      <c r="G102" s="68">
        <f t="shared" si="6"/>
        <v>-28.4</v>
      </c>
      <c r="H102" s="64">
        <v>9.8000000000000007</v>
      </c>
      <c r="I102" s="68">
        <f t="shared" si="7"/>
        <v>0.74</v>
      </c>
      <c r="J102" s="64">
        <v>23.69</v>
      </c>
      <c r="K102" s="64">
        <v>24.56</v>
      </c>
      <c r="L102" s="64">
        <v>9.84</v>
      </c>
      <c r="M102" s="64">
        <v>0.68</v>
      </c>
      <c r="N102" s="64">
        <v>13.72</v>
      </c>
      <c r="O102" s="64">
        <v>47.8</v>
      </c>
      <c r="P102" s="64">
        <v>2.54</v>
      </c>
      <c r="Q102" s="64">
        <v>19.41</v>
      </c>
      <c r="R102" s="64">
        <v>14.61</v>
      </c>
      <c r="S102" s="64">
        <v>86.51</v>
      </c>
      <c r="T102" s="64" t="s">
        <v>4972</v>
      </c>
      <c r="U102" s="63" t="s">
        <v>622</v>
      </c>
      <c r="V102" s="63" t="s">
        <v>495</v>
      </c>
    </row>
    <row r="103" spans="1:22" ht="15" customHeight="1" x14ac:dyDescent="0.25">
      <c r="A103" s="62" t="s">
        <v>5093</v>
      </c>
      <c r="B103" s="62" t="s">
        <v>2145</v>
      </c>
      <c r="C103" s="62" t="s">
        <v>4998</v>
      </c>
      <c r="D103" s="62" t="s">
        <v>4992</v>
      </c>
      <c r="E103" s="62">
        <v>15.68</v>
      </c>
      <c r="F103" s="62">
        <v>12.62</v>
      </c>
      <c r="G103" s="62">
        <v>-19.5</v>
      </c>
      <c r="H103" s="62">
        <v>13.6</v>
      </c>
      <c r="I103" s="62">
        <v>10.95</v>
      </c>
      <c r="J103" s="62">
        <v>16.920000000000002</v>
      </c>
      <c r="K103" s="62">
        <v>18.34</v>
      </c>
      <c r="L103" s="62">
        <v>11.64</v>
      </c>
      <c r="M103" s="62">
        <v>1.02</v>
      </c>
      <c r="N103" s="62">
        <v>19.55</v>
      </c>
      <c r="O103" s="62">
        <v>47.33</v>
      </c>
      <c r="P103" s="62">
        <v>2.82</v>
      </c>
      <c r="Q103" s="62">
        <v>8.65</v>
      </c>
      <c r="R103" s="62">
        <v>12.77</v>
      </c>
      <c r="S103" s="62">
        <v>71.739999999999995</v>
      </c>
      <c r="T103" s="62" t="s">
        <v>4975</v>
      </c>
      <c r="U103" s="63" t="s">
        <v>622</v>
      </c>
      <c r="V103" s="63" t="s">
        <v>495</v>
      </c>
    </row>
    <row r="104" spans="1:22" ht="15" customHeight="1" x14ac:dyDescent="0.25">
      <c r="A104" s="64" t="s">
        <v>5094</v>
      </c>
      <c r="B104" s="64" t="s">
        <v>2138</v>
      </c>
      <c r="C104" s="64" t="s">
        <v>4980</v>
      </c>
      <c r="D104" s="64" t="s">
        <v>4984</v>
      </c>
      <c r="E104" s="64">
        <v>7.52</v>
      </c>
      <c r="F104" s="64">
        <v>6.41</v>
      </c>
      <c r="G104" s="64">
        <v>-14.8</v>
      </c>
      <c r="H104" s="64">
        <v>12.5</v>
      </c>
      <c r="I104" s="64">
        <v>10.65</v>
      </c>
      <c r="J104" s="64">
        <v>17.98</v>
      </c>
      <c r="K104" s="64">
        <v>21.02</v>
      </c>
      <c r="L104" s="64">
        <v>14.09</v>
      </c>
      <c r="M104" s="64">
        <v>0.93</v>
      </c>
      <c r="N104" s="64">
        <v>10.050000000000001</v>
      </c>
      <c r="O104" s="64">
        <v>50.27</v>
      </c>
      <c r="P104" s="64">
        <v>3.27</v>
      </c>
      <c r="Q104" s="64">
        <v>11.44</v>
      </c>
      <c r="R104" s="64">
        <v>8.48</v>
      </c>
      <c r="S104" s="64">
        <v>86.09</v>
      </c>
      <c r="T104" s="64" t="s">
        <v>4978</v>
      </c>
      <c r="U104" s="66" t="s">
        <v>579</v>
      </c>
      <c r="V104" s="66" t="s">
        <v>321</v>
      </c>
    </row>
    <row r="105" spans="1:22" ht="15" customHeight="1" x14ac:dyDescent="0.25">
      <c r="A105" s="62" t="s">
        <v>5095</v>
      </c>
      <c r="B105" s="62" t="s">
        <v>2141</v>
      </c>
      <c r="C105" s="62" t="s">
        <v>4994</v>
      </c>
      <c r="D105" s="62" t="s">
        <v>4974</v>
      </c>
      <c r="E105" s="62">
        <v>17.73</v>
      </c>
      <c r="F105" s="62">
        <v>16.61</v>
      </c>
      <c r="G105" s="62">
        <v>-6.3</v>
      </c>
      <c r="H105" s="62">
        <v>18.600000000000001</v>
      </c>
      <c r="I105" s="62">
        <v>17.43</v>
      </c>
      <c r="J105" s="62">
        <v>23.21</v>
      </c>
      <c r="K105" s="62">
        <v>20.98</v>
      </c>
      <c r="L105" s="62">
        <v>13.73</v>
      </c>
      <c r="M105" s="62">
        <v>1.1399999999999999</v>
      </c>
      <c r="N105" s="62">
        <v>13.61</v>
      </c>
      <c r="O105" s="62">
        <v>57.44</v>
      </c>
      <c r="P105" s="62">
        <v>3.75</v>
      </c>
      <c r="Q105" s="62">
        <v>10.34</v>
      </c>
      <c r="R105" s="62">
        <v>15.85</v>
      </c>
      <c r="S105" s="62">
        <v>63.22</v>
      </c>
      <c r="T105" s="62" t="s">
        <v>4982</v>
      </c>
      <c r="U105" s="66" t="s">
        <v>579</v>
      </c>
      <c r="V105" s="66" t="s">
        <v>321</v>
      </c>
    </row>
    <row r="106" spans="1:22" ht="15" customHeight="1" x14ac:dyDescent="0.25">
      <c r="A106" s="64" t="s">
        <v>5096</v>
      </c>
      <c r="B106" s="64" t="s">
        <v>2140</v>
      </c>
      <c r="C106" s="64" t="s">
        <v>4994</v>
      </c>
      <c r="D106" s="64" t="s">
        <v>4984</v>
      </c>
      <c r="E106" s="64">
        <v>21.28</v>
      </c>
      <c r="F106" s="64">
        <v>20.88</v>
      </c>
      <c r="G106" s="64">
        <v>-1.9</v>
      </c>
      <c r="H106" s="64">
        <v>6</v>
      </c>
      <c r="I106" s="64">
        <v>5.89</v>
      </c>
      <c r="J106" s="64">
        <v>19.88</v>
      </c>
      <c r="K106" s="64">
        <v>23.85</v>
      </c>
      <c r="L106" s="64">
        <v>17.600000000000001</v>
      </c>
      <c r="M106" s="64">
        <v>0.87</v>
      </c>
      <c r="N106" s="64">
        <v>12.46</v>
      </c>
      <c r="O106" s="64">
        <v>57.79</v>
      </c>
      <c r="P106" s="64">
        <v>2.59</v>
      </c>
      <c r="Q106" s="64">
        <v>18.739999999999998</v>
      </c>
      <c r="R106" s="64">
        <v>10.41</v>
      </c>
      <c r="S106" s="64">
        <v>63.68</v>
      </c>
      <c r="T106" s="64" t="s">
        <v>4975</v>
      </c>
      <c r="U106" s="65" t="s">
        <v>590</v>
      </c>
      <c r="V106" s="65" t="s">
        <v>266</v>
      </c>
    </row>
    <row r="107" spans="1:22" ht="15" customHeight="1" x14ac:dyDescent="0.25">
      <c r="A107" s="62" t="s">
        <v>5097</v>
      </c>
      <c r="B107" s="62" t="s">
        <v>2137</v>
      </c>
      <c r="C107" s="62" t="s">
        <v>4998</v>
      </c>
      <c r="D107" s="62" t="s">
        <v>4981</v>
      </c>
      <c r="E107" s="62">
        <v>13.09</v>
      </c>
      <c r="F107" s="62">
        <v>12.97</v>
      </c>
      <c r="G107" s="62">
        <v>-0.9</v>
      </c>
      <c r="H107" s="62">
        <v>10.6</v>
      </c>
      <c r="I107" s="62">
        <v>10.5</v>
      </c>
      <c r="J107" s="62">
        <v>17.89</v>
      </c>
      <c r="K107" s="62">
        <v>17.309999999999999</v>
      </c>
      <c r="L107" s="62">
        <v>17.920000000000002</v>
      </c>
      <c r="M107" s="62">
        <v>0.77</v>
      </c>
      <c r="N107" s="62">
        <v>17.649999999999999</v>
      </c>
      <c r="O107" s="62">
        <v>53.69</v>
      </c>
      <c r="P107" s="62">
        <v>2.98</v>
      </c>
      <c r="Q107" s="62">
        <v>8.5</v>
      </c>
      <c r="R107" s="62">
        <v>7.71</v>
      </c>
      <c r="S107" s="62">
        <v>80.319999999999993</v>
      </c>
      <c r="T107" s="62" t="s">
        <v>4975</v>
      </c>
      <c r="U107" s="65" t="s">
        <v>590</v>
      </c>
      <c r="V107" s="65" t="s">
        <v>266</v>
      </c>
    </row>
    <row r="108" spans="1:22" ht="15" customHeight="1" x14ac:dyDescent="0.25">
      <c r="A108" s="64" t="s">
        <v>5098</v>
      </c>
      <c r="B108" s="64" t="s">
        <v>2138</v>
      </c>
      <c r="C108" s="64" t="s">
        <v>4986</v>
      </c>
      <c r="D108" s="64" t="s">
        <v>4971</v>
      </c>
      <c r="E108" s="64">
        <v>22.76</v>
      </c>
      <c r="F108" s="64">
        <v>24.44</v>
      </c>
      <c r="G108" s="64">
        <v>7.4</v>
      </c>
      <c r="H108" s="64">
        <v>7.3</v>
      </c>
      <c r="I108" s="64">
        <v>7.84</v>
      </c>
      <c r="J108" s="64">
        <v>17.03</v>
      </c>
      <c r="K108" s="64">
        <v>21.14</v>
      </c>
      <c r="L108" s="64">
        <v>15.55</v>
      </c>
      <c r="M108" s="64">
        <v>0.89</v>
      </c>
      <c r="N108" s="64">
        <v>19.239999999999998</v>
      </c>
      <c r="O108" s="64">
        <v>48.01</v>
      </c>
      <c r="P108" s="64">
        <v>2.65</v>
      </c>
      <c r="Q108" s="64">
        <v>12.12</v>
      </c>
      <c r="R108" s="64">
        <v>7.04</v>
      </c>
      <c r="S108" s="64">
        <v>76.02</v>
      </c>
      <c r="T108" s="64" t="s">
        <v>4975</v>
      </c>
      <c r="U108" s="65" t="s">
        <v>590</v>
      </c>
      <c r="V108" s="65" t="s">
        <v>266</v>
      </c>
    </row>
    <row r="109" spans="1:22" ht="15" customHeight="1" x14ac:dyDescent="0.25">
      <c r="A109" s="62" t="s">
        <v>5099</v>
      </c>
      <c r="B109" s="62" t="s">
        <v>2144</v>
      </c>
      <c r="C109" s="62" t="s">
        <v>4989</v>
      </c>
      <c r="D109" s="62" t="s">
        <v>4981</v>
      </c>
      <c r="E109" s="62">
        <v>11.48</v>
      </c>
      <c r="F109" s="62">
        <v>9.26</v>
      </c>
      <c r="G109" s="62">
        <v>-19.3</v>
      </c>
      <c r="H109" s="62">
        <v>14.9</v>
      </c>
      <c r="I109" s="62">
        <v>12.02</v>
      </c>
      <c r="J109" s="62">
        <v>19.11</v>
      </c>
      <c r="K109" s="62">
        <v>17.399999999999999</v>
      </c>
      <c r="L109" s="62">
        <v>15.49</v>
      </c>
      <c r="M109" s="62">
        <v>0.75</v>
      </c>
      <c r="N109" s="62">
        <v>15.78</v>
      </c>
      <c r="O109" s="62">
        <v>53.26</v>
      </c>
      <c r="P109" s="62">
        <v>2.65</v>
      </c>
      <c r="Q109" s="62">
        <v>15.96</v>
      </c>
      <c r="R109" s="62">
        <v>6.91</v>
      </c>
      <c r="S109" s="62">
        <v>79.790000000000006</v>
      </c>
      <c r="T109" s="62" t="s">
        <v>4982</v>
      </c>
      <c r="U109" s="63" t="s">
        <v>622</v>
      </c>
      <c r="V109" s="63" t="s">
        <v>495</v>
      </c>
    </row>
    <row r="110" spans="1:22" ht="15" customHeight="1" x14ac:dyDescent="0.25">
      <c r="A110" s="64" t="s">
        <v>5100</v>
      </c>
      <c r="B110" s="64" t="s">
        <v>2142</v>
      </c>
      <c r="C110" s="64" t="s">
        <v>4986</v>
      </c>
      <c r="D110" s="64" t="s">
        <v>4971</v>
      </c>
      <c r="E110" s="64">
        <v>20.75</v>
      </c>
      <c r="F110" s="64">
        <v>15.33</v>
      </c>
      <c r="G110" s="64">
        <v>-26.1</v>
      </c>
      <c r="H110" s="64">
        <v>6.4</v>
      </c>
      <c r="I110" s="64">
        <v>4.7300000000000004</v>
      </c>
      <c r="J110" s="64">
        <v>23.6</v>
      </c>
      <c r="K110" s="64">
        <v>25.34</v>
      </c>
      <c r="L110" s="64">
        <v>13</v>
      </c>
      <c r="M110" s="64">
        <v>0.6</v>
      </c>
      <c r="N110" s="64">
        <v>18.97</v>
      </c>
      <c r="O110" s="64">
        <v>55.31</v>
      </c>
      <c r="P110" s="64">
        <v>2.8</v>
      </c>
      <c r="Q110" s="64">
        <v>11.93</v>
      </c>
      <c r="R110" s="64">
        <v>5.38</v>
      </c>
      <c r="S110" s="64">
        <v>60.81</v>
      </c>
      <c r="T110" s="64" t="s">
        <v>4982</v>
      </c>
      <c r="U110" s="63" t="s">
        <v>622</v>
      </c>
      <c r="V110" s="63" t="s">
        <v>495</v>
      </c>
    </row>
    <row r="111" spans="1:22" ht="15" customHeight="1" x14ac:dyDescent="0.25">
      <c r="A111" s="62" t="s">
        <v>5101</v>
      </c>
      <c r="B111" s="62" t="s">
        <v>2144</v>
      </c>
      <c r="C111" s="62" t="s">
        <v>4977</v>
      </c>
      <c r="D111" s="62" t="s">
        <v>4987</v>
      </c>
      <c r="E111" s="62">
        <v>6.18</v>
      </c>
      <c r="F111" s="62">
        <v>6.46</v>
      </c>
      <c r="G111" s="62">
        <v>4.5</v>
      </c>
      <c r="H111" s="62">
        <v>16.600000000000001</v>
      </c>
      <c r="I111" s="62">
        <v>17.350000000000001</v>
      </c>
      <c r="J111" s="62">
        <v>22.73</v>
      </c>
      <c r="K111" s="62">
        <v>27.16</v>
      </c>
      <c r="L111" s="62">
        <v>10.74</v>
      </c>
      <c r="M111" s="62">
        <v>1.1100000000000001</v>
      </c>
      <c r="N111" s="62">
        <v>18.149999999999999</v>
      </c>
      <c r="O111" s="62">
        <v>64.180000000000007</v>
      </c>
      <c r="P111" s="62">
        <v>3.86</v>
      </c>
      <c r="Q111" s="62">
        <v>5.29</v>
      </c>
      <c r="R111" s="62">
        <v>16.649999999999999</v>
      </c>
      <c r="S111" s="62">
        <v>73.53</v>
      </c>
      <c r="T111" s="62" t="s">
        <v>4978</v>
      </c>
      <c r="U111" s="65" t="s">
        <v>590</v>
      </c>
      <c r="V111" s="65" t="s">
        <v>266</v>
      </c>
    </row>
    <row r="112" spans="1:22" ht="15" customHeight="1" x14ac:dyDescent="0.25">
      <c r="A112" s="64" t="s">
        <v>5102</v>
      </c>
      <c r="B112" s="64" t="s">
        <v>2141</v>
      </c>
      <c r="C112" s="64" t="s">
        <v>4998</v>
      </c>
      <c r="D112" s="64" t="s">
        <v>4999</v>
      </c>
      <c r="E112" s="64">
        <v>7.64</v>
      </c>
      <c r="F112" s="64">
        <v>5.82</v>
      </c>
      <c r="G112" s="64">
        <v>-23.8</v>
      </c>
      <c r="H112" s="64">
        <v>9.3000000000000007</v>
      </c>
      <c r="I112" s="64">
        <v>7.08</v>
      </c>
      <c r="J112" s="64">
        <v>22.84</v>
      </c>
      <c r="K112" s="64">
        <v>23.76</v>
      </c>
      <c r="L112" s="64">
        <v>10.98</v>
      </c>
      <c r="M112" s="64">
        <v>1.27</v>
      </c>
      <c r="N112" s="64">
        <v>13.97</v>
      </c>
      <c r="O112" s="64">
        <v>51.47</v>
      </c>
      <c r="P112" s="64">
        <v>2.92</v>
      </c>
      <c r="Q112" s="64">
        <v>7.16</v>
      </c>
      <c r="R112" s="64">
        <v>12.52</v>
      </c>
      <c r="S112" s="64">
        <v>89.1</v>
      </c>
      <c r="T112" s="64" t="s">
        <v>4982</v>
      </c>
      <c r="U112" s="63" t="s">
        <v>622</v>
      </c>
      <c r="V112" s="63" t="s">
        <v>495</v>
      </c>
    </row>
    <row r="113" spans="1:22" ht="15" customHeight="1" x14ac:dyDescent="0.25">
      <c r="A113" s="62" t="s">
        <v>5103</v>
      </c>
      <c r="B113" s="62" t="s">
        <v>2145</v>
      </c>
      <c r="C113" s="62" t="s">
        <v>4980</v>
      </c>
      <c r="D113" s="62" t="s">
        <v>4984</v>
      </c>
      <c r="E113" s="62">
        <v>20.010000000000002</v>
      </c>
      <c r="F113" s="62">
        <v>16.059999999999999</v>
      </c>
      <c r="G113" s="62">
        <v>-19.7</v>
      </c>
      <c r="H113" s="62">
        <v>17.2</v>
      </c>
      <c r="I113" s="62">
        <v>13.8</v>
      </c>
      <c r="J113" s="62">
        <v>20.98</v>
      </c>
      <c r="K113" s="62">
        <v>20.58</v>
      </c>
      <c r="L113" s="62">
        <v>15.48</v>
      </c>
      <c r="M113" s="62">
        <v>1.0900000000000001</v>
      </c>
      <c r="N113" s="62">
        <v>18.07</v>
      </c>
      <c r="O113" s="62">
        <v>57.61</v>
      </c>
      <c r="P113" s="62">
        <v>2.95</v>
      </c>
      <c r="Q113" s="62">
        <v>8.23</v>
      </c>
      <c r="R113" s="62">
        <v>15.67</v>
      </c>
      <c r="S113" s="62">
        <v>69.180000000000007</v>
      </c>
      <c r="T113" s="62" t="s">
        <v>4972</v>
      </c>
      <c r="U113" s="63" t="s">
        <v>622</v>
      </c>
      <c r="V113" s="63" t="s">
        <v>495</v>
      </c>
    </row>
    <row r="114" spans="1:22" ht="15" customHeight="1" x14ac:dyDescent="0.25">
      <c r="A114" s="64" t="s">
        <v>5104</v>
      </c>
      <c r="B114" s="64" t="s">
        <v>2136</v>
      </c>
      <c r="C114" s="64" t="s">
        <v>5013</v>
      </c>
      <c r="D114" s="64" t="s">
        <v>5004</v>
      </c>
      <c r="E114" s="64">
        <v>17.84</v>
      </c>
      <c r="F114" s="64">
        <v>18.75</v>
      </c>
      <c r="G114" s="64">
        <v>5.0999999999999996</v>
      </c>
      <c r="H114" s="64">
        <v>10.7</v>
      </c>
      <c r="I114" s="64">
        <v>11.25</v>
      </c>
      <c r="J114" s="64">
        <v>17.920000000000002</v>
      </c>
      <c r="K114" s="64">
        <v>17.52</v>
      </c>
      <c r="L114" s="64">
        <v>14.2</v>
      </c>
      <c r="M114" s="64">
        <v>0.95</v>
      </c>
      <c r="N114" s="64">
        <v>16.72</v>
      </c>
      <c r="O114" s="64">
        <v>53.23</v>
      </c>
      <c r="P114" s="64">
        <v>3.83</v>
      </c>
      <c r="Q114" s="64">
        <v>8.36</v>
      </c>
      <c r="R114" s="64">
        <v>9.27</v>
      </c>
      <c r="S114" s="64">
        <v>81</v>
      </c>
      <c r="T114" s="64" t="s">
        <v>4972</v>
      </c>
      <c r="U114" s="65" t="s">
        <v>590</v>
      </c>
      <c r="V114" s="65" t="s">
        <v>266</v>
      </c>
    </row>
    <row r="115" spans="1:22" ht="15" customHeight="1" x14ac:dyDescent="0.25">
      <c r="A115" s="62" t="s">
        <v>5105</v>
      </c>
      <c r="B115" s="62" t="s">
        <v>2142</v>
      </c>
      <c r="C115" s="62" t="s">
        <v>4994</v>
      </c>
      <c r="D115" s="62" t="s">
        <v>4999</v>
      </c>
      <c r="E115" s="62">
        <v>8.4</v>
      </c>
      <c r="F115" s="62">
        <v>9.18</v>
      </c>
      <c r="G115" s="62">
        <v>9.3000000000000007</v>
      </c>
      <c r="H115" s="62">
        <v>13.6</v>
      </c>
      <c r="I115" s="62">
        <v>14.86</v>
      </c>
      <c r="J115" s="62">
        <v>16.14</v>
      </c>
      <c r="K115" s="62">
        <v>18.899999999999999</v>
      </c>
      <c r="L115" s="62">
        <v>10.47</v>
      </c>
      <c r="M115" s="62">
        <v>1.1000000000000001</v>
      </c>
      <c r="N115" s="62">
        <v>17.309999999999999</v>
      </c>
      <c r="O115" s="62">
        <v>45.68</v>
      </c>
      <c r="P115" s="62">
        <v>3.63</v>
      </c>
      <c r="Q115" s="62">
        <v>7.92</v>
      </c>
      <c r="R115" s="62">
        <v>8.01</v>
      </c>
      <c r="S115" s="62">
        <v>94.02</v>
      </c>
      <c r="T115" s="62" t="s">
        <v>4982</v>
      </c>
      <c r="U115" s="65" t="s">
        <v>590</v>
      </c>
      <c r="V115" s="65" t="s">
        <v>266</v>
      </c>
    </row>
    <row r="116" spans="1:22" ht="15" customHeight="1" x14ac:dyDescent="0.25">
      <c r="A116" s="64" t="s">
        <v>5106</v>
      </c>
      <c r="B116" s="64" t="s">
        <v>2135</v>
      </c>
      <c r="C116" s="64" t="s">
        <v>4994</v>
      </c>
      <c r="D116" s="64" t="s">
        <v>4974</v>
      </c>
      <c r="E116" s="64">
        <v>18.14</v>
      </c>
      <c r="F116" s="64">
        <v>14.56</v>
      </c>
      <c r="G116" s="64">
        <v>-19.7</v>
      </c>
      <c r="H116" s="64">
        <v>15.3</v>
      </c>
      <c r="I116" s="64">
        <v>12.28</v>
      </c>
      <c r="J116" s="64">
        <v>20.329999999999998</v>
      </c>
      <c r="K116" s="64">
        <v>16.329999999999998</v>
      </c>
      <c r="L116" s="64">
        <v>8.4600000000000009</v>
      </c>
      <c r="M116" s="64">
        <v>1.06</v>
      </c>
      <c r="N116" s="64">
        <v>17.97</v>
      </c>
      <c r="O116" s="64">
        <v>50.31</v>
      </c>
      <c r="P116" s="64">
        <v>3.59</v>
      </c>
      <c r="Q116" s="64">
        <v>19.329999999999998</v>
      </c>
      <c r="R116" s="64">
        <v>16.239999999999998</v>
      </c>
      <c r="S116" s="64">
        <v>77.28</v>
      </c>
      <c r="T116" s="64" t="s">
        <v>4982</v>
      </c>
      <c r="U116" s="63" t="s">
        <v>622</v>
      </c>
      <c r="V116" s="63" t="s">
        <v>495</v>
      </c>
    </row>
    <row r="117" spans="1:22" ht="15" customHeight="1" x14ac:dyDescent="0.25">
      <c r="A117" s="62" t="s">
        <v>5107</v>
      </c>
      <c r="B117" s="62" t="s">
        <v>2137</v>
      </c>
      <c r="C117" s="62" t="s">
        <v>5013</v>
      </c>
      <c r="D117" s="62" t="s">
        <v>4992</v>
      </c>
      <c r="E117" s="62">
        <v>23.17</v>
      </c>
      <c r="F117" s="62">
        <v>17.27</v>
      </c>
      <c r="G117" s="62">
        <v>-25.5</v>
      </c>
      <c r="H117" s="62">
        <v>11</v>
      </c>
      <c r="I117" s="62">
        <v>8.1999999999999993</v>
      </c>
      <c r="J117" s="62">
        <v>24.75</v>
      </c>
      <c r="K117" s="62">
        <v>25.53</v>
      </c>
      <c r="L117" s="62">
        <v>15.1</v>
      </c>
      <c r="M117" s="62">
        <v>1.1599999999999999</v>
      </c>
      <c r="N117" s="62">
        <v>10.83</v>
      </c>
      <c r="O117" s="62">
        <v>45.5</v>
      </c>
      <c r="P117" s="62">
        <v>3.77</v>
      </c>
      <c r="Q117" s="62">
        <v>14.84</v>
      </c>
      <c r="R117" s="62">
        <v>17</v>
      </c>
      <c r="S117" s="62">
        <v>91.28</v>
      </c>
      <c r="T117" s="62" t="s">
        <v>4972</v>
      </c>
      <c r="U117" s="63" t="s">
        <v>622</v>
      </c>
      <c r="V117" s="63" t="s">
        <v>495</v>
      </c>
    </row>
    <row r="118" spans="1:22" ht="15" customHeight="1" x14ac:dyDescent="0.25">
      <c r="A118" s="64" t="s">
        <v>5108</v>
      </c>
      <c r="B118" s="64" t="s">
        <v>2139</v>
      </c>
      <c r="C118" s="64" t="s">
        <v>4989</v>
      </c>
      <c r="D118" s="64" t="s">
        <v>4971</v>
      </c>
      <c r="E118" s="64">
        <v>21.62</v>
      </c>
      <c r="F118" s="64">
        <v>19.64</v>
      </c>
      <c r="G118" s="64">
        <v>-9.1999999999999993</v>
      </c>
      <c r="H118" s="64">
        <v>11.3</v>
      </c>
      <c r="I118" s="64">
        <v>10.27</v>
      </c>
      <c r="J118" s="64">
        <v>16.190000000000001</v>
      </c>
      <c r="K118" s="64">
        <v>20.350000000000001</v>
      </c>
      <c r="L118" s="64">
        <v>17.989999999999998</v>
      </c>
      <c r="M118" s="64">
        <v>1.25</v>
      </c>
      <c r="N118" s="64">
        <v>10.72</v>
      </c>
      <c r="O118" s="64">
        <v>57.42</v>
      </c>
      <c r="P118" s="64">
        <v>2.56</v>
      </c>
      <c r="Q118" s="64">
        <v>9.3800000000000008</v>
      </c>
      <c r="R118" s="64">
        <v>6.59</v>
      </c>
      <c r="S118" s="64">
        <v>89.6</v>
      </c>
      <c r="T118" s="64" t="s">
        <v>4982</v>
      </c>
      <c r="U118" s="66" t="s">
        <v>579</v>
      </c>
      <c r="V118" s="66" t="s">
        <v>321</v>
      </c>
    </row>
    <row r="119" spans="1:22" ht="15" customHeight="1" x14ac:dyDescent="0.25">
      <c r="A119" s="62" t="s">
        <v>5109</v>
      </c>
      <c r="B119" s="62" t="s">
        <v>2135</v>
      </c>
      <c r="C119" s="62" t="s">
        <v>4989</v>
      </c>
      <c r="D119" s="62" t="s">
        <v>4984</v>
      </c>
      <c r="E119" s="62">
        <v>11.05</v>
      </c>
      <c r="F119" s="62">
        <v>9.18</v>
      </c>
      <c r="G119" s="62">
        <v>-16.899999999999999</v>
      </c>
      <c r="H119" s="62">
        <v>7.3</v>
      </c>
      <c r="I119" s="62">
        <v>6.06</v>
      </c>
      <c r="J119" s="62">
        <v>15.6</v>
      </c>
      <c r="K119" s="62">
        <v>13.79</v>
      </c>
      <c r="L119" s="62">
        <v>8.75</v>
      </c>
      <c r="M119" s="62">
        <v>0.56000000000000005</v>
      </c>
      <c r="N119" s="62">
        <v>14.78</v>
      </c>
      <c r="O119" s="62">
        <v>64.69</v>
      </c>
      <c r="P119" s="62">
        <v>2.64</v>
      </c>
      <c r="Q119" s="62">
        <v>17.559999999999999</v>
      </c>
      <c r="R119" s="62">
        <v>17.07</v>
      </c>
      <c r="S119" s="62">
        <v>63.49</v>
      </c>
      <c r="T119" s="62" t="s">
        <v>4975</v>
      </c>
      <c r="U119" s="63" t="s">
        <v>622</v>
      </c>
      <c r="V119" s="63" t="s">
        <v>495</v>
      </c>
    </row>
    <row r="120" spans="1:22" ht="15" customHeight="1" x14ac:dyDescent="0.25">
      <c r="A120" s="64" t="s">
        <v>5110</v>
      </c>
      <c r="B120" s="64" t="s">
        <v>2145</v>
      </c>
      <c r="C120" s="64" t="s">
        <v>5013</v>
      </c>
      <c r="D120" s="64" t="s">
        <v>4984</v>
      </c>
      <c r="E120" s="64">
        <v>20.74</v>
      </c>
      <c r="F120" s="64">
        <v>15.54</v>
      </c>
      <c r="G120" s="64">
        <v>-25.1</v>
      </c>
      <c r="H120" s="64">
        <v>15.5</v>
      </c>
      <c r="I120" s="64">
        <v>11.61</v>
      </c>
      <c r="J120" s="64">
        <v>15.86</v>
      </c>
      <c r="K120" s="64">
        <v>15.82</v>
      </c>
      <c r="L120" s="64">
        <v>10.029999999999999</v>
      </c>
      <c r="M120" s="64">
        <v>0.64</v>
      </c>
      <c r="N120" s="64">
        <v>17.05</v>
      </c>
      <c r="O120" s="64">
        <v>56.66</v>
      </c>
      <c r="P120" s="64">
        <v>2.96</v>
      </c>
      <c r="Q120" s="64">
        <v>17.71</v>
      </c>
      <c r="R120" s="64">
        <v>5.21</v>
      </c>
      <c r="S120" s="64">
        <v>64.739999999999995</v>
      </c>
      <c r="T120" s="64" t="s">
        <v>4975</v>
      </c>
      <c r="U120" s="63" t="s">
        <v>622</v>
      </c>
      <c r="V120" s="63" t="s">
        <v>495</v>
      </c>
    </row>
    <row r="121" spans="1:22" ht="15" customHeight="1" x14ac:dyDescent="0.25">
      <c r="A121" s="62" t="s">
        <v>5111</v>
      </c>
      <c r="B121" s="62" t="s">
        <v>2141</v>
      </c>
      <c r="C121" s="62" t="s">
        <v>4970</v>
      </c>
      <c r="D121" s="62" t="s">
        <v>5004</v>
      </c>
      <c r="E121" s="62">
        <v>24.41</v>
      </c>
      <c r="F121" s="62">
        <v>23.44</v>
      </c>
      <c r="G121" s="62">
        <v>-4</v>
      </c>
      <c r="H121" s="62">
        <v>17</v>
      </c>
      <c r="I121" s="62">
        <v>16.32</v>
      </c>
      <c r="J121" s="62">
        <v>15.88</v>
      </c>
      <c r="K121" s="62">
        <v>11.8</v>
      </c>
      <c r="L121" s="62">
        <v>9.33</v>
      </c>
      <c r="M121" s="62">
        <v>1.03</v>
      </c>
      <c r="N121" s="62">
        <v>18.510000000000002</v>
      </c>
      <c r="O121" s="62">
        <v>50.98</v>
      </c>
      <c r="P121" s="62">
        <v>2.71</v>
      </c>
      <c r="Q121" s="62">
        <v>12.27</v>
      </c>
      <c r="R121" s="62">
        <v>14.06</v>
      </c>
      <c r="S121" s="62">
        <v>87.04</v>
      </c>
      <c r="T121" s="62" t="s">
        <v>4982</v>
      </c>
      <c r="U121" s="65" t="s">
        <v>590</v>
      </c>
      <c r="V121" s="65" t="s">
        <v>266</v>
      </c>
    </row>
    <row r="122" spans="1:22" ht="15" customHeight="1" x14ac:dyDescent="0.25">
      <c r="A122" s="64" t="s">
        <v>5112</v>
      </c>
      <c r="B122" s="64" t="s">
        <v>2137</v>
      </c>
      <c r="C122" s="64" t="s">
        <v>5009</v>
      </c>
      <c r="D122" s="64" t="s">
        <v>4971</v>
      </c>
      <c r="E122" s="64">
        <v>12.37</v>
      </c>
      <c r="F122" s="64">
        <v>11.01</v>
      </c>
      <c r="G122" s="64">
        <v>-11</v>
      </c>
      <c r="H122" s="64">
        <v>17.899999999999999</v>
      </c>
      <c r="I122" s="64">
        <v>15.93</v>
      </c>
      <c r="J122" s="64">
        <v>16.88</v>
      </c>
      <c r="K122" s="64">
        <v>12.6</v>
      </c>
      <c r="L122" s="64">
        <v>13.54</v>
      </c>
      <c r="M122" s="64">
        <v>1.46</v>
      </c>
      <c r="N122" s="64">
        <v>10.38</v>
      </c>
      <c r="O122" s="64">
        <v>57.74</v>
      </c>
      <c r="P122" s="64">
        <v>2.95</v>
      </c>
      <c r="Q122" s="64">
        <v>19.559999999999999</v>
      </c>
      <c r="R122" s="64">
        <v>13.55</v>
      </c>
      <c r="S122" s="64">
        <v>73.260000000000005</v>
      </c>
      <c r="T122" s="64" t="s">
        <v>4978</v>
      </c>
      <c r="U122" s="66" t="s">
        <v>579</v>
      </c>
      <c r="V122" s="66" t="s">
        <v>321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0" sqref="C20"/>
    </sheetView>
  </sheetViews>
  <sheetFormatPr defaultColWidth="8.7109375" defaultRowHeight="15" x14ac:dyDescent="0.25"/>
  <cols>
    <col min="1" max="1" width="8" customWidth="1"/>
    <col min="2" max="2" width="6.140625" customWidth="1"/>
    <col min="3" max="3" width="12.42578125" customWidth="1"/>
    <col min="4" max="4" width="29" customWidth="1"/>
    <col min="5" max="5" width="9.28515625" customWidth="1"/>
    <col min="6" max="6" width="12.28515625" customWidth="1"/>
    <col min="7" max="7" width="12.7109375" customWidth="1"/>
    <col min="8" max="8" width="12.28515625" customWidth="1"/>
    <col min="9" max="9" width="12.7109375" customWidth="1"/>
    <col min="10" max="10" width="14" customWidth="1"/>
    <col min="11" max="11" width="11.85546875" customWidth="1"/>
    <col min="12" max="12" width="11.7109375" customWidth="1"/>
    <col min="13" max="13" width="16.85546875" customWidth="1"/>
    <col min="14" max="14" width="15.28515625" customWidth="1"/>
    <col min="15" max="15" width="38" customWidth="1"/>
    <col min="16" max="16" width="16" customWidth="1"/>
    <col min="17" max="17" width="15.42578125" customWidth="1"/>
  </cols>
  <sheetData>
    <row r="1" spans="1:17" ht="37.5" customHeight="1" x14ac:dyDescent="0.25">
      <c r="A1" s="141" t="s">
        <v>5113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40"/>
    </row>
    <row r="2" spans="1:17" ht="15" customHeight="1" x14ac:dyDescent="0.25">
      <c r="A2" s="69" t="s">
        <v>5114</v>
      </c>
      <c r="B2" s="69" t="s">
        <v>175</v>
      </c>
      <c r="C2" s="69" t="s">
        <v>5115</v>
      </c>
      <c r="D2" s="69" t="s">
        <v>5116</v>
      </c>
      <c r="E2" s="69" t="s">
        <v>2</v>
      </c>
      <c r="F2" s="69" t="s">
        <v>5117</v>
      </c>
      <c r="G2" s="69" t="s">
        <v>5118</v>
      </c>
      <c r="H2" s="69" t="s">
        <v>5119</v>
      </c>
      <c r="I2" s="69" t="s">
        <v>5120</v>
      </c>
      <c r="J2" s="69" t="s">
        <v>5121</v>
      </c>
      <c r="K2" s="69" t="s">
        <v>5122</v>
      </c>
      <c r="L2" s="69" t="s">
        <v>213</v>
      </c>
      <c r="M2" s="69" t="s">
        <v>5123</v>
      </c>
      <c r="N2" s="69" t="s">
        <v>5124</v>
      </c>
      <c r="O2" s="69" t="s">
        <v>5125</v>
      </c>
      <c r="P2" s="69" t="s">
        <v>5126</v>
      </c>
      <c r="Q2" s="69" t="s">
        <v>5127</v>
      </c>
    </row>
    <row r="3" spans="1:17" ht="15" customHeight="1" x14ac:dyDescent="0.25">
      <c r="A3" s="62" t="s">
        <v>5128</v>
      </c>
      <c r="B3" s="62" t="s">
        <v>5129</v>
      </c>
      <c r="C3" s="62" t="s">
        <v>5130</v>
      </c>
      <c r="D3" s="70" t="s">
        <v>221</v>
      </c>
      <c r="E3" s="62" t="s">
        <v>98</v>
      </c>
      <c r="F3" s="62" t="s">
        <v>5131</v>
      </c>
      <c r="G3" s="62" t="s">
        <v>5132</v>
      </c>
      <c r="H3" s="62" t="s">
        <v>5132</v>
      </c>
      <c r="I3" s="62" t="s">
        <v>5133</v>
      </c>
      <c r="J3" s="62" t="s">
        <v>315</v>
      </c>
      <c r="K3" s="62" t="s">
        <v>5134</v>
      </c>
      <c r="L3" s="62" t="s">
        <v>226</v>
      </c>
      <c r="M3" s="62" t="s">
        <v>5135</v>
      </c>
      <c r="N3" s="62" t="s">
        <v>5136</v>
      </c>
      <c r="O3" s="70" t="s">
        <v>5137</v>
      </c>
      <c r="P3" s="62" t="s">
        <v>5138</v>
      </c>
      <c r="Q3" s="62" t="s">
        <v>238</v>
      </c>
    </row>
    <row r="4" spans="1:17" ht="15" customHeight="1" x14ac:dyDescent="0.25">
      <c r="A4" s="64" t="s">
        <v>5139</v>
      </c>
      <c r="B4" s="64" t="s">
        <v>5129</v>
      </c>
      <c r="C4" s="64" t="s">
        <v>5130</v>
      </c>
      <c r="D4" s="71" t="s">
        <v>229</v>
      </c>
      <c r="E4" s="64" t="s">
        <v>98</v>
      </c>
      <c r="F4" s="64" t="s">
        <v>5131</v>
      </c>
      <c r="G4" s="64" t="s">
        <v>5140</v>
      </c>
      <c r="H4" s="64" t="s">
        <v>5140</v>
      </c>
      <c r="I4" s="64" t="s">
        <v>5141</v>
      </c>
      <c r="J4" s="64" t="s">
        <v>5142</v>
      </c>
      <c r="K4" s="64" t="s">
        <v>5134</v>
      </c>
      <c r="L4" s="64" t="s">
        <v>226</v>
      </c>
      <c r="M4" s="64" t="s">
        <v>5135</v>
      </c>
      <c r="N4" s="64" t="s">
        <v>5136</v>
      </c>
      <c r="O4" s="71" t="s">
        <v>5143</v>
      </c>
      <c r="P4" s="64" t="s">
        <v>5138</v>
      </c>
      <c r="Q4" s="64" t="s">
        <v>238</v>
      </c>
    </row>
    <row r="5" spans="1:17" ht="15" customHeight="1" x14ac:dyDescent="0.25">
      <c r="A5" s="62" t="s">
        <v>5144</v>
      </c>
      <c r="B5" s="62" t="s">
        <v>5129</v>
      </c>
      <c r="C5" s="62" t="s">
        <v>5130</v>
      </c>
      <c r="D5" s="70" t="s">
        <v>241</v>
      </c>
      <c r="E5" s="62" t="s">
        <v>98</v>
      </c>
      <c r="F5" s="62" t="s">
        <v>5131</v>
      </c>
      <c r="G5" s="62" t="s">
        <v>5141</v>
      </c>
      <c r="H5" s="62" t="s">
        <v>5141</v>
      </c>
      <c r="I5" s="62" t="s">
        <v>5132</v>
      </c>
      <c r="J5" s="62" t="s">
        <v>280</v>
      </c>
      <c r="K5" s="62" t="s">
        <v>5134</v>
      </c>
      <c r="L5" s="62" t="s">
        <v>226</v>
      </c>
      <c r="M5" s="62" t="s">
        <v>246</v>
      </c>
      <c r="N5" s="62" t="s">
        <v>422</v>
      </c>
      <c r="O5" s="70" t="s">
        <v>5145</v>
      </c>
      <c r="P5" s="62" t="s">
        <v>5138</v>
      </c>
      <c r="Q5" s="62" t="s">
        <v>226</v>
      </c>
    </row>
    <row r="6" spans="1:17" ht="15" customHeight="1" x14ac:dyDescent="0.25">
      <c r="A6" s="64" t="s">
        <v>5146</v>
      </c>
      <c r="B6" s="64" t="s">
        <v>5129</v>
      </c>
      <c r="C6" s="64" t="s">
        <v>5130</v>
      </c>
      <c r="D6" s="71" t="s">
        <v>247</v>
      </c>
      <c r="E6" s="64" t="s">
        <v>98</v>
      </c>
      <c r="F6" s="64" t="s">
        <v>5131</v>
      </c>
      <c r="G6" s="64" t="s">
        <v>5147</v>
      </c>
      <c r="H6" s="64" t="s">
        <v>5147</v>
      </c>
      <c r="I6" s="64" t="s">
        <v>5140</v>
      </c>
      <c r="J6" s="64" t="s">
        <v>387</v>
      </c>
      <c r="K6" s="64" t="s">
        <v>5134</v>
      </c>
      <c r="L6" s="64" t="s">
        <v>226</v>
      </c>
      <c r="M6" s="64" t="s">
        <v>246</v>
      </c>
      <c r="N6" s="64" t="s">
        <v>422</v>
      </c>
      <c r="O6" s="71" t="s">
        <v>5148</v>
      </c>
      <c r="P6" s="64" t="s">
        <v>5138</v>
      </c>
      <c r="Q6" s="64" t="s">
        <v>226</v>
      </c>
    </row>
    <row r="7" spans="1:17" ht="15" customHeight="1" x14ac:dyDescent="0.25">
      <c r="A7" s="62" t="s">
        <v>5149</v>
      </c>
      <c r="B7" s="62" t="s">
        <v>5129</v>
      </c>
      <c r="C7" s="62" t="s">
        <v>5130</v>
      </c>
      <c r="D7" s="70" t="s">
        <v>251</v>
      </c>
      <c r="E7" s="62" t="s">
        <v>98</v>
      </c>
      <c r="F7" s="62" t="s">
        <v>5131</v>
      </c>
      <c r="G7" s="62" t="s">
        <v>5150</v>
      </c>
      <c r="H7" s="62" t="s">
        <v>5150</v>
      </c>
      <c r="I7" s="62" t="s">
        <v>5147</v>
      </c>
      <c r="J7" s="62" t="s">
        <v>5151</v>
      </c>
      <c r="K7" s="62" t="s">
        <v>5134</v>
      </c>
      <c r="L7" s="62" t="s">
        <v>226</v>
      </c>
      <c r="M7" s="62" t="s">
        <v>246</v>
      </c>
      <c r="N7" s="62" t="s">
        <v>422</v>
      </c>
      <c r="O7" s="70" t="s">
        <v>5152</v>
      </c>
      <c r="P7" s="62" t="s">
        <v>5138</v>
      </c>
      <c r="Q7" s="62" t="s">
        <v>226</v>
      </c>
    </row>
    <row r="8" spans="1:17" ht="15" customHeight="1" x14ac:dyDescent="0.25">
      <c r="A8" s="64" t="s">
        <v>5153</v>
      </c>
      <c r="B8" s="64" t="s">
        <v>5129</v>
      </c>
      <c r="C8" s="64" t="s">
        <v>5130</v>
      </c>
      <c r="D8" s="71" t="s">
        <v>5154</v>
      </c>
      <c r="E8" s="64" t="s">
        <v>98</v>
      </c>
      <c r="F8" s="64" t="s">
        <v>5155</v>
      </c>
      <c r="G8" s="64" t="s">
        <v>5156</v>
      </c>
      <c r="H8" s="64" t="s">
        <v>5157</v>
      </c>
      <c r="I8" s="64" t="s">
        <v>5155</v>
      </c>
      <c r="J8" s="64" t="s">
        <v>5158</v>
      </c>
      <c r="K8" s="64" t="s">
        <v>5159</v>
      </c>
      <c r="L8" s="64" t="s">
        <v>238</v>
      </c>
      <c r="M8" s="64" t="s">
        <v>261</v>
      </c>
      <c r="N8" s="64" t="s">
        <v>422</v>
      </c>
      <c r="O8" s="71" t="s">
        <v>5160</v>
      </c>
      <c r="P8" s="64" t="s">
        <v>5138</v>
      </c>
      <c r="Q8" s="64" t="s">
        <v>238</v>
      </c>
    </row>
    <row r="9" spans="1:17" ht="15" customHeight="1" x14ac:dyDescent="0.25">
      <c r="A9" s="62" t="s">
        <v>5161</v>
      </c>
      <c r="B9" s="62" t="s">
        <v>5129</v>
      </c>
      <c r="C9" s="62" t="s">
        <v>5130</v>
      </c>
      <c r="D9" s="70" t="s">
        <v>5162</v>
      </c>
      <c r="E9" s="62" t="s">
        <v>98</v>
      </c>
      <c r="F9" s="62" t="s">
        <v>5131</v>
      </c>
      <c r="G9" s="62" t="s">
        <v>5140</v>
      </c>
      <c r="H9" s="62" t="s">
        <v>5140</v>
      </c>
      <c r="I9" s="62" t="s">
        <v>5141</v>
      </c>
      <c r="J9" s="62" t="s">
        <v>5142</v>
      </c>
      <c r="K9" s="62" t="s">
        <v>5134</v>
      </c>
      <c r="L9" s="62" t="s">
        <v>238</v>
      </c>
      <c r="M9" s="62" t="s">
        <v>283</v>
      </c>
      <c r="N9" s="62" t="s">
        <v>125</v>
      </c>
      <c r="O9" s="70" t="s">
        <v>5163</v>
      </c>
      <c r="P9" s="62" t="s">
        <v>5138</v>
      </c>
      <c r="Q9" s="62" t="s">
        <v>238</v>
      </c>
    </row>
    <row r="10" spans="1:17" ht="15" customHeight="1" x14ac:dyDescent="0.25">
      <c r="A10" s="64" t="s">
        <v>5164</v>
      </c>
      <c r="B10" s="64" t="s">
        <v>5129</v>
      </c>
      <c r="C10" s="64" t="s">
        <v>5130</v>
      </c>
      <c r="D10" s="71" t="s">
        <v>262</v>
      </c>
      <c r="E10" s="64" t="s">
        <v>98</v>
      </c>
      <c r="F10" s="64" t="s">
        <v>5165</v>
      </c>
      <c r="G10" s="64" t="s">
        <v>5156</v>
      </c>
      <c r="H10" s="64" t="s">
        <v>5166</v>
      </c>
      <c r="I10" s="64" t="s">
        <v>5165</v>
      </c>
      <c r="J10" s="64" t="s">
        <v>517</v>
      </c>
      <c r="K10" s="64" t="s">
        <v>5159</v>
      </c>
      <c r="L10" s="64" t="s">
        <v>238</v>
      </c>
      <c r="M10" s="64" t="s">
        <v>268</v>
      </c>
      <c r="N10" s="64" t="s">
        <v>39</v>
      </c>
      <c r="O10" s="71" t="s">
        <v>5167</v>
      </c>
      <c r="P10" s="64" t="s">
        <v>5168</v>
      </c>
      <c r="Q10" s="64" t="s">
        <v>238</v>
      </c>
    </row>
    <row r="11" spans="1:17" ht="15" customHeight="1" x14ac:dyDescent="0.25">
      <c r="A11" s="62" t="s">
        <v>5169</v>
      </c>
      <c r="B11" s="62" t="s">
        <v>5129</v>
      </c>
      <c r="C11" s="62" t="s">
        <v>5170</v>
      </c>
      <c r="D11" s="70" t="s">
        <v>5171</v>
      </c>
      <c r="E11" s="62" t="s">
        <v>98</v>
      </c>
      <c r="F11" s="62" t="s">
        <v>5131</v>
      </c>
      <c r="G11" s="62" t="s">
        <v>5172</v>
      </c>
      <c r="H11" s="62" t="s">
        <v>5172</v>
      </c>
      <c r="I11" s="62" t="s">
        <v>5173</v>
      </c>
      <c r="J11" s="62" t="s">
        <v>324</v>
      </c>
      <c r="K11" s="62" t="s">
        <v>5134</v>
      </c>
      <c r="L11" s="62" t="s">
        <v>288</v>
      </c>
      <c r="M11" s="62" t="s">
        <v>276</v>
      </c>
      <c r="N11" s="62" t="s">
        <v>5174</v>
      </c>
      <c r="O11" s="70" t="s">
        <v>5175</v>
      </c>
      <c r="P11" s="62" t="s">
        <v>5176</v>
      </c>
      <c r="Q11" s="62" t="s">
        <v>226</v>
      </c>
    </row>
    <row r="12" spans="1:17" ht="15" customHeight="1" x14ac:dyDescent="0.25">
      <c r="A12" s="64" t="s">
        <v>5177</v>
      </c>
      <c r="B12" s="64" t="s">
        <v>5129</v>
      </c>
      <c r="C12" s="64" t="s">
        <v>5170</v>
      </c>
      <c r="D12" s="71" t="s">
        <v>5178</v>
      </c>
      <c r="E12" s="64" t="s">
        <v>5179</v>
      </c>
      <c r="F12" s="64" t="s">
        <v>5131</v>
      </c>
      <c r="G12" s="64" t="s">
        <v>5180</v>
      </c>
      <c r="H12" s="64" t="s">
        <v>5180</v>
      </c>
      <c r="I12" s="64" t="s">
        <v>5181</v>
      </c>
      <c r="J12" s="64" t="s">
        <v>5182</v>
      </c>
      <c r="K12" s="64" t="s">
        <v>5134</v>
      </c>
      <c r="L12" s="64" t="s">
        <v>288</v>
      </c>
      <c r="M12" s="64" t="s">
        <v>5183</v>
      </c>
      <c r="N12" s="64" t="s">
        <v>5174</v>
      </c>
      <c r="O12" s="71" t="s">
        <v>5184</v>
      </c>
      <c r="P12" s="64" t="s">
        <v>5176</v>
      </c>
      <c r="Q12" s="64" t="s">
        <v>226</v>
      </c>
    </row>
    <row r="13" spans="1:17" ht="15" customHeight="1" x14ac:dyDescent="0.25">
      <c r="A13" s="62" t="s">
        <v>5185</v>
      </c>
      <c r="B13" s="62" t="s">
        <v>5129</v>
      </c>
      <c r="C13" s="62" t="s">
        <v>5170</v>
      </c>
      <c r="D13" s="70" t="s">
        <v>5186</v>
      </c>
      <c r="E13" s="62" t="s">
        <v>5179</v>
      </c>
      <c r="F13" s="62" t="s">
        <v>5131</v>
      </c>
      <c r="G13" s="62" t="s">
        <v>5187</v>
      </c>
      <c r="H13" s="62" t="s">
        <v>5187</v>
      </c>
      <c r="I13" s="62" t="s">
        <v>5188</v>
      </c>
      <c r="J13" s="62" t="s">
        <v>273</v>
      </c>
      <c r="K13" s="62" t="s">
        <v>5134</v>
      </c>
      <c r="L13" s="62" t="s">
        <v>274</v>
      </c>
      <c r="M13" s="62" t="s">
        <v>276</v>
      </c>
      <c r="N13" s="62" t="s">
        <v>5174</v>
      </c>
      <c r="O13" s="70" t="s">
        <v>5189</v>
      </c>
      <c r="P13" s="62" t="s">
        <v>5176</v>
      </c>
      <c r="Q13" s="62" t="s">
        <v>238</v>
      </c>
    </row>
    <row r="14" spans="1:17" ht="15" customHeight="1" x14ac:dyDescent="0.25">
      <c r="A14" s="64" t="s">
        <v>5190</v>
      </c>
      <c r="B14" s="64" t="s">
        <v>5129</v>
      </c>
      <c r="C14" s="64" t="s">
        <v>5170</v>
      </c>
      <c r="D14" s="71" t="s">
        <v>5191</v>
      </c>
      <c r="E14" s="64" t="s">
        <v>5179</v>
      </c>
      <c r="F14" s="64" t="s">
        <v>5131</v>
      </c>
      <c r="G14" s="64" t="s">
        <v>5156</v>
      </c>
      <c r="H14" s="64" t="s">
        <v>5156</v>
      </c>
      <c r="I14" s="64" t="s">
        <v>5192</v>
      </c>
      <c r="J14" s="64" t="s">
        <v>293</v>
      </c>
      <c r="K14" s="64" t="s">
        <v>5134</v>
      </c>
      <c r="L14" s="64" t="s">
        <v>288</v>
      </c>
      <c r="M14" s="64" t="s">
        <v>5193</v>
      </c>
      <c r="N14" s="64" t="s">
        <v>5194</v>
      </c>
      <c r="O14" s="71" t="s">
        <v>5195</v>
      </c>
      <c r="P14" s="64" t="s">
        <v>5196</v>
      </c>
      <c r="Q14" s="64" t="s">
        <v>226</v>
      </c>
    </row>
    <row r="15" spans="1:17" ht="15" customHeight="1" x14ac:dyDescent="0.25">
      <c r="A15" s="62" t="s">
        <v>5197</v>
      </c>
      <c r="B15" s="62" t="s">
        <v>5129</v>
      </c>
      <c r="C15" s="62" t="s">
        <v>5198</v>
      </c>
      <c r="D15" s="70" t="s">
        <v>5199</v>
      </c>
      <c r="E15" s="62" t="s">
        <v>98</v>
      </c>
      <c r="F15" s="62" t="s">
        <v>5131</v>
      </c>
      <c r="G15" s="62" t="s">
        <v>5200</v>
      </c>
      <c r="H15" s="62" t="s">
        <v>5200</v>
      </c>
      <c r="I15" s="62" t="s">
        <v>5201</v>
      </c>
      <c r="J15" s="62" t="s">
        <v>5202</v>
      </c>
      <c r="K15" s="62" t="s">
        <v>5134</v>
      </c>
      <c r="L15" s="62" t="s">
        <v>238</v>
      </c>
      <c r="M15" s="62" t="s">
        <v>5203</v>
      </c>
      <c r="N15" s="62" t="s">
        <v>65</v>
      </c>
      <c r="O15" s="70" t="s">
        <v>5204</v>
      </c>
      <c r="P15" s="62" t="s">
        <v>5205</v>
      </c>
      <c r="Q15" s="62" t="s">
        <v>238</v>
      </c>
    </row>
    <row r="16" spans="1:17" ht="15" customHeight="1" x14ac:dyDescent="0.25">
      <c r="A16" s="64" t="s">
        <v>5206</v>
      </c>
      <c r="B16" s="64" t="s">
        <v>5129</v>
      </c>
      <c r="C16" s="64" t="s">
        <v>5198</v>
      </c>
      <c r="D16" s="71" t="s">
        <v>5207</v>
      </c>
      <c r="E16" s="64" t="s">
        <v>157</v>
      </c>
      <c r="F16" s="64" t="s">
        <v>5131</v>
      </c>
      <c r="G16" s="64" t="s">
        <v>5208</v>
      </c>
      <c r="H16" s="64" t="s">
        <v>5208</v>
      </c>
      <c r="I16" s="64" t="s">
        <v>5209</v>
      </c>
      <c r="J16" s="64" t="s">
        <v>309</v>
      </c>
      <c r="K16" s="64" t="s">
        <v>5134</v>
      </c>
      <c r="L16" s="64" t="s">
        <v>311</v>
      </c>
      <c r="M16" s="64" t="s">
        <v>283</v>
      </c>
      <c r="N16" s="64" t="s">
        <v>74</v>
      </c>
      <c r="O16" s="71" t="s">
        <v>5210</v>
      </c>
      <c r="P16" s="64" t="s">
        <v>5205</v>
      </c>
      <c r="Q16" s="64" t="s">
        <v>447</v>
      </c>
    </row>
    <row r="17" spans="1:17" ht="15" customHeight="1" x14ac:dyDescent="0.25">
      <c r="A17" s="62" t="s">
        <v>5211</v>
      </c>
      <c r="B17" s="62" t="s">
        <v>5129</v>
      </c>
      <c r="C17" s="62" t="s">
        <v>5198</v>
      </c>
      <c r="D17" s="70" t="s">
        <v>70</v>
      </c>
      <c r="E17" s="62" t="s">
        <v>71</v>
      </c>
      <c r="F17" s="62" t="s">
        <v>5131</v>
      </c>
      <c r="G17" s="62" t="s">
        <v>5141</v>
      </c>
      <c r="H17" s="62" t="s">
        <v>5141</v>
      </c>
      <c r="I17" s="62" t="s">
        <v>5133</v>
      </c>
      <c r="J17" s="62" t="s">
        <v>315</v>
      </c>
      <c r="K17" s="62" t="s">
        <v>5134</v>
      </c>
      <c r="L17" s="62" t="s">
        <v>226</v>
      </c>
      <c r="M17" s="62" t="s">
        <v>283</v>
      </c>
      <c r="N17" s="62" t="s">
        <v>65</v>
      </c>
      <c r="O17" s="70" t="s">
        <v>5212</v>
      </c>
      <c r="P17" s="62" t="s">
        <v>5205</v>
      </c>
      <c r="Q17" s="62" t="s">
        <v>226</v>
      </c>
    </row>
    <row r="18" spans="1:17" ht="15" customHeight="1" x14ac:dyDescent="0.25">
      <c r="A18" s="64" t="s">
        <v>5213</v>
      </c>
      <c r="B18" s="64" t="s">
        <v>5129</v>
      </c>
      <c r="C18" s="64" t="s">
        <v>5214</v>
      </c>
      <c r="D18" s="71" t="s">
        <v>5215</v>
      </c>
      <c r="E18" s="64" t="s">
        <v>98</v>
      </c>
      <c r="F18" s="64" t="s">
        <v>5216</v>
      </c>
      <c r="G18" s="64" t="s">
        <v>5217</v>
      </c>
      <c r="H18" s="64" t="s">
        <v>5218</v>
      </c>
      <c r="I18" s="64" t="s">
        <v>5216</v>
      </c>
      <c r="J18" s="64" t="s">
        <v>5219</v>
      </c>
      <c r="K18" s="64" t="s">
        <v>5159</v>
      </c>
      <c r="L18" s="64" t="s">
        <v>238</v>
      </c>
      <c r="M18" s="64" t="s">
        <v>5220</v>
      </c>
      <c r="N18" s="64" t="s">
        <v>79</v>
      </c>
      <c r="O18" s="71" t="s">
        <v>5221</v>
      </c>
      <c r="P18" s="64" t="s">
        <v>5222</v>
      </c>
      <c r="Q18" s="64" t="s">
        <v>238</v>
      </c>
    </row>
    <row r="19" spans="1:17" ht="15" customHeight="1" x14ac:dyDescent="0.25">
      <c r="A19" s="62" t="s">
        <v>5223</v>
      </c>
      <c r="B19" s="62" t="s">
        <v>5129</v>
      </c>
      <c r="C19" s="62" t="s">
        <v>5214</v>
      </c>
      <c r="D19" s="70" t="s">
        <v>336</v>
      </c>
      <c r="E19" s="62" t="s">
        <v>98</v>
      </c>
      <c r="F19" s="62" t="s">
        <v>5224</v>
      </c>
      <c r="G19" s="62" t="s">
        <v>5217</v>
      </c>
      <c r="H19" s="62" t="s">
        <v>5225</v>
      </c>
      <c r="I19" s="62" t="s">
        <v>5224</v>
      </c>
      <c r="J19" s="62" t="s">
        <v>5226</v>
      </c>
      <c r="K19" s="62" t="s">
        <v>5159</v>
      </c>
      <c r="L19" s="62" t="s">
        <v>238</v>
      </c>
      <c r="M19" s="62" t="s">
        <v>276</v>
      </c>
      <c r="N19" s="62" t="s">
        <v>79</v>
      </c>
      <c r="O19" s="70" t="s">
        <v>5227</v>
      </c>
      <c r="P19" s="62" t="s">
        <v>5222</v>
      </c>
      <c r="Q19" s="62" t="s">
        <v>238</v>
      </c>
    </row>
    <row r="20" spans="1:17" ht="15" customHeight="1" x14ac:dyDescent="0.25">
      <c r="A20" s="64" t="s">
        <v>5228</v>
      </c>
      <c r="B20" s="64" t="s">
        <v>5129</v>
      </c>
      <c r="C20" s="64" t="s">
        <v>5214</v>
      </c>
      <c r="D20" s="71" t="s">
        <v>5229</v>
      </c>
      <c r="E20" s="64" t="s">
        <v>98</v>
      </c>
      <c r="F20" s="64" t="s">
        <v>5230</v>
      </c>
      <c r="G20" s="64" t="s">
        <v>5217</v>
      </c>
      <c r="H20" s="64" t="s">
        <v>5231</v>
      </c>
      <c r="I20" s="64" t="s">
        <v>5230</v>
      </c>
      <c r="J20" s="64" t="s">
        <v>318</v>
      </c>
      <c r="K20" s="64" t="s">
        <v>5159</v>
      </c>
      <c r="L20" s="64" t="s">
        <v>238</v>
      </c>
      <c r="M20" s="64" t="s">
        <v>261</v>
      </c>
      <c r="N20" s="64" t="s">
        <v>79</v>
      </c>
      <c r="O20" s="71" t="s">
        <v>5232</v>
      </c>
      <c r="P20" s="64" t="s">
        <v>5222</v>
      </c>
      <c r="Q20" s="64" t="s">
        <v>238</v>
      </c>
    </row>
    <row r="21" spans="1:17" ht="15" customHeight="1" x14ac:dyDescent="0.25">
      <c r="A21" s="62" t="s">
        <v>5233</v>
      </c>
      <c r="B21" s="62" t="s">
        <v>5129</v>
      </c>
      <c r="C21" s="62" t="s">
        <v>5214</v>
      </c>
      <c r="D21" s="70" t="s">
        <v>5234</v>
      </c>
      <c r="E21" s="62" t="s">
        <v>98</v>
      </c>
      <c r="F21" s="62" t="s">
        <v>5235</v>
      </c>
      <c r="G21" s="62" t="s">
        <v>5236</v>
      </c>
      <c r="H21" s="62" t="s">
        <v>5209</v>
      </c>
      <c r="I21" s="62" t="s">
        <v>5235</v>
      </c>
      <c r="J21" s="62" t="s">
        <v>5237</v>
      </c>
      <c r="K21" s="62" t="s">
        <v>5159</v>
      </c>
      <c r="L21" s="62" t="s">
        <v>238</v>
      </c>
      <c r="M21" s="62" t="s">
        <v>276</v>
      </c>
      <c r="N21" s="62" t="s">
        <v>79</v>
      </c>
      <c r="O21" s="70" t="s">
        <v>5238</v>
      </c>
      <c r="P21" s="62" t="s">
        <v>5222</v>
      </c>
      <c r="Q21" s="62" t="s">
        <v>238</v>
      </c>
    </row>
    <row r="22" spans="1:17" ht="15" customHeight="1" x14ac:dyDescent="0.25">
      <c r="A22" s="64" t="s">
        <v>5239</v>
      </c>
      <c r="B22" s="64" t="s">
        <v>5240</v>
      </c>
      <c r="C22" s="64" t="s">
        <v>5241</v>
      </c>
      <c r="D22" s="71" t="s">
        <v>5242</v>
      </c>
      <c r="E22" s="64" t="s">
        <v>98</v>
      </c>
      <c r="F22" s="64" t="s">
        <v>5243</v>
      </c>
      <c r="G22" s="64" t="s">
        <v>5244</v>
      </c>
      <c r="H22" s="64" t="s">
        <v>5156</v>
      </c>
      <c r="I22" s="64" t="s">
        <v>5243</v>
      </c>
      <c r="J22" s="64" t="s">
        <v>291</v>
      </c>
      <c r="K22" s="64" t="s">
        <v>5159</v>
      </c>
      <c r="L22" s="64" t="s">
        <v>288</v>
      </c>
      <c r="M22" s="64" t="s">
        <v>261</v>
      </c>
      <c r="N22" s="64" t="s">
        <v>89</v>
      </c>
      <c r="O22" s="71" t="s">
        <v>5245</v>
      </c>
      <c r="P22" s="64" t="s">
        <v>1690</v>
      </c>
      <c r="Q22" s="64" t="s">
        <v>226</v>
      </c>
    </row>
    <row r="23" spans="1:17" ht="15" customHeight="1" x14ac:dyDescent="0.25">
      <c r="A23" s="62" t="s">
        <v>5246</v>
      </c>
      <c r="B23" s="62" t="s">
        <v>5240</v>
      </c>
      <c r="C23" s="62" t="s">
        <v>5241</v>
      </c>
      <c r="D23" s="70" t="s">
        <v>5247</v>
      </c>
      <c r="E23" s="62" t="s">
        <v>98</v>
      </c>
      <c r="F23" s="62" t="s">
        <v>5248</v>
      </c>
      <c r="G23" s="62" t="s">
        <v>5249</v>
      </c>
      <c r="H23" s="62" t="s">
        <v>5156</v>
      </c>
      <c r="I23" s="62" t="s">
        <v>5248</v>
      </c>
      <c r="J23" s="62" t="s">
        <v>291</v>
      </c>
      <c r="K23" s="62" t="s">
        <v>5159</v>
      </c>
      <c r="L23" s="62" t="s">
        <v>226</v>
      </c>
      <c r="M23" s="62" t="s">
        <v>261</v>
      </c>
      <c r="N23" s="62" t="s">
        <v>89</v>
      </c>
      <c r="O23" s="70" t="s">
        <v>5250</v>
      </c>
      <c r="P23" s="62" t="s">
        <v>1690</v>
      </c>
      <c r="Q23" s="62" t="s">
        <v>226</v>
      </c>
    </row>
    <row r="24" spans="1:17" ht="15" customHeight="1" x14ac:dyDescent="0.25">
      <c r="A24" s="64" t="s">
        <v>5251</v>
      </c>
      <c r="B24" s="64" t="s">
        <v>5240</v>
      </c>
      <c r="C24" s="64" t="s">
        <v>5241</v>
      </c>
      <c r="D24" s="71" t="s">
        <v>5252</v>
      </c>
      <c r="E24" s="64" t="s">
        <v>98</v>
      </c>
      <c r="F24" s="64" t="s">
        <v>5253</v>
      </c>
      <c r="G24" s="64" t="s">
        <v>5217</v>
      </c>
      <c r="H24" s="64" t="s">
        <v>5253</v>
      </c>
      <c r="I24" s="64" t="s">
        <v>5254</v>
      </c>
      <c r="J24" s="64" t="s">
        <v>5255</v>
      </c>
      <c r="K24" s="64" t="s">
        <v>5159</v>
      </c>
      <c r="L24" s="64" t="s">
        <v>365</v>
      </c>
      <c r="M24" s="64" t="s">
        <v>261</v>
      </c>
      <c r="N24" s="64" t="s">
        <v>99</v>
      </c>
      <c r="O24" s="71" t="s">
        <v>5256</v>
      </c>
      <c r="P24" s="64" t="s">
        <v>5222</v>
      </c>
      <c r="Q24" s="64" t="s">
        <v>226</v>
      </c>
    </row>
    <row r="25" spans="1:17" ht="15" customHeight="1" x14ac:dyDescent="0.25">
      <c r="A25" s="62" t="s">
        <v>5257</v>
      </c>
      <c r="B25" s="62" t="s">
        <v>5240</v>
      </c>
      <c r="C25" s="62" t="s">
        <v>5258</v>
      </c>
      <c r="D25" s="70" t="s">
        <v>5259</v>
      </c>
      <c r="E25" s="62" t="s">
        <v>98</v>
      </c>
      <c r="F25" s="62" t="s">
        <v>5260</v>
      </c>
      <c r="G25" s="62" t="s">
        <v>5131</v>
      </c>
      <c r="H25" s="62" t="s">
        <v>5261</v>
      </c>
      <c r="I25" s="62" t="s">
        <v>5260</v>
      </c>
      <c r="J25" s="62" t="s">
        <v>5262</v>
      </c>
      <c r="K25" s="62" t="s">
        <v>5159</v>
      </c>
      <c r="L25" s="62" t="s">
        <v>238</v>
      </c>
      <c r="M25" s="62" t="s">
        <v>5263</v>
      </c>
      <c r="N25" s="62" t="s">
        <v>89</v>
      </c>
      <c r="O25" s="70" t="s">
        <v>5264</v>
      </c>
      <c r="P25" s="62" t="s">
        <v>5265</v>
      </c>
      <c r="Q25" s="62" t="s">
        <v>238</v>
      </c>
    </row>
    <row r="26" spans="1:17" ht="15" customHeight="1" x14ac:dyDescent="0.25">
      <c r="A26" s="64" t="s">
        <v>5266</v>
      </c>
      <c r="B26" s="64" t="s">
        <v>5240</v>
      </c>
      <c r="C26" s="64" t="s">
        <v>5258</v>
      </c>
      <c r="D26" s="71" t="s">
        <v>377</v>
      </c>
      <c r="E26" s="64" t="s">
        <v>5267</v>
      </c>
      <c r="F26" s="64" t="s">
        <v>5261</v>
      </c>
      <c r="G26" s="64" t="s">
        <v>5131</v>
      </c>
      <c r="H26" s="64" t="s">
        <v>5268</v>
      </c>
      <c r="I26" s="64" t="s">
        <v>5261</v>
      </c>
      <c r="J26" s="64" t="s">
        <v>5269</v>
      </c>
      <c r="K26" s="64" t="s">
        <v>5159</v>
      </c>
      <c r="L26" s="64" t="s">
        <v>238</v>
      </c>
      <c r="M26" s="64" t="s">
        <v>383</v>
      </c>
      <c r="N26" s="64" t="s">
        <v>89</v>
      </c>
      <c r="O26" s="71" t="s">
        <v>5270</v>
      </c>
      <c r="P26" s="64" t="s">
        <v>5265</v>
      </c>
      <c r="Q26" s="64" t="s">
        <v>238</v>
      </c>
    </row>
    <row r="27" spans="1:17" ht="15" customHeight="1" x14ac:dyDescent="0.25">
      <c r="A27" s="62" t="s">
        <v>5271</v>
      </c>
      <c r="B27" s="62" t="s">
        <v>5240</v>
      </c>
      <c r="C27" s="62" t="s">
        <v>5258</v>
      </c>
      <c r="D27" s="70" t="s">
        <v>384</v>
      </c>
      <c r="E27" s="62" t="s">
        <v>281</v>
      </c>
      <c r="F27" s="62" t="s">
        <v>5131</v>
      </c>
      <c r="G27" s="62" t="s">
        <v>5272</v>
      </c>
      <c r="H27" s="62" t="s">
        <v>5272</v>
      </c>
      <c r="I27" s="62" t="s">
        <v>5140</v>
      </c>
      <c r="J27" s="62" t="s">
        <v>387</v>
      </c>
      <c r="K27" s="62" t="s">
        <v>5134</v>
      </c>
      <c r="L27" s="62" t="s">
        <v>238</v>
      </c>
      <c r="M27" s="62" t="s">
        <v>283</v>
      </c>
      <c r="N27" s="62" t="s">
        <v>89</v>
      </c>
      <c r="O27" s="70" t="s">
        <v>5273</v>
      </c>
      <c r="P27" s="62" t="s">
        <v>5265</v>
      </c>
      <c r="Q27" s="62" t="s">
        <v>238</v>
      </c>
    </row>
    <row r="28" spans="1:17" ht="15" customHeight="1" x14ac:dyDescent="0.25">
      <c r="A28" s="64" t="s">
        <v>5274</v>
      </c>
      <c r="B28" s="64" t="s">
        <v>5240</v>
      </c>
      <c r="C28" s="64" t="s">
        <v>5275</v>
      </c>
      <c r="D28" s="71" t="s">
        <v>5276</v>
      </c>
      <c r="E28" s="64" t="s">
        <v>98</v>
      </c>
      <c r="F28" s="64" t="s">
        <v>5131</v>
      </c>
      <c r="G28" s="64" t="s">
        <v>5277</v>
      </c>
      <c r="H28" s="64" t="s">
        <v>5277</v>
      </c>
      <c r="I28" s="64" t="s">
        <v>5278</v>
      </c>
      <c r="J28" s="64" t="s">
        <v>5279</v>
      </c>
      <c r="K28" s="64" t="s">
        <v>5134</v>
      </c>
      <c r="L28" s="64" t="s">
        <v>226</v>
      </c>
      <c r="M28" s="64" t="s">
        <v>400</v>
      </c>
      <c r="N28" s="64" t="s">
        <v>125</v>
      </c>
      <c r="O28" s="71" t="s">
        <v>5280</v>
      </c>
      <c r="P28" s="64" t="s">
        <v>5138</v>
      </c>
      <c r="Q28" s="64" t="s">
        <v>226</v>
      </c>
    </row>
    <row r="29" spans="1:17" ht="15" customHeight="1" x14ac:dyDescent="0.25">
      <c r="A29" s="62" t="s">
        <v>5281</v>
      </c>
      <c r="B29" s="62" t="s">
        <v>5240</v>
      </c>
      <c r="C29" s="62" t="s">
        <v>5275</v>
      </c>
      <c r="D29" s="70" t="s">
        <v>5282</v>
      </c>
      <c r="E29" s="62" t="s">
        <v>98</v>
      </c>
      <c r="F29" s="62" t="s">
        <v>5131</v>
      </c>
      <c r="G29" s="62" t="s">
        <v>5172</v>
      </c>
      <c r="H29" s="62" t="s">
        <v>5172</v>
      </c>
      <c r="I29" s="62" t="s">
        <v>5277</v>
      </c>
      <c r="J29" s="62" t="s">
        <v>5283</v>
      </c>
      <c r="K29" s="62" t="s">
        <v>5134</v>
      </c>
      <c r="L29" s="62" t="s">
        <v>226</v>
      </c>
      <c r="M29" s="62" t="s">
        <v>400</v>
      </c>
      <c r="N29" s="62" t="s">
        <v>125</v>
      </c>
      <c r="O29" s="70" t="s">
        <v>5284</v>
      </c>
      <c r="P29" s="62" t="s">
        <v>5138</v>
      </c>
      <c r="Q29" s="62" t="s">
        <v>226</v>
      </c>
    </row>
    <row r="30" spans="1:17" ht="15" customHeight="1" x14ac:dyDescent="0.25">
      <c r="A30" s="64" t="s">
        <v>5285</v>
      </c>
      <c r="B30" s="64" t="s">
        <v>5240</v>
      </c>
      <c r="C30" s="64" t="s">
        <v>5286</v>
      </c>
      <c r="D30" s="71" t="s">
        <v>5287</v>
      </c>
      <c r="E30" s="64" t="s">
        <v>5179</v>
      </c>
      <c r="F30" s="64" t="s">
        <v>5131</v>
      </c>
      <c r="G30" s="64" t="s">
        <v>5180</v>
      </c>
      <c r="H30" s="64" t="s">
        <v>5180</v>
      </c>
      <c r="I30" s="64" t="s">
        <v>5288</v>
      </c>
      <c r="J30" s="64" t="s">
        <v>427</v>
      </c>
      <c r="K30" s="64" t="s">
        <v>5134</v>
      </c>
      <c r="L30" s="64" t="s">
        <v>238</v>
      </c>
      <c r="M30" s="64" t="s">
        <v>429</v>
      </c>
      <c r="N30" s="64" t="s">
        <v>120</v>
      </c>
      <c r="O30" s="71" t="s">
        <v>5289</v>
      </c>
      <c r="P30" s="64" t="s">
        <v>5290</v>
      </c>
      <c r="Q30" s="64" t="s">
        <v>311</v>
      </c>
    </row>
    <row r="31" spans="1:17" ht="15" customHeight="1" x14ac:dyDescent="0.25">
      <c r="A31" s="62" t="s">
        <v>5291</v>
      </c>
      <c r="B31" s="62" t="s">
        <v>5240</v>
      </c>
      <c r="C31" s="62" t="s">
        <v>5286</v>
      </c>
      <c r="D31" s="70" t="s">
        <v>437</v>
      </c>
      <c r="E31" s="62" t="s">
        <v>98</v>
      </c>
      <c r="F31" s="62" t="s">
        <v>5231</v>
      </c>
      <c r="G31" s="62" t="s">
        <v>5156</v>
      </c>
      <c r="H31" s="62" t="s">
        <v>5292</v>
      </c>
      <c r="I31" s="62" t="s">
        <v>5231</v>
      </c>
      <c r="J31" s="62" t="s">
        <v>5293</v>
      </c>
      <c r="K31" s="62" t="s">
        <v>5159</v>
      </c>
      <c r="L31" s="62" t="s">
        <v>238</v>
      </c>
      <c r="M31" s="62" t="s">
        <v>261</v>
      </c>
      <c r="N31" s="62" t="s">
        <v>125</v>
      </c>
      <c r="O31" s="70" t="s">
        <v>5294</v>
      </c>
      <c r="P31" s="62" t="s">
        <v>5290</v>
      </c>
      <c r="Q31" s="62" t="s">
        <v>238</v>
      </c>
    </row>
    <row r="32" spans="1:17" ht="15" customHeight="1" x14ac:dyDescent="0.25">
      <c r="A32" s="64" t="s">
        <v>5295</v>
      </c>
      <c r="B32" s="64" t="s">
        <v>5240</v>
      </c>
      <c r="C32" s="64" t="s">
        <v>1674</v>
      </c>
      <c r="D32" s="71" t="s">
        <v>129</v>
      </c>
      <c r="E32" s="64" t="s">
        <v>71</v>
      </c>
      <c r="F32" s="64" t="s">
        <v>5131</v>
      </c>
      <c r="G32" s="64" t="s">
        <v>5132</v>
      </c>
      <c r="H32" s="64" t="s">
        <v>5132</v>
      </c>
      <c r="I32" s="64" t="s">
        <v>5231</v>
      </c>
      <c r="J32" s="64" t="s">
        <v>457</v>
      </c>
      <c r="K32" s="64" t="s">
        <v>5134</v>
      </c>
      <c r="L32" s="64" t="s">
        <v>274</v>
      </c>
      <c r="M32" s="64" t="s">
        <v>459</v>
      </c>
      <c r="N32" s="64" t="s">
        <v>130</v>
      </c>
      <c r="O32" s="71" t="s">
        <v>5296</v>
      </c>
      <c r="P32" s="64" t="s">
        <v>5297</v>
      </c>
      <c r="Q32" s="64" t="s">
        <v>274</v>
      </c>
    </row>
    <row r="33" spans="1:17" ht="15" customHeight="1" x14ac:dyDescent="0.25">
      <c r="A33" s="62" t="s">
        <v>5298</v>
      </c>
      <c r="B33" s="62" t="s">
        <v>5240</v>
      </c>
      <c r="C33" s="62" t="s">
        <v>1674</v>
      </c>
      <c r="D33" s="70" t="s">
        <v>5299</v>
      </c>
      <c r="E33" s="62" t="s">
        <v>463</v>
      </c>
      <c r="F33" s="62" t="s">
        <v>5131</v>
      </c>
      <c r="G33" s="62" t="s">
        <v>5235</v>
      </c>
      <c r="H33" s="62" t="s">
        <v>5235</v>
      </c>
      <c r="I33" s="62" t="s">
        <v>5300</v>
      </c>
      <c r="J33" s="62" t="s">
        <v>462</v>
      </c>
      <c r="K33" s="62" t="s">
        <v>5134</v>
      </c>
      <c r="L33" s="62" t="s">
        <v>226</v>
      </c>
      <c r="M33" s="62" t="s">
        <v>465</v>
      </c>
      <c r="N33" s="62" t="s">
        <v>134</v>
      </c>
      <c r="O33" s="70" t="s">
        <v>5301</v>
      </c>
      <c r="P33" s="62" t="s">
        <v>5297</v>
      </c>
      <c r="Q33" s="62" t="s">
        <v>226</v>
      </c>
    </row>
    <row r="34" spans="1:17" ht="15" customHeight="1" x14ac:dyDescent="0.25">
      <c r="A34" s="64" t="s">
        <v>5302</v>
      </c>
      <c r="B34" s="64" t="s">
        <v>5240</v>
      </c>
      <c r="C34" s="64" t="s">
        <v>1674</v>
      </c>
      <c r="D34" s="71" t="s">
        <v>5303</v>
      </c>
      <c r="E34" s="64" t="s">
        <v>463</v>
      </c>
      <c r="F34" s="64" t="s">
        <v>5131</v>
      </c>
      <c r="G34" s="64" t="s">
        <v>5300</v>
      </c>
      <c r="H34" s="64" t="s">
        <v>5300</v>
      </c>
      <c r="I34" s="64" t="s">
        <v>5304</v>
      </c>
      <c r="J34" s="64" t="s">
        <v>469</v>
      </c>
      <c r="K34" s="64" t="s">
        <v>5134</v>
      </c>
      <c r="L34" s="64" t="s">
        <v>226</v>
      </c>
      <c r="M34" s="64" t="s">
        <v>465</v>
      </c>
      <c r="N34" s="64" t="s">
        <v>134</v>
      </c>
      <c r="O34" s="71" t="s">
        <v>5305</v>
      </c>
      <c r="P34" s="64" t="s">
        <v>5297</v>
      </c>
      <c r="Q34" s="64" t="s">
        <v>226</v>
      </c>
    </row>
    <row r="35" spans="1:17" ht="15" customHeight="1" x14ac:dyDescent="0.25">
      <c r="A35" s="62" t="s">
        <v>5306</v>
      </c>
      <c r="B35" s="62" t="s">
        <v>5240</v>
      </c>
      <c r="C35" s="62" t="s">
        <v>1638</v>
      </c>
      <c r="D35" s="70" t="s">
        <v>5307</v>
      </c>
      <c r="E35" s="62" t="s">
        <v>5308</v>
      </c>
      <c r="F35" s="62" t="s">
        <v>5131</v>
      </c>
      <c r="G35" s="62" t="s">
        <v>5200</v>
      </c>
      <c r="H35" s="62" t="s">
        <v>5200</v>
      </c>
      <c r="I35" s="62" t="s">
        <v>5309</v>
      </c>
      <c r="J35" s="62" t="s">
        <v>5310</v>
      </c>
      <c r="K35" s="62" t="s">
        <v>5134</v>
      </c>
      <c r="L35" s="62" t="s">
        <v>238</v>
      </c>
      <c r="M35" s="62" t="s">
        <v>261</v>
      </c>
      <c r="N35" s="62" t="s">
        <v>141</v>
      </c>
      <c r="O35" s="70" t="s">
        <v>5311</v>
      </c>
      <c r="P35" s="62" t="s">
        <v>5312</v>
      </c>
      <c r="Q35" s="62" t="s">
        <v>238</v>
      </c>
    </row>
    <row r="36" spans="1:17" ht="15" customHeight="1" x14ac:dyDescent="0.25">
      <c r="A36" s="64" t="s">
        <v>5313</v>
      </c>
      <c r="B36" s="64" t="s">
        <v>5240</v>
      </c>
      <c r="C36" s="64" t="s">
        <v>1638</v>
      </c>
      <c r="D36" s="71" t="s">
        <v>492</v>
      </c>
      <c r="E36" s="64" t="s">
        <v>98</v>
      </c>
      <c r="F36" s="64" t="s">
        <v>5157</v>
      </c>
      <c r="G36" s="64" t="s">
        <v>5156</v>
      </c>
      <c r="H36" s="64" t="s">
        <v>5166</v>
      </c>
      <c r="I36" s="64" t="s">
        <v>5157</v>
      </c>
      <c r="J36" s="64" t="s">
        <v>517</v>
      </c>
      <c r="K36" s="64" t="s">
        <v>5159</v>
      </c>
      <c r="L36" s="64" t="s">
        <v>238</v>
      </c>
      <c r="M36" s="64" t="s">
        <v>283</v>
      </c>
      <c r="N36" s="64" t="s">
        <v>141</v>
      </c>
      <c r="O36" s="71" t="s">
        <v>5314</v>
      </c>
      <c r="P36" s="64" t="s">
        <v>5312</v>
      </c>
      <c r="Q36" s="64" t="s">
        <v>238</v>
      </c>
    </row>
    <row r="37" spans="1:17" ht="15" customHeight="1" x14ac:dyDescent="0.25">
      <c r="A37" s="62" t="s">
        <v>5315</v>
      </c>
      <c r="B37" s="62" t="s">
        <v>5240</v>
      </c>
      <c r="C37" s="62" t="s">
        <v>5316</v>
      </c>
      <c r="D37" s="70" t="s">
        <v>5317</v>
      </c>
      <c r="E37" s="62" t="s">
        <v>71</v>
      </c>
      <c r="F37" s="62" t="s">
        <v>5131</v>
      </c>
      <c r="G37" s="62" t="s">
        <v>5141</v>
      </c>
      <c r="H37" s="62" t="s">
        <v>5141</v>
      </c>
      <c r="I37" s="62" t="s">
        <v>5132</v>
      </c>
      <c r="J37" s="62" t="s">
        <v>280</v>
      </c>
      <c r="K37" s="62" t="s">
        <v>5134</v>
      </c>
      <c r="L37" s="62" t="s">
        <v>226</v>
      </c>
      <c r="M37" s="62" t="s">
        <v>505</v>
      </c>
      <c r="N37" s="62" t="s">
        <v>152</v>
      </c>
      <c r="O37" s="70" t="s">
        <v>5318</v>
      </c>
      <c r="P37" s="62" t="s">
        <v>5319</v>
      </c>
      <c r="Q37" s="62" t="s">
        <v>226</v>
      </c>
    </row>
    <row r="38" spans="1:17" ht="15" customHeight="1" x14ac:dyDescent="0.25">
      <c r="A38" s="64" t="s">
        <v>5320</v>
      </c>
      <c r="B38" s="64" t="s">
        <v>5240</v>
      </c>
      <c r="C38" s="64" t="s">
        <v>1719</v>
      </c>
      <c r="D38" s="71" t="s">
        <v>156</v>
      </c>
      <c r="E38" s="64" t="s">
        <v>157</v>
      </c>
      <c r="F38" s="64" t="s">
        <v>5165</v>
      </c>
      <c r="G38" s="64" t="s">
        <v>5156</v>
      </c>
      <c r="H38" s="64" t="s">
        <v>5166</v>
      </c>
      <c r="I38" s="64" t="s">
        <v>5165</v>
      </c>
      <c r="J38" s="64" t="s">
        <v>517</v>
      </c>
      <c r="K38" s="64" t="s">
        <v>5159</v>
      </c>
      <c r="L38" s="64" t="s">
        <v>274</v>
      </c>
      <c r="M38" s="64" t="s">
        <v>283</v>
      </c>
      <c r="N38" s="64" t="s">
        <v>158</v>
      </c>
      <c r="O38" s="71" t="s">
        <v>5321</v>
      </c>
      <c r="P38" s="64" t="s">
        <v>5322</v>
      </c>
      <c r="Q38" s="64" t="s">
        <v>274</v>
      </c>
    </row>
    <row r="39" spans="1:17" ht="15" customHeight="1" x14ac:dyDescent="0.25">
      <c r="A39" s="62" t="s">
        <v>5323</v>
      </c>
      <c r="B39" s="62" t="s">
        <v>5240</v>
      </c>
      <c r="C39" s="62" t="s">
        <v>1719</v>
      </c>
      <c r="D39" s="70" t="s">
        <v>5324</v>
      </c>
      <c r="E39" s="62" t="s">
        <v>98</v>
      </c>
      <c r="F39" s="62" t="s">
        <v>5278</v>
      </c>
      <c r="G39" s="62" t="s">
        <v>5156</v>
      </c>
      <c r="H39" s="62" t="s">
        <v>5277</v>
      </c>
      <c r="I39" s="62" t="s">
        <v>5278</v>
      </c>
      <c r="J39" s="62" t="s">
        <v>5325</v>
      </c>
      <c r="K39" s="62" t="s">
        <v>5159</v>
      </c>
      <c r="L39" s="62" t="s">
        <v>226</v>
      </c>
      <c r="M39" s="62" t="s">
        <v>261</v>
      </c>
      <c r="N39" s="62" t="s">
        <v>161</v>
      </c>
      <c r="O39" s="70" t="s">
        <v>5326</v>
      </c>
      <c r="P39" s="62" t="s">
        <v>4810</v>
      </c>
      <c r="Q39" s="62" t="s">
        <v>226</v>
      </c>
    </row>
    <row r="40" spans="1:17" ht="15" customHeight="1" x14ac:dyDescent="0.25">
      <c r="A40" s="64" t="s">
        <v>5327</v>
      </c>
      <c r="B40" s="64" t="s">
        <v>5328</v>
      </c>
      <c r="C40" s="64" t="s">
        <v>5329</v>
      </c>
      <c r="D40" s="71" t="s">
        <v>5330</v>
      </c>
      <c r="E40" s="64" t="s">
        <v>98</v>
      </c>
      <c r="F40" s="64" t="s">
        <v>5331</v>
      </c>
      <c r="G40" s="64" t="s">
        <v>5156</v>
      </c>
      <c r="H40" s="64" t="s">
        <v>5278</v>
      </c>
      <c r="I40" s="64" t="s">
        <v>5331</v>
      </c>
      <c r="J40" s="64" t="s">
        <v>5332</v>
      </c>
      <c r="K40" s="64" t="s">
        <v>5159</v>
      </c>
      <c r="L40" s="64" t="s">
        <v>238</v>
      </c>
      <c r="M40" s="64" t="s">
        <v>276</v>
      </c>
      <c r="N40" s="64" t="s">
        <v>283</v>
      </c>
      <c r="O40" s="71" t="s">
        <v>5333</v>
      </c>
      <c r="P40" s="64" t="s">
        <v>5334</v>
      </c>
      <c r="Q40" s="64" t="s">
        <v>238</v>
      </c>
    </row>
    <row r="41" spans="1:17" ht="15" customHeight="1" x14ac:dyDescent="0.25">
      <c r="A41" s="62" t="s">
        <v>5335</v>
      </c>
      <c r="B41" s="62" t="s">
        <v>5328</v>
      </c>
      <c r="C41" s="62" t="s">
        <v>5329</v>
      </c>
      <c r="D41" s="70" t="s">
        <v>5336</v>
      </c>
      <c r="E41" s="62" t="s">
        <v>5337</v>
      </c>
      <c r="F41" s="62" t="s">
        <v>5131</v>
      </c>
      <c r="G41" s="62" t="s">
        <v>5131</v>
      </c>
      <c r="H41" s="62" t="s">
        <v>5147</v>
      </c>
      <c r="I41" s="62" t="s">
        <v>5292</v>
      </c>
      <c r="J41" s="62" t="s">
        <v>433</v>
      </c>
      <c r="K41" s="62" t="s">
        <v>5134</v>
      </c>
      <c r="L41" s="62" t="s">
        <v>447</v>
      </c>
      <c r="M41" s="62" t="s">
        <v>261</v>
      </c>
      <c r="N41" s="62" t="s">
        <v>283</v>
      </c>
      <c r="O41" s="70" t="s">
        <v>5338</v>
      </c>
      <c r="P41" s="62" t="s">
        <v>5319</v>
      </c>
      <c r="Q41" s="62" t="s">
        <v>447</v>
      </c>
    </row>
    <row r="42" spans="1:17" ht="15" customHeight="1" x14ac:dyDescent="0.25">
      <c r="A42" s="64" t="s">
        <v>5339</v>
      </c>
      <c r="B42" s="64" t="s">
        <v>5328</v>
      </c>
      <c r="C42" s="64" t="s">
        <v>5329</v>
      </c>
      <c r="D42" s="71" t="s">
        <v>5340</v>
      </c>
      <c r="E42" s="64" t="s">
        <v>98</v>
      </c>
      <c r="F42" s="64" t="s">
        <v>5331</v>
      </c>
      <c r="G42" s="64" t="s">
        <v>5156</v>
      </c>
      <c r="H42" s="64" t="s">
        <v>5278</v>
      </c>
      <c r="I42" s="64" t="s">
        <v>5331</v>
      </c>
      <c r="J42" s="64" t="s">
        <v>5332</v>
      </c>
      <c r="K42" s="64" t="s">
        <v>5159</v>
      </c>
      <c r="L42" s="64" t="s">
        <v>238</v>
      </c>
      <c r="M42" s="64" t="s">
        <v>276</v>
      </c>
      <c r="N42" s="64" t="s">
        <v>79</v>
      </c>
      <c r="O42" s="71" t="s">
        <v>5341</v>
      </c>
      <c r="P42" s="64" t="s">
        <v>5222</v>
      </c>
      <c r="Q42" s="64" t="s">
        <v>238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9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8.7109375" defaultRowHeight="15" x14ac:dyDescent="0.25"/>
  <cols>
    <col min="1" max="1" width="10" customWidth="1"/>
    <col min="2" max="2" width="20" customWidth="1"/>
    <col min="3" max="6" width="10" customWidth="1"/>
    <col min="7" max="7" width="16" customWidth="1"/>
    <col min="8" max="8" width="10" customWidth="1"/>
    <col min="9" max="9" width="17.7109375" customWidth="1"/>
    <col min="10" max="10" width="13.5703125" customWidth="1"/>
    <col min="11" max="11" width="14.7109375" customWidth="1"/>
    <col min="12" max="12" width="15.7109375" customWidth="1"/>
    <col min="13" max="13" width="9.5703125" customWidth="1"/>
    <col min="14" max="14" width="9.28515625" customWidth="1"/>
    <col min="15" max="15" width="10" customWidth="1"/>
    <col min="17" max="17" width="27.7109375" customWidth="1"/>
    <col min="18" max="18" width="22" customWidth="1"/>
    <col min="19" max="19" width="20.42578125" customWidth="1"/>
    <col min="20" max="20" width="14" customWidth="1"/>
    <col min="21" max="21" width="27.7109375" customWidth="1"/>
    <col min="22" max="22" width="18" customWidth="1"/>
    <col min="23" max="23" width="18.85546875" customWidth="1"/>
    <col min="24" max="24" width="7.42578125" customWidth="1"/>
  </cols>
  <sheetData>
    <row r="1" spans="1:24" ht="21.75" customHeight="1" x14ac:dyDescent="0.25">
      <c r="A1" s="143" t="s">
        <v>5342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4" ht="15.75" customHeight="1" x14ac:dyDescent="0.25">
      <c r="A2" s="142" t="s">
        <v>5343</v>
      </c>
      <c r="B2" s="132"/>
      <c r="C2" s="132"/>
      <c r="D2" s="132"/>
      <c r="E2" s="132"/>
      <c r="F2" s="132"/>
      <c r="G2" s="132"/>
      <c r="H2" s="132"/>
    </row>
    <row r="3" spans="1:24" ht="18" customHeight="1" x14ac:dyDescent="0.25">
      <c r="A3" s="72" t="s">
        <v>2119</v>
      </c>
      <c r="B3" s="72" t="s">
        <v>5344</v>
      </c>
      <c r="C3" s="72" t="s">
        <v>5345</v>
      </c>
      <c r="D3" s="72" t="s">
        <v>5346</v>
      </c>
      <c r="E3" s="72" t="s">
        <v>5347</v>
      </c>
      <c r="F3" s="72" t="s">
        <v>5348</v>
      </c>
      <c r="G3" s="72" t="s">
        <v>5349</v>
      </c>
      <c r="H3" s="72" t="s">
        <v>567</v>
      </c>
    </row>
    <row r="4" spans="1:24" ht="15" customHeight="1" x14ac:dyDescent="0.25">
      <c r="A4" s="73" t="s">
        <v>2135</v>
      </c>
      <c r="B4" s="74" t="s">
        <v>5350</v>
      </c>
      <c r="C4" s="75">
        <v>15.59</v>
      </c>
      <c r="D4" s="75">
        <v>16.43</v>
      </c>
      <c r="E4" s="75">
        <v>19.37</v>
      </c>
      <c r="F4" s="76">
        <v>1.49</v>
      </c>
      <c r="G4" s="77">
        <v>94.6</v>
      </c>
      <c r="H4" s="78" t="s">
        <v>321</v>
      </c>
    </row>
    <row r="5" spans="1:24" ht="15" customHeight="1" x14ac:dyDescent="0.25">
      <c r="A5" s="73" t="s">
        <v>2136</v>
      </c>
      <c r="B5" s="74" t="s">
        <v>5350</v>
      </c>
      <c r="C5" s="75">
        <v>15.53</v>
      </c>
      <c r="D5" s="75">
        <v>16.36</v>
      </c>
      <c r="E5" s="75">
        <v>19.29</v>
      </c>
      <c r="F5" s="76">
        <v>1.51</v>
      </c>
      <c r="G5" s="77">
        <v>94.3</v>
      </c>
      <c r="H5" s="78" t="s">
        <v>321</v>
      </c>
    </row>
    <row r="6" spans="1:24" ht="15" customHeight="1" x14ac:dyDescent="0.25">
      <c r="A6" s="79" t="s">
        <v>2137</v>
      </c>
      <c r="B6" s="80" t="s">
        <v>5350</v>
      </c>
      <c r="C6" s="75">
        <v>15.47</v>
      </c>
      <c r="D6" s="75">
        <v>16.34</v>
      </c>
      <c r="E6" s="75">
        <v>19.3</v>
      </c>
      <c r="F6" s="76">
        <v>1.47</v>
      </c>
      <c r="G6" s="81">
        <v>99.2</v>
      </c>
      <c r="H6" s="82" t="s">
        <v>266</v>
      </c>
    </row>
    <row r="7" spans="1:24" ht="15" customHeight="1" x14ac:dyDescent="0.25">
      <c r="A7" s="79" t="s">
        <v>2138</v>
      </c>
      <c r="B7" s="80" t="s">
        <v>5350</v>
      </c>
      <c r="C7" s="75">
        <v>15.54</v>
      </c>
      <c r="D7" s="75">
        <v>16.37</v>
      </c>
      <c r="E7" s="75">
        <v>19.329999999999998</v>
      </c>
      <c r="F7" s="76">
        <v>1.55</v>
      </c>
      <c r="G7" s="81">
        <v>96.2</v>
      </c>
      <c r="H7" s="82" t="s">
        <v>266</v>
      </c>
    </row>
    <row r="8" spans="1:24" ht="15" customHeight="1" x14ac:dyDescent="0.25">
      <c r="A8" s="73" t="s">
        <v>2139</v>
      </c>
      <c r="B8" s="74" t="s">
        <v>5350</v>
      </c>
      <c r="C8" s="75">
        <v>15.58</v>
      </c>
      <c r="D8" s="75">
        <v>16.440000000000001</v>
      </c>
      <c r="E8" s="75">
        <v>19.37</v>
      </c>
      <c r="F8" s="76">
        <v>1.45</v>
      </c>
      <c r="G8" s="77">
        <v>93.4</v>
      </c>
      <c r="H8" s="78" t="s">
        <v>321</v>
      </c>
    </row>
    <row r="9" spans="1:24" ht="15" customHeight="1" x14ac:dyDescent="0.25">
      <c r="A9" s="79" t="s">
        <v>2140</v>
      </c>
      <c r="B9" s="80" t="s">
        <v>5350</v>
      </c>
      <c r="C9" s="75">
        <v>15.64</v>
      </c>
      <c r="D9" s="75">
        <v>16.52</v>
      </c>
      <c r="E9" s="75">
        <v>19.5</v>
      </c>
      <c r="F9" s="76">
        <v>1.57</v>
      </c>
      <c r="G9" s="81">
        <v>98.5</v>
      </c>
      <c r="H9" s="82" t="s">
        <v>266</v>
      </c>
    </row>
    <row r="10" spans="1:24" ht="15" customHeight="1" x14ac:dyDescent="0.25">
      <c r="A10" s="79" t="s">
        <v>2141</v>
      </c>
      <c r="B10" s="80" t="s">
        <v>5350</v>
      </c>
      <c r="C10" s="75">
        <v>15.61</v>
      </c>
      <c r="D10" s="75">
        <v>16.440000000000001</v>
      </c>
      <c r="E10" s="75">
        <v>19.39</v>
      </c>
      <c r="F10" s="76">
        <v>1.47</v>
      </c>
      <c r="G10" s="81">
        <v>99.2</v>
      </c>
      <c r="H10" s="82" t="s">
        <v>266</v>
      </c>
    </row>
    <row r="11" spans="1:24" ht="15" customHeight="1" x14ac:dyDescent="0.25">
      <c r="A11" s="79" t="s">
        <v>2142</v>
      </c>
      <c r="B11" s="80" t="s">
        <v>5350</v>
      </c>
      <c r="C11" s="75">
        <v>15.46</v>
      </c>
      <c r="D11" s="75">
        <v>16.309999999999999</v>
      </c>
      <c r="E11" s="75">
        <v>19.28</v>
      </c>
      <c r="F11" s="76">
        <v>1.45</v>
      </c>
      <c r="G11" s="81">
        <v>99.4</v>
      </c>
      <c r="H11" s="82" t="s">
        <v>266</v>
      </c>
    </row>
    <row r="12" spans="1:24" ht="15" customHeight="1" x14ac:dyDescent="0.25">
      <c r="A12" s="79" t="s">
        <v>2143</v>
      </c>
      <c r="B12" s="80" t="s">
        <v>5350</v>
      </c>
      <c r="C12" s="75">
        <v>15.52</v>
      </c>
      <c r="D12" s="75">
        <v>16.350000000000001</v>
      </c>
      <c r="E12" s="75">
        <v>19.3</v>
      </c>
      <c r="F12" s="76">
        <v>1.49</v>
      </c>
      <c r="G12" s="81">
        <v>97.6</v>
      </c>
      <c r="H12" s="82" t="s">
        <v>266</v>
      </c>
    </row>
    <row r="13" spans="1:24" ht="15" customHeight="1" x14ac:dyDescent="0.25">
      <c r="A13" s="73" t="s">
        <v>2144</v>
      </c>
      <c r="B13" s="74" t="s">
        <v>5350</v>
      </c>
      <c r="C13" s="75">
        <v>15.6</v>
      </c>
      <c r="D13" s="75">
        <v>16.489999999999998</v>
      </c>
      <c r="E13" s="75">
        <v>19.41</v>
      </c>
      <c r="F13" s="76">
        <v>1.57</v>
      </c>
      <c r="G13" s="77">
        <v>94.1</v>
      </c>
      <c r="H13" s="78" t="s">
        <v>321</v>
      </c>
    </row>
    <row r="14" spans="1:24" ht="15" customHeight="1" x14ac:dyDescent="0.25">
      <c r="A14" s="79" t="s">
        <v>2145</v>
      </c>
      <c r="B14" s="80" t="s">
        <v>5350</v>
      </c>
      <c r="C14" s="75">
        <v>15.61</v>
      </c>
      <c r="D14" s="75">
        <v>16.46</v>
      </c>
      <c r="E14" s="75">
        <v>19.399999999999999</v>
      </c>
      <c r="F14" s="76">
        <v>1.48</v>
      </c>
      <c r="G14" s="81">
        <v>96.5</v>
      </c>
      <c r="H14" s="82" t="s">
        <v>266</v>
      </c>
    </row>
    <row r="15" spans="1:24" ht="15" customHeight="1" x14ac:dyDescent="0.25">
      <c r="A15" s="73" t="s">
        <v>2146</v>
      </c>
      <c r="B15" s="74" t="s">
        <v>5350</v>
      </c>
      <c r="C15" s="75">
        <v>15.62</v>
      </c>
      <c r="D15" s="75">
        <v>16.48</v>
      </c>
      <c r="E15" s="75">
        <v>19.420000000000002</v>
      </c>
      <c r="F15" s="76">
        <v>1.57</v>
      </c>
      <c r="G15" s="77">
        <v>93.5</v>
      </c>
      <c r="H15" s="78" t="s">
        <v>321</v>
      </c>
    </row>
    <row r="16" spans="1:24" ht="15" customHeight="1" x14ac:dyDescent="0.25">
      <c r="A16" s="79" t="s">
        <v>2135</v>
      </c>
      <c r="B16" s="80" t="s">
        <v>5351</v>
      </c>
      <c r="C16" s="75">
        <v>14.03</v>
      </c>
      <c r="D16" s="75">
        <v>14.78</v>
      </c>
      <c r="E16" s="75">
        <v>17.47</v>
      </c>
      <c r="F16" s="76">
        <v>1.35</v>
      </c>
      <c r="G16" s="81">
        <v>95.7</v>
      </c>
      <c r="H16" s="82" t="s">
        <v>266</v>
      </c>
    </row>
    <row r="17" spans="1:8" ht="15" customHeight="1" x14ac:dyDescent="0.25">
      <c r="A17" s="79" t="s">
        <v>2136</v>
      </c>
      <c r="B17" s="80" t="s">
        <v>5351</v>
      </c>
      <c r="C17" s="75">
        <v>14.12</v>
      </c>
      <c r="D17" s="75">
        <v>14.91</v>
      </c>
      <c r="E17" s="75">
        <v>17.600000000000001</v>
      </c>
      <c r="F17" s="76">
        <v>1.38</v>
      </c>
      <c r="G17" s="81">
        <v>98.9</v>
      </c>
      <c r="H17" s="82" t="s">
        <v>266</v>
      </c>
    </row>
    <row r="18" spans="1:8" ht="15" customHeight="1" x14ac:dyDescent="0.25">
      <c r="A18" s="79" t="s">
        <v>2137</v>
      </c>
      <c r="B18" s="80" t="s">
        <v>5351</v>
      </c>
      <c r="C18" s="75">
        <v>14.16</v>
      </c>
      <c r="D18" s="75">
        <v>14.96</v>
      </c>
      <c r="E18" s="75">
        <v>17.649999999999999</v>
      </c>
      <c r="F18" s="76">
        <v>1.37</v>
      </c>
      <c r="G18" s="81">
        <v>97.5</v>
      </c>
      <c r="H18" s="82" t="s">
        <v>266</v>
      </c>
    </row>
    <row r="19" spans="1:8" ht="15" customHeight="1" x14ac:dyDescent="0.25">
      <c r="A19" s="73" t="s">
        <v>2138</v>
      </c>
      <c r="B19" s="74" t="s">
        <v>5351</v>
      </c>
      <c r="C19" s="75">
        <v>14.07</v>
      </c>
      <c r="D19" s="75">
        <v>14.87</v>
      </c>
      <c r="E19" s="75">
        <v>17.52</v>
      </c>
      <c r="F19" s="76">
        <v>1.4</v>
      </c>
      <c r="G19" s="77">
        <v>94.9</v>
      </c>
      <c r="H19" s="78" t="s">
        <v>321</v>
      </c>
    </row>
    <row r="20" spans="1:8" ht="15" customHeight="1" x14ac:dyDescent="0.25">
      <c r="A20" s="73" t="s">
        <v>2139</v>
      </c>
      <c r="B20" s="74" t="s">
        <v>5351</v>
      </c>
      <c r="C20" s="75">
        <v>14.04</v>
      </c>
      <c r="D20" s="75">
        <v>14.84</v>
      </c>
      <c r="E20" s="75">
        <v>17.53</v>
      </c>
      <c r="F20" s="76">
        <v>1.41</v>
      </c>
      <c r="G20" s="77">
        <v>93.4</v>
      </c>
      <c r="H20" s="78" t="s">
        <v>321</v>
      </c>
    </row>
    <row r="21" spans="1:8" ht="15" customHeight="1" x14ac:dyDescent="0.25">
      <c r="A21" s="79" t="s">
        <v>2140</v>
      </c>
      <c r="B21" s="80" t="s">
        <v>5351</v>
      </c>
      <c r="C21" s="75">
        <v>14.15</v>
      </c>
      <c r="D21" s="75">
        <v>14.93</v>
      </c>
      <c r="E21" s="75">
        <v>17.62</v>
      </c>
      <c r="F21" s="76">
        <v>1.33</v>
      </c>
      <c r="G21" s="81">
        <v>97.7</v>
      </c>
      <c r="H21" s="82" t="s">
        <v>266</v>
      </c>
    </row>
    <row r="22" spans="1:8" ht="15" customHeight="1" x14ac:dyDescent="0.25">
      <c r="A22" s="73" t="s">
        <v>2141</v>
      </c>
      <c r="B22" s="74" t="s">
        <v>5351</v>
      </c>
      <c r="C22" s="75">
        <v>14.15</v>
      </c>
      <c r="D22" s="75">
        <v>14.92</v>
      </c>
      <c r="E22" s="75">
        <v>17.62</v>
      </c>
      <c r="F22" s="76">
        <v>1.33</v>
      </c>
      <c r="G22" s="77">
        <v>93.3</v>
      </c>
      <c r="H22" s="78" t="s">
        <v>321</v>
      </c>
    </row>
    <row r="23" spans="1:8" ht="15" customHeight="1" x14ac:dyDescent="0.25">
      <c r="A23" s="73" t="s">
        <v>2142</v>
      </c>
      <c r="B23" s="74" t="s">
        <v>5351</v>
      </c>
      <c r="C23" s="75">
        <v>14.05</v>
      </c>
      <c r="D23" s="75">
        <v>14.81</v>
      </c>
      <c r="E23" s="75">
        <v>17.52</v>
      </c>
      <c r="F23" s="76">
        <v>1.3</v>
      </c>
      <c r="G23" s="77">
        <v>93.9</v>
      </c>
      <c r="H23" s="78" t="s">
        <v>321</v>
      </c>
    </row>
    <row r="24" spans="1:8" ht="15" customHeight="1" x14ac:dyDescent="0.25">
      <c r="A24" s="73" t="s">
        <v>2143</v>
      </c>
      <c r="B24" s="74" t="s">
        <v>5351</v>
      </c>
      <c r="C24" s="75">
        <v>14.14</v>
      </c>
      <c r="D24" s="75">
        <v>14.91</v>
      </c>
      <c r="E24" s="75">
        <v>17.59</v>
      </c>
      <c r="F24" s="76">
        <v>1.35</v>
      </c>
      <c r="G24" s="77">
        <v>93.5</v>
      </c>
      <c r="H24" s="78" t="s">
        <v>321</v>
      </c>
    </row>
    <row r="25" spans="1:8" ht="15" customHeight="1" x14ac:dyDescent="0.25">
      <c r="A25" s="79" t="s">
        <v>2144</v>
      </c>
      <c r="B25" s="80" t="s">
        <v>5351</v>
      </c>
      <c r="C25" s="75">
        <v>14.24</v>
      </c>
      <c r="D25" s="75">
        <v>15.01</v>
      </c>
      <c r="E25" s="75">
        <v>17.71</v>
      </c>
      <c r="F25" s="76">
        <v>1.4</v>
      </c>
      <c r="G25" s="81">
        <v>95.2</v>
      </c>
      <c r="H25" s="82" t="s">
        <v>266</v>
      </c>
    </row>
    <row r="26" spans="1:8" ht="15" customHeight="1" x14ac:dyDescent="0.25">
      <c r="A26" s="73" t="s">
        <v>2145</v>
      </c>
      <c r="B26" s="74" t="s">
        <v>5351</v>
      </c>
      <c r="C26" s="75">
        <v>14.08</v>
      </c>
      <c r="D26" s="75">
        <v>14.85</v>
      </c>
      <c r="E26" s="75">
        <v>17.52</v>
      </c>
      <c r="F26" s="76">
        <v>1.34</v>
      </c>
      <c r="G26" s="77">
        <v>94.5</v>
      </c>
      <c r="H26" s="78" t="s">
        <v>321</v>
      </c>
    </row>
    <row r="27" spans="1:8" ht="15" customHeight="1" x14ac:dyDescent="0.25">
      <c r="A27" s="79" t="s">
        <v>2146</v>
      </c>
      <c r="B27" s="80" t="s">
        <v>5351</v>
      </c>
      <c r="C27" s="75">
        <v>14.23</v>
      </c>
      <c r="D27" s="75">
        <v>15</v>
      </c>
      <c r="E27" s="75">
        <v>17.690000000000001</v>
      </c>
      <c r="F27" s="76">
        <v>1.39</v>
      </c>
      <c r="G27" s="81">
        <v>97.4</v>
      </c>
      <c r="H27" s="82" t="s">
        <v>266</v>
      </c>
    </row>
    <row r="28" spans="1:8" ht="15" customHeight="1" x14ac:dyDescent="0.25">
      <c r="A28" s="73" t="s">
        <v>2135</v>
      </c>
      <c r="B28" s="74" t="s">
        <v>5352</v>
      </c>
      <c r="C28" s="75">
        <v>22.32</v>
      </c>
      <c r="D28" s="75">
        <v>23.59</v>
      </c>
      <c r="E28" s="75">
        <v>27.79</v>
      </c>
      <c r="F28" s="76">
        <v>2.06</v>
      </c>
      <c r="G28" s="77">
        <v>94.7</v>
      </c>
      <c r="H28" s="78" t="s">
        <v>321</v>
      </c>
    </row>
    <row r="29" spans="1:8" ht="15" customHeight="1" x14ac:dyDescent="0.25">
      <c r="A29" s="79" t="s">
        <v>2136</v>
      </c>
      <c r="B29" s="80" t="s">
        <v>5352</v>
      </c>
      <c r="C29" s="75">
        <v>22.24</v>
      </c>
      <c r="D29" s="75">
        <v>23.48</v>
      </c>
      <c r="E29" s="75">
        <v>27.69</v>
      </c>
      <c r="F29" s="76">
        <v>2.15</v>
      </c>
      <c r="G29" s="81">
        <v>96.6</v>
      </c>
      <c r="H29" s="82" t="s">
        <v>266</v>
      </c>
    </row>
    <row r="30" spans="1:8" ht="15" customHeight="1" x14ac:dyDescent="0.25">
      <c r="A30" s="79" t="s">
        <v>2137</v>
      </c>
      <c r="B30" s="80" t="s">
        <v>5352</v>
      </c>
      <c r="C30" s="75">
        <v>22.13</v>
      </c>
      <c r="D30" s="75">
        <v>23.38</v>
      </c>
      <c r="E30" s="75">
        <v>27.55</v>
      </c>
      <c r="F30" s="76">
        <v>2.15</v>
      </c>
      <c r="G30" s="81">
        <v>99.2</v>
      </c>
      <c r="H30" s="82" t="s">
        <v>266</v>
      </c>
    </row>
    <row r="31" spans="1:8" ht="15" customHeight="1" x14ac:dyDescent="0.25">
      <c r="A31" s="79" t="s">
        <v>2138</v>
      </c>
      <c r="B31" s="80" t="s">
        <v>5352</v>
      </c>
      <c r="C31" s="75">
        <v>22.33</v>
      </c>
      <c r="D31" s="75">
        <v>23.55</v>
      </c>
      <c r="E31" s="75">
        <v>27.79</v>
      </c>
      <c r="F31" s="76">
        <v>2.2400000000000002</v>
      </c>
      <c r="G31" s="81">
        <v>97.7</v>
      </c>
      <c r="H31" s="82" t="s">
        <v>266</v>
      </c>
    </row>
    <row r="32" spans="1:8" ht="15" customHeight="1" x14ac:dyDescent="0.25">
      <c r="A32" s="73" t="s">
        <v>2139</v>
      </c>
      <c r="B32" s="74" t="s">
        <v>5352</v>
      </c>
      <c r="C32" s="75">
        <v>22.01</v>
      </c>
      <c r="D32" s="75">
        <v>23.2</v>
      </c>
      <c r="E32" s="75">
        <v>27.45</v>
      </c>
      <c r="F32" s="76">
        <v>2.0699999999999998</v>
      </c>
      <c r="G32" s="77">
        <v>93.8</v>
      </c>
      <c r="H32" s="78" t="s">
        <v>321</v>
      </c>
    </row>
    <row r="33" spans="1:8" ht="15" customHeight="1" x14ac:dyDescent="0.25">
      <c r="A33" s="79" t="s">
        <v>2140</v>
      </c>
      <c r="B33" s="80" t="s">
        <v>5352</v>
      </c>
      <c r="C33" s="75">
        <v>22.03</v>
      </c>
      <c r="D33" s="75">
        <v>23.21</v>
      </c>
      <c r="E33" s="75">
        <v>27.42</v>
      </c>
      <c r="F33" s="76">
        <v>2.17</v>
      </c>
      <c r="G33" s="81">
        <v>98.4</v>
      </c>
      <c r="H33" s="82" t="s">
        <v>266</v>
      </c>
    </row>
    <row r="34" spans="1:8" ht="15" customHeight="1" x14ac:dyDescent="0.25">
      <c r="A34" s="79" t="s">
        <v>2141</v>
      </c>
      <c r="B34" s="80" t="s">
        <v>5352</v>
      </c>
      <c r="C34" s="75">
        <v>22.16</v>
      </c>
      <c r="D34" s="75">
        <v>23.34</v>
      </c>
      <c r="E34" s="75">
        <v>27.56</v>
      </c>
      <c r="F34" s="76">
        <v>2.04</v>
      </c>
      <c r="G34" s="81">
        <v>99.5</v>
      </c>
      <c r="H34" s="82" t="s">
        <v>266</v>
      </c>
    </row>
    <row r="35" spans="1:8" ht="15" customHeight="1" x14ac:dyDescent="0.25">
      <c r="A35" s="79" t="s">
        <v>2142</v>
      </c>
      <c r="B35" s="80" t="s">
        <v>5352</v>
      </c>
      <c r="C35" s="75">
        <v>22.12</v>
      </c>
      <c r="D35" s="75">
        <v>23.38</v>
      </c>
      <c r="E35" s="75">
        <v>27.64</v>
      </c>
      <c r="F35" s="76">
        <v>2.06</v>
      </c>
      <c r="G35" s="81">
        <v>96.7</v>
      </c>
      <c r="H35" s="82" t="s">
        <v>266</v>
      </c>
    </row>
    <row r="36" spans="1:8" ht="15" customHeight="1" x14ac:dyDescent="0.25">
      <c r="A36" s="79" t="s">
        <v>2143</v>
      </c>
      <c r="B36" s="80" t="s">
        <v>5352</v>
      </c>
      <c r="C36" s="75">
        <v>22.17</v>
      </c>
      <c r="D36" s="75">
        <v>23.39</v>
      </c>
      <c r="E36" s="75">
        <v>27.6</v>
      </c>
      <c r="F36" s="76">
        <v>2.19</v>
      </c>
      <c r="G36" s="81">
        <v>98</v>
      </c>
      <c r="H36" s="82" t="s">
        <v>266</v>
      </c>
    </row>
    <row r="37" spans="1:8" ht="15" customHeight="1" x14ac:dyDescent="0.25">
      <c r="A37" s="79" t="s">
        <v>2144</v>
      </c>
      <c r="B37" s="80" t="s">
        <v>5352</v>
      </c>
      <c r="C37" s="75">
        <v>22.2</v>
      </c>
      <c r="D37" s="75">
        <v>23.4</v>
      </c>
      <c r="E37" s="75">
        <v>27.6</v>
      </c>
      <c r="F37" s="76">
        <v>2.09</v>
      </c>
      <c r="G37" s="81">
        <v>97.4</v>
      </c>
      <c r="H37" s="82" t="s">
        <v>266</v>
      </c>
    </row>
    <row r="38" spans="1:8" ht="15" customHeight="1" x14ac:dyDescent="0.25">
      <c r="A38" s="73" t="s">
        <v>2145</v>
      </c>
      <c r="B38" s="74" t="s">
        <v>5352</v>
      </c>
      <c r="C38" s="75">
        <v>22.19</v>
      </c>
      <c r="D38" s="75">
        <v>23.38</v>
      </c>
      <c r="E38" s="75">
        <v>27.6</v>
      </c>
      <c r="F38" s="76">
        <v>2.1</v>
      </c>
      <c r="G38" s="77">
        <v>94.2</v>
      </c>
      <c r="H38" s="78" t="s">
        <v>321</v>
      </c>
    </row>
    <row r="39" spans="1:8" ht="15" customHeight="1" x14ac:dyDescent="0.25">
      <c r="A39" s="73" t="s">
        <v>2146</v>
      </c>
      <c r="B39" s="74" t="s">
        <v>5352</v>
      </c>
      <c r="C39" s="75">
        <v>22.11</v>
      </c>
      <c r="D39" s="75">
        <v>23.36</v>
      </c>
      <c r="E39" s="75">
        <v>27.57</v>
      </c>
      <c r="F39" s="76">
        <v>2.0699999999999998</v>
      </c>
      <c r="G39" s="77">
        <v>94.6</v>
      </c>
      <c r="H39" s="78" t="s">
        <v>321</v>
      </c>
    </row>
  </sheetData>
  <mergeCells count="2">
    <mergeCell ref="A2:H2"/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82"/>
  <sheetViews>
    <sheetView zoomScaleNormal="100" workbookViewId="0">
      <pane xSplit="2" ySplit="2" topLeftCell="G10" activePane="bottomRight" state="frozen"/>
      <selection pane="topRight" activeCell="G1" sqref="G1"/>
      <selection pane="bottomLeft" activeCell="A10" sqref="A10"/>
      <selection pane="bottomRight" activeCell="A2" sqref="A2"/>
    </sheetView>
  </sheetViews>
  <sheetFormatPr defaultColWidth="8.7109375" defaultRowHeight="15" x14ac:dyDescent="0.25"/>
  <cols>
    <col min="1" max="1" width="15.28515625" customWidth="1"/>
    <col min="2" max="2" width="8.85546875" customWidth="1"/>
    <col min="3" max="3" width="11.42578125" customWidth="1"/>
    <col min="4" max="4" width="12.28515625" customWidth="1"/>
    <col min="5" max="5" width="24" customWidth="1"/>
    <col min="6" max="6" width="17.42578125" customWidth="1"/>
    <col min="7" max="7" width="18" customWidth="1"/>
    <col min="8" max="8" width="10.7109375" customWidth="1"/>
    <col min="9" max="9" width="18.85546875" customWidth="1"/>
    <col min="10" max="10" width="8" customWidth="1"/>
    <col min="11" max="11" width="13.5703125" customWidth="1"/>
    <col min="12" max="12" width="14.7109375" customWidth="1"/>
    <col min="13" max="13" width="14.42578125" customWidth="1"/>
    <col min="14" max="14" width="18.85546875" customWidth="1"/>
    <col min="15" max="15" width="22.5703125" customWidth="1"/>
    <col min="16" max="16" width="12" customWidth="1"/>
    <col min="17" max="17" width="24" customWidth="1"/>
    <col min="18" max="18" width="23.140625" customWidth="1"/>
    <col min="19" max="19" width="7.42578125" customWidth="1"/>
    <col min="20" max="20" width="7" customWidth="1"/>
  </cols>
  <sheetData>
    <row r="1" spans="1:20" ht="37.5" customHeight="1" x14ac:dyDescent="0.25">
      <c r="A1" s="138" t="s">
        <v>5353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40"/>
    </row>
    <row r="2" spans="1:20" ht="21.75" customHeight="1" x14ac:dyDescent="0.25">
      <c r="A2" s="58" t="s">
        <v>5354</v>
      </c>
      <c r="B2" s="58" t="s">
        <v>2119</v>
      </c>
      <c r="C2" s="58" t="s">
        <v>5355</v>
      </c>
      <c r="D2" s="58" t="s">
        <v>5115</v>
      </c>
      <c r="E2" s="58" t="s">
        <v>5356</v>
      </c>
      <c r="F2" s="58" t="s">
        <v>5357</v>
      </c>
      <c r="G2" s="58" t="s">
        <v>5358</v>
      </c>
      <c r="H2" s="58" t="s">
        <v>5359</v>
      </c>
      <c r="I2" s="58" t="s">
        <v>5360</v>
      </c>
      <c r="J2" s="58" t="s">
        <v>5361</v>
      </c>
      <c r="K2" s="58" t="s">
        <v>5362</v>
      </c>
      <c r="L2" s="58" t="s">
        <v>5363</v>
      </c>
      <c r="M2" s="58" t="s">
        <v>5364</v>
      </c>
      <c r="N2" s="58" t="s">
        <v>5365</v>
      </c>
      <c r="O2" s="58" t="s">
        <v>5366</v>
      </c>
      <c r="P2" s="58" t="s">
        <v>5367</v>
      </c>
      <c r="Q2" s="58" t="s">
        <v>5368</v>
      </c>
      <c r="R2" s="58" t="s">
        <v>5369</v>
      </c>
      <c r="S2" s="58" t="s">
        <v>567</v>
      </c>
      <c r="T2" s="58" t="s">
        <v>568</v>
      </c>
    </row>
    <row r="3" spans="1:20" ht="25.5" customHeight="1" x14ac:dyDescent="0.25">
      <c r="A3" s="83" t="s">
        <v>5370</v>
      </c>
      <c r="B3" s="83" t="s">
        <v>5371</v>
      </c>
      <c r="C3" s="83" t="s">
        <v>5372</v>
      </c>
      <c r="D3" s="83" t="s">
        <v>5214</v>
      </c>
      <c r="E3" s="83" t="s">
        <v>5373</v>
      </c>
      <c r="F3" s="83">
        <v>5365.84</v>
      </c>
      <c r="G3" s="83">
        <v>5146.38</v>
      </c>
      <c r="H3" s="83">
        <v>-4.09</v>
      </c>
      <c r="I3" s="83">
        <v>91.2</v>
      </c>
      <c r="J3" s="83" t="s">
        <v>5374</v>
      </c>
      <c r="K3" s="83" t="s">
        <v>5375</v>
      </c>
      <c r="L3" s="83" t="s">
        <v>5376</v>
      </c>
      <c r="M3" s="83" t="s">
        <v>5377</v>
      </c>
      <c r="N3" s="83" t="s">
        <v>4245</v>
      </c>
      <c r="O3" s="83" t="s">
        <v>1305</v>
      </c>
      <c r="P3" s="83" t="s">
        <v>542</v>
      </c>
      <c r="Q3" s="83" t="s">
        <v>587</v>
      </c>
      <c r="R3" s="83" t="s">
        <v>5378</v>
      </c>
      <c r="S3" s="83" t="s">
        <v>266</v>
      </c>
      <c r="T3" s="84" t="s">
        <v>266</v>
      </c>
    </row>
    <row r="4" spans="1:20" ht="25.5" customHeight="1" x14ac:dyDescent="0.25">
      <c r="A4" s="83" t="s">
        <v>5379</v>
      </c>
      <c r="B4" s="83" t="s">
        <v>5380</v>
      </c>
      <c r="C4" s="83" t="s">
        <v>5381</v>
      </c>
      <c r="D4" s="83" t="s">
        <v>5382</v>
      </c>
      <c r="E4" s="83" t="s">
        <v>5383</v>
      </c>
      <c r="F4" s="83">
        <v>7337.76</v>
      </c>
      <c r="G4" s="83">
        <v>7335.56</v>
      </c>
      <c r="H4" s="83">
        <v>-0.03</v>
      </c>
      <c r="I4" s="83">
        <v>99.3</v>
      </c>
      <c r="J4" s="83" t="s">
        <v>5374</v>
      </c>
      <c r="K4" s="83" t="s">
        <v>5384</v>
      </c>
      <c r="L4" s="83" t="s">
        <v>5385</v>
      </c>
      <c r="M4" s="83" t="s">
        <v>5377</v>
      </c>
      <c r="N4" s="83" t="s">
        <v>1538</v>
      </c>
      <c r="O4" s="83" t="s">
        <v>1910</v>
      </c>
      <c r="P4" s="83" t="s">
        <v>542</v>
      </c>
      <c r="Q4" s="83" t="s">
        <v>576</v>
      </c>
      <c r="R4" s="83" t="s">
        <v>5386</v>
      </c>
      <c r="S4" s="83" t="s">
        <v>266</v>
      </c>
      <c r="T4" s="84" t="s">
        <v>266</v>
      </c>
    </row>
    <row r="5" spans="1:20" ht="25.5" customHeight="1" x14ac:dyDescent="0.25">
      <c r="A5" s="83" t="s">
        <v>5387</v>
      </c>
      <c r="B5" s="83" t="s">
        <v>5380</v>
      </c>
      <c r="C5" s="83" t="s">
        <v>5388</v>
      </c>
      <c r="D5" s="83" t="s">
        <v>5382</v>
      </c>
      <c r="E5" s="83" t="s">
        <v>5389</v>
      </c>
      <c r="F5" s="83">
        <v>3429.08</v>
      </c>
      <c r="G5" s="83">
        <v>3418.11</v>
      </c>
      <c r="H5" s="83">
        <v>-0.32</v>
      </c>
      <c r="I5" s="83">
        <v>90</v>
      </c>
      <c r="J5" s="83" t="s">
        <v>5390</v>
      </c>
      <c r="K5" s="83" t="s">
        <v>5384</v>
      </c>
      <c r="L5" s="83" t="s">
        <v>5376</v>
      </c>
      <c r="M5" s="83" t="s">
        <v>5377</v>
      </c>
      <c r="N5" s="83" t="s">
        <v>1218</v>
      </c>
      <c r="O5" s="83" t="s">
        <v>5391</v>
      </c>
      <c r="P5" s="83" t="s">
        <v>542</v>
      </c>
      <c r="Q5" s="83" t="s">
        <v>576</v>
      </c>
      <c r="R5" s="83" t="s">
        <v>5392</v>
      </c>
      <c r="S5" s="83" t="s">
        <v>266</v>
      </c>
      <c r="T5" s="84" t="s">
        <v>266</v>
      </c>
    </row>
    <row r="6" spans="1:20" ht="25.5" customHeight="1" x14ac:dyDescent="0.25">
      <c r="A6" s="83" t="s">
        <v>5393</v>
      </c>
      <c r="B6" s="83" t="s">
        <v>2140</v>
      </c>
      <c r="C6" s="83" t="s">
        <v>5394</v>
      </c>
      <c r="D6" s="83" t="s">
        <v>5395</v>
      </c>
      <c r="E6" s="83" t="s">
        <v>5396</v>
      </c>
      <c r="F6" s="83">
        <v>1706.74</v>
      </c>
      <c r="G6" s="83">
        <v>1649.22</v>
      </c>
      <c r="H6" s="83">
        <v>-3.37</v>
      </c>
      <c r="I6" s="83">
        <v>95.1</v>
      </c>
      <c r="J6" s="83" t="s">
        <v>5390</v>
      </c>
      <c r="K6" s="83" t="s">
        <v>5397</v>
      </c>
      <c r="L6" s="83" t="s">
        <v>5398</v>
      </c>
      <c r="M6" s="83" t="s">
        <v>5377</v>
      </c>
      <c r="N6" s="83" t="s">
        <v>1436</v>
      </c>
      <c r="O6" s="83" t="s">
        <v>1813</v>
      </c>
      <c r="P6" s="83" t="s">
        <v>542</v>
      </c>
      <c r="Q6" s="83" t="s">
        <v>576</v>
      </c>
      <c r="R6" s="83" t="s">
        <v>5399</v>
      </c>
      <c r="S6" s="83" t="s">
        <v>266</v>
      </c>
      <c r="T6" s="84" t="s">
        <v>266</v>
      </c>
    </row>
    <row r="7" spans="1:20" ht="25.5" customHeight="1" x14ac:dyDescent="0.25">
      <c r="A7" s="83" t="s">
        <v>5400</v>
      </c>
      <c r="B7" s="83" t="s">
        <v>2140</v>
      </c>
      <c r="C7" s="83" t="s">
        <v>5401</v>
      </c>
      <c r="D7" s="83" t="s">
        <v>5382</v>
      </c>
      <c r="E7" s="83" t="s">
        <v>5402</v>
      </c>
      <c r="F7" s="83">
        <v>3063</v>
      </c>
      <c r="G7" s="83">
        <v>2987.34</v>
      </c>
      <c r="H7" s="83">
        <v>-2.4700000000000002</v>
      </c>
      <c r="I7" s="83">
        <v>92.7</v>
      </c>
      <c r="J7" s="83" t="s">
        <v>5403</v>
      </c>
      <c r="K7" s="83" t="s">
        <v>5384</v>
      </c>
      <c r="L7" s="83" t="s">
        <v>5404</v>
      </c>
      <c r="M7" s="83" t="s">
        <v>5377</v>
      </c>
      <c r="N7" s="83" t="s">
        <v>3537</v>
      </c>
      <c r="O7" s="83" t="s">
        <v>1797</v>
      </c>
      <c r="P7" s="83" t="s">
        <v>542</v>
      </c>
      <c r="Q7" s="83" t="s">
        <v>3480</v>
      </c>
      <c r="R7" s="83" t="s">
        <v>5405</v>
      </c>
      <c r="S7" s="83" t="s">
        <v>266</v>
      </c>
      <c r="T7" s="84" t="s">
        <v>266</v>
      </c>
    </row>
    <row r="8" spans="1:20" ht="25.5" customHeight="1" x14ac:dyDescent="0.25">
      <c r="A8" s="83" t="s">
        <v>5406</v>
      </c>
      <c r="B8" s="83" t="s">
        <v>2143</v>
      </c>
      <c r="C8" s="83" t="s">
        <v>5407</v>
      </c>
      <c r="D8" s="83" t="s">
        <v>5408</v>
      </c>
      <c r="E8" s="83" t="s">
        <v>5409</v>
      </c>
      <c r="F8" s="83">
        <v>9733.9699999999993</v>
      </c>
      <c r="G8" s="83">
        <v>9372.84</v>
      </c>
      <c r="H8" s="83">
        <v>-3.71</v>
      </c>
      <c r="I8" s="83">
        <v>99</v>
      </c>
      <c r="J8" s="83" t="s">
        <v>5403</v>
      </c>
      <c r="K8" s="83" t="s">
        <v>5397</v>
      </c>
      <c r="L8" s="83" t="s">
        <v>5410</v>
      </c>
      <c r="M8" s="83" t="s">
        <v>5377</v>
      </c>
      <c r="N8" s="83" t="s">
        <v>957</v>
      </c>
      <c r="O8" s="83" t="s">
        <v>706</v>
      </c>
      <c r="P8" s="83" t="s">
        <v>542</v>
      </c>
      <c r="Q8" s="83" t="s">
        <v>576</v>
      </c>
      <c r="R8" s="83" t="s">
        <v>5411</v>
      </c>
      <c r="S8" s="83" t="s">
        <v>266</v>
      </c>
      <c r="T8" s="84" t="s">
        <v>266</v>
      </c>
    </row>
    <row r="9" spans="1:20" ht="25.5" customHeight="1" x14ac:dyDescent="0.25">
      <c r="A9" s="83" t="s">
        <v>5412</v>
      </c>
      <c r="B9" s="83" t="s">
        <v>2145</v>
      </c>
      <c r="C9" s="83" t="s">
        <v>5413</v>
      </c>
      <c r="D9" s="83" t="s">
        <v>5395</v>
      </c>
      <c r="E9" s="83" t="s">
        <v>5414</v>
      </c>
      <c r="F9" s="83">
        <v>8177.3</v>
      </c>
      <c r="G9" s="83">
        <v>7789.7</v>
      </c>
      <c r="H9" s="83">
        <v>-4.74</v>
      </c>
      <c r="I9" s="83">
        <v>94.6</v>
      </c>
      <c r="J9" s="83" t="s">
        <v>5403</v>
      </c>
      <c r="K9" s="83" t="s">
        <v>5375</v>
      </c>
      <c r="L9" s="83" t="s">
        <v>5410</v>
      </c>
      <c r="M9" s="83" t="s">
        <v>5377</v>
      </c>
      <c r="N9" s="83" t="s">
        <v>4645</v>
      </c>
      <c r="O9" s="83" t="s">
        <v>5415</v>
      </c>
      <c r="P9" s="83" t="s">
        <v>542</v>
      </c>
      <c r="Q9" s="83" t="s">
        <v>587</v>
      </c>
      <c r="R9" s="83" t="s">
        <v>5416</v>
      </c>
      <c r="S9" s="83" t="s">
        <v>266</v>
      </c>
      <c r="T9" s="84" t="s">
        <v>266</v>
      </c>
    </row>
    <row r="10" spans="1:20" ht="25.5" customHeight="1" x14ac:dyDescent="0.25">
      <c r="A10" s="83" t="s">
        <v>5417</v>
      </c>
      <c r="B10" s="83" t="s">
        <v>2136</v>
      </c>
      <c r="C10" s="83" t="s">
        <v>5418</v>
      </c>
      <c r="D10" s="83" t="s">
        <v>5395</v>
      </c>
      <c r="E10" s="83" t="s">
        <v>5419</v>
      </c>
      <c r="F10" s="83">
        <v>9400.23</v>
      </c>
      <c r="G10" s="83">
        <v>9692.58</v>
      </c>
      <c r="H10" s="83">
        <v>3.11</v>
      </c>
      <c r="I10" s="83">
        <v>96.7</v>
      </c>
      <c r="J10" s="83" t="s">
        <v>5420</v>
      </c>
      <c r="K10" s="83" t="s">
        <v>5384</v>
      </c>
      <c r="L10" s="83" t="s">
        <v>5421</v>
      </c>
      <c r="M10" s="83" t="s">
        <v>5377</v>
      </c>
      <c r="N10" s="83" t="s">
        <v>779</v>
      </c>
      <c r="O10" s="83" t="s">
        <v>2114</v>
      </c>
      <c r="P10" s="83" t="s">
        <v>542</v>
      </c>
      <c r="Q10" s="83" t="s">
        <v>576</v>
      </c>
      <c r="R10" s="83" t="s">
        <v>5422</v>
      </c>
      <c r="S10" s="83" t="s">
        <v>266</v>
      </c>
      <c r="T10" s="84" t="s">
        <v>266</v>
      </c>
    </row>
    <row r="11" spans="1:20" ht="25.5" customHeight="1" x14ac:dyDescent="0.25">
      <c r="A11" s="83" t="s">
        <v>5423</v>
      </c>
      <c r="B11" s="83" t="s">
        <v>5380</v>
      </c>
      <c r="C11" s="83" t="s">
        <v>5424</v>
      </c>
      <c r="D11" s="83" t="s">
        <v>5258</v>
      </c>
      <c r="E11" s="83" t="s">
        <v>5425</v>
      </c>
      <c r="F11" s="83">
        <v>10862.45</v>
      </c>
      <c r="G11" s="83">
        <v>10438.81</v>
      </c>
      <c r="H11" s="83">
        <v>-3.9</v>
      </c>
      <c r="I11" s="83">
        <v>95</v>
      </c>
      <c r="J11" s="83" t="s">
        <v>5390</v>
      </c>
      <c r="K11" s="83" t="s">
        <v>5375</v>
      </c>
      <c r="L11" s="83" t="s">
        <v>5385</v>
      </c>
      <c r="M11" s="83" t="s">
        <v>5377</v>
      </c>
      <c r="N11" s="83" t="s">
        <v>1882</v>
      </c>
      <c r="O11" s="83" t="s">
        <v>966</v>
      </c>
      <c r="P11" s="83" t="s">
        <v>5426</v>
      </c>
      <c r="Q11" s="83" t="s">
        <v>576</v>
      </c>
      <c r="R11" s="83" t="s">
        <v>5427</v>
      </c>
      <c r="S11" s="83" t="s">
        <v>321</v>
      </c>
      <c r="T11" s="85" t="s">
        <v>321</v>
      </c>
    </row>
    <row r="12" spans="1:20" ht="25.5" customHeight="1" x14ac:dyDescent="0.25">
      <c r="A12" s="83" t="s">
        <v>5428</v>
      </c>
      <c r="B12" s="83" t="s">
        <v>5371</v>
      </c>
      <c r="C12" s="83" t="s">
        <v>5429</v>
      </c>
      <c r="D12" s="83" t="s">
        <v>5258</v>
      </c>
      <c r="E12" s="83" t="s">
        <v>5430</v>
      </c>
      <c r="F12" s="83">
        <v>9433.35</v>
      </c>
      <c r="G12" s="83">
        <v>9710.69</v>
      </c>
      <c r="H12" s="83">
        <v>2.94</v>
      </c>
      <c r="I12" s="83">
        <v>91.9</v>
      </c>
      <c r="J12" s="83" t="s">
        <v>5390</v>
      </c>
      <c r="K12" s="83" t="s">
        <v>5375</v>
      </c>
      <c r="L12" s="83" t="s">
        <v>5376</v>
      </c>
      <c r="M12" s="83" t="s">
        <v>5377</v>
      </c>
      <c r="N12" s="83" t="s">
        <v>1215</v>
      </c>
      <c r="O12" s="83" t="s">
        <v>898</v>
      </c>
      <c r="P12" s="83" t="s">
        <v>542</v>
      </c>
      <c r="Q12" s="83" t="s">
        <v>587</v>
      </c>
      <c r="R12" s="83" t="s">
        <v>5431</v>
      </c>
      <c r="S12" s="83" t="s">
        <v>266</v>
      </c>
      <c r="T12" s="84" t="s">
        <v>266</v>
      </c>
    </row>
    <row r="13" spans="1:20" ht="25.5" customHeight="1" x14ac:dyDescent="0.25">
      <c r="A13" s="83" t="s">
        <v>5432</v>
      </c>
      <c r="B13" s="83" t="s">
        <v>2146</v>
      </c>
      <c r="C13" s="83" t="s">
        <v>5407</v>
      </c>
      <c r="D13" s="83" t="s">
        <v>5433</v>
      </c>
      <c r="E13" s="83" t="s">
        <v>5434</v>
      </c>
      <c r="F13" s="83">
        <v>4642.12</v>
      </c>
      <c r="G13" s="83">
        <v>4736.82</v>
      </c>
      <c r="H13" s="83">
        <v>2.04</v>
      </c>
      <c r="I13" s="83">
        <v>96.4</v>
      </c>
      <c r="J13" s="83" t="s">
        <v>5403</v>
      </c>
      <c r="K13" s="83" t="s">
        <v>5375</v>
      </c>
      <c r="L13" s="83" t="s">
        <v>5410</v>
      </c>
      <c r="M13" s="83" t="s">
        <v>5377</v>
      </c>
      <c r="N13" s="83" t="s">
        <v>3748</v>
      </c>
      <c r="O13" s="83" t="s">
        <v>2413</v>
      </c>
      <c r="P13" s="83" t="s">
        <v>542</v>
      </c>
      <c r="Q13" s="83" t="s">
        <v>587</v>
      </c>
      <c r="R13" s="83" t="s">
        <v>5435</v>
      </c>
      <c r="S13" s="83" t="s">
        <v>266</v>
      </c>
      <c r="T13" s="84" t="s">
        <v>266</v>
      </c>
    </row>
    <row r="14" spans="1:20" ht="38.25" customHeight="1" x14ac:dyDescent="0.25">
      <c r="A14" s="83" t="s">
        <v>5436</v>
      </c>
      <c r="B14" s="83" t="s">
        <v>5437</v>
      </c>
      <c r="C14" s="83" t="s">
        <v>5394</v>
      </c>
      <c r="D14" s="83" t="s">
        <v>5258</v>
      </c>
      <c r="E14" s="83" t="s">
        <v>5438</v>
      </c>
      <c r="F14" s="83">
        <v>3004.75</v>
      </c>
      <c r="G14" s="83">
        <v>2984.02</v>
      </c>
      <c r="H14" s="83">
        <v>-0.69</v>
      </c>
      <c r="I14" s="83">
        <v>89.8</v>
      </c>
      <c r="J14" s="83" t="s">
        <v>5403</v>
      </c>
      <c r="K14" s="83" t="s">
        <v>5397</v>
      </c>
      <c r="L14" s="83" t="s">
        <v>5421</v>
      </c>
      <c r="M14" s="83" t="s">
        <v>5377</v>
      </c>
      <c r="N14" s="83" t="s">
        <v>2609</v>
      </c>
      <c r="O14" s="83" t="s">
        <v>2979</v>
      </c>
      <c r="P14" s="83" t="s">
        <v>542</v>
      </c>
      <c r="Q14" s="83" t="s">
        <v>587</v>
      </c>
      <c r="R14" s="83" t="s">
        <v>5439</v>
      </c>
      <c r="S14" s="83" t="s">
        <v>321</v>
      </c>
      <c r="T14" s="85" t="s">
        <v>321</v>
      </c>
    </row>
    <row r="15" spans="1:20" ht="25.5" customHeight="1" x14ac:dyDescent="0.25">
      <c r="A15" s="83" t="s">
        <v>5440</v>
      </c>
      <c r="B15" s="83" t="s">
        <v>2139</v>
      </c>
      <c r="C15" s="83" t="s">
        <v>5401</v>
      </c>
      <c r="D15" s="83" t="s">
        <v>5241</v>
      </c>
      <c r="E15" s="83" t="s">
        <v>5441</v>
      </c>
      <c r="F15" s="83">
        <v>1484.62</v>
      </c>
      <c r="G15" s="83">
        <v>1440.53</v>
      </c>
      <c r="H15" s="83">
        <v>-2.97</v>
      </c>
      <c r="I15" s="83">
        <v>98.6</v>
      </c>
      <c r="J15" s="83" t="s">
        <v>5403</v>
      </c>
      <c r="K15" s="83" t="s">
        <v>5384</v>
      </c>
      <c r="L15" s="83" t="s">
        <v>5376</v>
      </c>
      <c r="M15" s="83" t="s">
        <v>5377</v>
      </c>
      <c r="N15" s="83" t="s">
        <v>1511</v>
      </c>
      <c r="O15" s="83" t="s">
        <v>5442</v>
      </c>
      <c r="P15" s="83" t="s">
        <v>542</v>
      </c>
      <c r="Q15" s="83" t="s">
        <v>587</v>
      </c>
      <c r="R15" s="83" t="s">
        <v>5443</v>
      </c>
      <c r="S15" s="83" t="s">
        <v>266</v>
      </c>
      <c r="T15" s="84" t="s">
        <v>266</v>
      </c>
    </row>
    <row r="16" spans="1:20" ht="38.25" customHeight="1" x14ac:dyDescent="0.25">
      <c r="A16" s="83" t="s">
        <v>5444</v>
      </c>
      <c r="B16" s="83" t="s">
        <v>2143</v>
      </c>
      <c r="C16" s="83" t="s">
        <v>5445</v>
      </c>
      <c r="D16" s="83" t="s">
        <v>5408</v>
      </c>
      <c r="E16" s="83" t="s">
        <v>5446</v>
      </c>
      <c r="F16" s="83">
        <v>8206.86</v>
      </c>
      <c r="G16" s="83">
        <v>8508.0499999999993</v>
      </c>
      <c r="H16" s="83">
        <v>3.67</v>
      </c>
      <c r="I16" s="83">
        <v>96.7</v>
      </c>
      <c r="J16" s="83" t="s">
        <v>5420</v>
      </c>
      <c r="K16" s="83" t="s">
        <v>5447</v>
      </c>
      <c r="L16" s="83" t="s">
        <v>5421</v>
      </c>
      <c r="M16" s="83" t="s">
        <v>5377</v>
      </c>
      <c r="N16" s="83" t="s">
        <v>2021</v>
      </c>
      <c r="O16" s="83" t="s">
        <v>2754</v>
      </c>
      <c r="P16" s="83" t="s">
        <v>542</v>
      </c>
      <c r="Q16" s="83" t="s">
        <v>3480</v>
      </c>
      <c r="R16" s="83" t="s">
        <v>5448</v>
      </c>
      <c r="S16" s="83" t="s">
        <v>266</v>
      </c>
      <c r="T16" s="84" t="s">
        <v>266</v>
      </c>
    </row>
    <row r="17" spans="1:20" ht="25.5" customHeight="1" x14ac:dyDescent="0.25">
      <c r="A17" s="83" t="s">
        <v>5449</v>
      </c>
      <c r="B17" s="83" t="s">
        <v>2142</v>
      </c>
      <c r="C17" s="83" t="s">
        <v>5445</v>
      </c>
      <c r="D17" s="83" t="s">
        <v>5450</v>
      </c>
      <c r="E17" s="83" t="s">
        <v>5451</v>
      </c>
      <c r="F17" s="83">
        <v>987.93</v>
      </c>
      <c r="G17" s="83">
        <v>940.51</v>
      </c>
      <c r="H17" s="83">
        <v>-4.8</v>
      </c>
      <c r="I17" s="83">
        <v>97</v>
      </c>
      <c r="J17" s="83" t="s">
        <v>5420</v>
      </c>
      <c r="K17" s="83" t="s">
        <v>5384</v>
      </c>
      <c r="L17" s="83" t="s">
        <v>5376</v>
      </c>
      <c r="M17" s="83" t="s">
        <v>5377</v>
      </c>
      <c r="N17" s="83" t="s">
        <v>5452</v>
      </c>
      <c r="O17" s="83" t="s">
        <v>2762</v>
      </c>
      <c r="P17" s="83" t="s">
        <v>5426</v>
      </c>
      <c r="Q17" s="83" t="s">
        <v>587</v>
      </c>
      <c r="R17" s="83" t="s">
        <v>5453</v>
      </c>
      <c r="S17" s="83" t="s">
        <v>321</v>
      </c>
      <c r="T17" s="85" t="s">
        <v>321</v>
      </c>
    </row>
    <row r="18" spans="1:20" ht="38.25" customHeight="1" x14ac:dyDescent="0.25">
      <c r="A18" s="83" t="s">
        <v>5454</v>
      </c>
      <c r="B18" s="83" t="s">
        <v>2145</v>
      </c>
      <c r="C18" s="83" t="s">
        <v>5418</v>
      </c>
      <c r="D18" s="83" t="s">
        <v>5241</v>
      </c>
      <c r="E18" s="83" t="s">
        <v>5455</v>
      </c>
      <c r="F18" s="83">
        <v>11667.44</v>
      </c>
      <c r="G18" s="83">
        <v>11551.93</v>
      </c>
      <c r="H18" s="83">
        <v>-0.99</v>
      </c>
      <c r="I18" s="83">
        <v>98.2</v>
      </c>
      <c r="J18" s="83" t="s">
        <v>5403</v>
      </c>
      <c r="K18" s="83" t="s">
        <v>5384</v>
      </c>
      <c r="L18" s="83" t="s">
        <v>5404</v>
      </c>
      <c r="M18" s="83" t="s">
        <v>5377</v>
      </c>
      <c r="N18" s="83" t="s">
        <v>945</v>
      </c>
      <c r="O18" s="83" t="s">
        <v>890</v>
      </c>
      <c r="P18" s="83" t="s">
        <v>542</v>
      </c>
      <c r="Q18" s="83" t="s">
        <v>576</v>
      </c>
      <c r="R18" s="83" t="s">
        <v>5456</v>
      </c>
      <c r="S18" s="83" t="s">
        <v>266</v>
      </c>
      <c r="T18" s="84" t="s">
        <v>266</v>
      </c>
    </row>
    <row r="19" spans="1:20" ht="25.5" customHeight="1" x14ac:dyDescent="0.25">
      <c r="A19" s="83" t="s">
        <v>5457</v>
      </c>
      <c r="B19" s="83" t="s">
        <v>5371</v>
      </c>
      <c r="C19" s="83" t="s">
        <v>5413</v>
      </c>
      <c r="D19" s="83" t="s">
        <v>5450</v>
      </c>
      <c r="E19" s="83" t="s">
        <v>5458</v>
      </c>
      <c r="F19" s="83">
        <v>9425.66</v>
      </c>
      <c r="G19" s="83">
        <v>9232.43</v>
      </c>
      <c r="H19" s="83">
        <v>-2.0499999999999998</v>
      </c>
      <c r="I19" s="83">
        <v>92.7</v>
      </c>
      <c r="J19" s="83" t="s">
        <v>5390</v>
      </c>
      <c r="K19" s="83" t="s">
        <v>5375</v>
      </c>
      <c r="L19" s="83" t="s">
        <v>5421</v>
      </c>
      <c r="M19" s="83" t="s">
        <v>5377</v>
      </c>
      <c r="N19" s="83" t="s">
        <v>4203</v>
      </c>
      <c r="O19" s="83" t="s">
        <v>2691</v>
      </c>
      <c r="P19" s="83" t="s">
        <v>542</v>
      </c>
      <c r="Q19" s="83" t="s">
        <v>576</v>
      </c>
      <c r="R19" s="83" t="s">
        <v>5459</v>
      </c>
      <c r="S19" s="83" t="s">
        <v>266</v>
      </c>
      <c r="T19" s="84" t="s">
        <v>266</v>
      </c>
    </row>
    <row r="20" spans="1:20" ht="25.5" customHeight="1" x14ac:dyDescent="0.25">
      <c r="A20" s="83" t="s">
        <v>5460</v>
      </c>
      <c r="B20" s="83" t="s">
        <v>2141</v>
      </c>
      <c r="C20" s="83" t="s">
        <v>5461</v>
      </c>
      <c r="D20" s="83" t="s">
        <v>5395</v>
      </c>
      <c r="E20" s="83" t="s">
        <v>5462</v>
      </c>
      <c r="F20" s="83">
        <v>5314.25</v>
      </c>
      <c r="G20" s="83">
        <v>5273.33</v>
      </c>
      <c r="H20" s="83">
        <v>-0.77</v>
      </c>
      <c r="I20" s="83">
        <v>97.8</v>
      </c>
      <c r="J20" s="83" t="s">
        <v>5420</v>
      </c>
      <c r="K20" s="83" t="s">
        <v>5447</v>
      </c>
      <c r="L20" s="83" t="s">
        <v>5376</v>
      </c>
      <c r="M20" s="83" t="s">
        <v>5377</v>
      </c>
      <c r="N20" s="83" t="s">
        <v>2265</v>
      </c>
      <c r="O20" s="83" t="s">
        <v>629</v>
      </c>
      <c r="P20" s="83" t="s">
        <v>542</v>
      </c>
      <c r="Q20" s="83" t="s">
        <v>576</v>
      </c>
      <c r="R20" s="83" t="s">
        <v>5463</v>
      </c>
      <c r="S20" s="83" t="s">
        <v>266</v>
      </c>
      <c r="T20" s="84" t="s">
        <v>266</v>
      </c>
    </row>
    <row r="21" spans="1:20" ht="38.25" customHeight="1" x14ac:dyDescent="0.25">
      <c r="A21" s="83" t="s">
        <v>5464</v>
      </c>
      <c r="B21" s="83" t="s">
        <v>2136</v>
      </c>
      <c r="C21" s="83" t="s">
        <v>5465</v>
      </c>
      <c r="D21" s="83" t="s">
        <v>5258</v>
      </c>
      <c r="E21" s="83" t="s">
        <v>5466</v>
      </c>
      <c r="F21" s="83">
        <v>1894.54</v>
      </c>
      <c r="G21" s="83">
        <v>1829.18</v>
      </c>
      <c r="H21" s="83">
        <v>-3.45</v>
      </c>
      <c r="I21" s="83">
        <v>89.2</v>
      </c>
      <c r="J21" s="83" t="s">
        <v>5390</v>
      </c>
      <c r="K21" s="83" t="s">
        <v>5375</v>
      </c>
      <c r="L21" s="83" t="s">
        <v>5404</v>
      </c>
      <c r="M21" s="83" t="s">
        <v>5377</v>
      </c>
      <c r="N21" s="83" t="s">
        <v>1822</v>
      </c>
      <c r="O21" s="83" t="s">
        <v>1303</v>
      </c>
      <c r="P21" s="83" t="s">
        <v>542</v>
      </c>
      <c r="Q21" s="83" t="s">
        <v>3480</v>
      </c>
      <c r="R21" s="83" t="s">
        <v>5467</v>
      </c>
      <c r="S21" s="83" t="s">
        <v>321</v>
      </c>
      <c r="T21" s="85" t="s">
        <v>321</v>
      </c>
    </row>
    <row r="22" spans="1:20" ht="38.25" customHeight="1" x14ac:dyDescent="0.25">
      <c r="A22" s="83" t="s">
        <v>5468</v>
      </c>
      <c r="B22" s="83" t="s">
        <v>2143</v>
      </c>
      <c r="C22" s="83" t="s">
        <v>5469</v>
      </c>
      <c r="D22" s="83" t="s">
        <v>5470</v>
      </c>
      <c r="E22" s="83" t="s">
        <v>5471</v>
      </c>
      <c r="F22" s="83">
        <v>10999.01</v>
      </c>
      <c r="G22" s="83">
        <v>10967.11</v>
      </c>
      <c r="H22" s="83">
        <v>-0.28999999999999998</v>
      </c>
      <c r="I22" s="83">
        <v>89.4</v>
      </c>
      <c r="J22" s="83" t="s">
        <v>5390</v>
      </c>
      <c r="K22" s="83" t="s">
        <v>5375</v>
      </c>
      <c r="L22" s="83" t="s">
        <v>5421</v>
      </c>
      <c r="M22" s="83" t="s">
        <v>5377</v>
      </c>
      <c r="N22" s="83" t="s">
        <v>2409</v>
      </c>
      <c r="O22" s="83" t="s">
        <v>2575</v>
      </c>
      <c r="P22" s="83" t="s">
        <v>542</v>
      </c>
      <c r="Q22" s="83" t="s">
        <v>576</v>
      </c>
      <c r="R22" s="83" t="s">
        <v>5472</v>
      </c>
      <c r="S22" s="83" t="s">
        <v>321</v>
      </c>
      <c r="T22" s="85" t="s">
        <v>321</v>
      </c>
    </row>
    <row r="23" spans="1:20" ht="25.5" customHeight="1" x14ac:dyDescent="0.25">
      <c r="A23" s="83" t="s">
        <v>5473</v>
      </c>
      <c r="B23" s="83" t="s">
        <v>2144</v>
      </c>
      <c r="C23" s="83" t="s">
        <v>5413</v>
      </c>
      <c r="D23" s="83" t="s">
        <v>5241</v>
      </c>
      <c r="E23" s="83" t="s">
        <v>5474</v>
      </c>
      <c r="F23" s="83">
        <v>4024.48</v>
      </c>
      <c r="G23" s="83">
        <v>3861.09</v>
      </c>
      <c r="H23" s="83">
        <v>-4.0599999999999996</v>
      </c>
      <c r="I23" s="83">
        <v>93.2</v>
      </c>
      <c r="J23" s="83" t="s">
        <v>5403</v>
      </c>
      <c r="K23" s="83" t="s">
        <v>5375</v>
      </c>
      <c r="L23" s="83" t="s">
        <v>5385</v>
      </c>
      <c r="M23" s="83" t="s">
        <v>5377</v>
      </c>
      <c r="N23" s="83" t="s">
        <v>1167</v>
      </c>
      <c r="O23" s="83" t="s">
        <v>717</v>
      </c>
      <c r="P23" s="83" t="s">
        <v>542</v>
      </c>
      <c r="Q23" s="83" t="s">
        <v>587</v>
      </c>
      <c r="R23" s="83" t="s">
        <v>5475</v>
      </c>
      <c r="S23" s="83" t="s">
        <v>266</v>
      </c>
      <c r="T23" s="84" t="s">
        <v>266</v>
      </c>
    </row>
    <row r="24" spans="1:20" ht="25.5" customHeight="1" x14ac:dyDescent="0.25">
      <c r="A24" s="83" t="s">
        <v>5476</v>
      </c>
      <c r="B24" s="83" t="s">
        <v>2139</v>
      </c>
      <c r="C24" s="83" t="s">
        <v>5401</v>
      </c>
      <c r="D24" s="83" t="s">
        <v>5258</v>
      </c>
      <c r="E24" s="83" t="s">
        <v>5477</v>
      </c>
      <c r="F24" s="83">
        <v>11320.6</v>
      </c>
      <c r="G24" s="83">
        <v>11114.57</v>
      </c>
      <c r="H24" s="83">
        <v>-1.82</v>
      </c>
      <c r="I24" s="83">
        <v>96.6</v>
      </c>
      <c r="J24" s="83" t="s">
        <v>5374</v>
      </c>
      <c r="K24" s="83" t="s">
        <v>5384</v>
      </c>
      <c r="L24" s="83" t="s">
        <v>5404</v>
      </c>
      <c r="M24" s="83" t="s">
        <v>5377</v>
      </c>
      <c r="N24" s="83" t="s">
        <v>1877</v>
      </c>
      <c r="O24" s="83" t="s">
        <v>1098</v>
      </c>
      <c r="P24" s="83" t="s">
        <v>542</v>
      </c>
      <c r="Q24" s="83" t="s">
        <v>587</v>
      </c>
      <c r="R24" s="83" t="s">
        <v>5443</v>
      </c>
      <c r="S24" s="83" t="s">
        <v>266</v>
      </c>
      <c r="T24" s="84" t="s">
        <v>266</v>
      </c>
    </row>
    <row r="25" spans="1:20" ht="38.25" customHeight="1" x14ac:dyDescent="0.25">
      <c r="A25" s="83" t="s">
        <v>5478</v>
      </c>
      <c r="B25" s="83" t="s">
        <v>5371</v>
      </c>
      <c r="C25" s="83" t="s">
        <v>5429</v>
      </c>
      <c r="D25" s="83" t="s">
        <v>5241</v>
      </c>
      <c r="E25" s="83" t="s">
        <v>5479</v>
      </c>
      <c r="F25" s="83">
        <v>5843.16</v>
      </c>
      <c r="G25" s="83">
        <v>5604.17</v>
      </c>
      <c r="H25" s="83">
        <v>-4.09</v>
      </c>
      <c r="I25" s="83">
        <v>93.9</v>
      </c>
      <c r="J25" s="83" t="s">
        <v>5420</v>
      </c>
      <c r="K25" s="83" t="s">
        <v>5397</v>
      </c>
      <c r="L25" s="83" t="s">
        <v>5404</v>
      </c>
      <c r="M25" s="83" t="s">
        <v>5377</v>
      </c>
      <c r="N25" s="83" t="s">
        <v>2614</v>
      </c>
      <c r="O25" s="83" t="s">
        <v>3699</v>
      </c>
      <c r="P25" s="83" t="s">
        <v>542</v>
      </c>
      <c r="Q25" s="83" t="s">
        <v>587</v>
      </c>
      <c r="R25" s="83" t="s">
        <v>5431</v>
      </c>
      <c r="S25" s="83" t="s">
        <v>266</v>
      </c>
      <c r="T25" s="84" t="s">
        <v>266</v>
      </c>
    </row>
    <row r="26" spans="1:20" ht="38.25" customHeight="1" x14ac:dyDescent="0.25">
      <c r="A26" s="83" t="s">
        <v>5480</v>
      </c>
      <c r="B26" s="83" t="s">
        <v>5371</v>
      </c>
      <c r="C26" s="83" t="s">
        <v>5465</v>
      </c>
      <c r="D26" s="83" t="s">
        <v>5395</v>
      </c>
      <c r="E26" s="83" t="s">
        <v>5481</v>
      </c>
      <c r="F26" s="83">
        <v>2622.44</v>
      </c>
      <c r="G26" s="83">
        <v>2526.1999999999998</v>
      </c>
      <c r="H26" s="83">
        <v>-3.67</v>
      </c>
      <c r="I26" s="83">
        <v>94.4</v>
      </c>
      <c r="J26" s="83" t="s">
        <v>5420</v>
      </c>
      <c r="K26" s="83" t="s">
        <v>5447</v>
      </c>
      <c r="L26" s="83" t="s">
        <v>5385</v>
      </c>
      <c r="M26" s="83" t="s">
        <v>5377</v>
      </c>
      <c r="N26" s="83" t="s">
        <v>937</v>
      </c>
      <c r="O26" s="83" t="s">
        <v>2421</v>
      </c>
      <c r="P26" s="83" t="s">
        <v>5426</v>
      </c>
      <c r="Q26" s="83" t="s">
        <v>587</v>
      </c>
      <c r="R26" s="83" t="s">
        <v>5482</v>
      </c>
      <c r="S26" s="83" t="s">
        <v>321</v>
      </c>
      <c r="T26" s="85" t="s">
        <v>321</v>
      </c>
    </row>
    <row r="27" spans="1:20" ht="25.5" customHeight="1" x14ac:dyDescent="0.25">
      <c r="A27" s="83" t="s">
        <v>5483</v>
      </c>
      <c r="B27" s="83" t="s">
        <v>5437</v>
      </c>
      <c r="C27" s="83" t="s">
        <v>5484</v>
      </c>
      <c r="D27" s="83" t="s">
        <v>5214</v>
      </c>
      <c r="E27" s="83" t="s">
        <v>5485</v>
      </c>
      <c r="F27" s="83">
        <v>4904.6499999999996</v>
      </c>
      <c r="G27" s="83">
        <v>4839.91</v>
      </c>
      <c r="H27" s="83">
        <v>-1.32</v>
      </c>
      <c r="I27" s="83">
        <v>90.9</v>
      </c>
      <c r="J27" s="83" t="s">
        <v>5420</v>
      </c>
      <c r="K27" s="83" t="s">
        <v>5447</v>
      </c>
      <c r="L27" s="83" t="s">
        <v>5404</v>
      </c>
      <c r="M27" s="83" t="s">
        <v>5377</v>
      </c>
      <c r="N27" s="83" t="s">
        <v>2591</v>
      </c>
      <c r="O27" s="83" t="s">
        <v>2812</v>
      </c>
      <c r="P27" s="83" t="s">
        <v>5426</v>
      </c>
      <c r="Q27" s="83" t="s">
        <v>587</v>
      </c>
      <c r="R27" s="83" t="s">
        <v>5486</v>
      </c>
      <c r="S27" s="83" t="s">
        <v>321</v>
      </c>
      <c r="T27" s="85" t="s">
        <v>321</v>
      </c>
    </row>
    <row r="28" spans="1:20" ht="38.25" customHeight="1" x14ac:dyDescent="0.25">
      <c r="A28" s="83" t="s">
        <v>5487</v>
      </c>
      <c r="B28" s="83" t="s">
        <v>2139</v>
      </c>
      <c r="C28" s="83" t="s">
        <v>5381</v>
      </c>
      <c r="D28" s="83" t="s">
        <v>5214</v>
      </c>
      <c r="E28" s="83" t="s">
        <v>5488</v>
      </c>
      <c r="F28" s="83">
        <v>1010.82</v>
      </c>
      <c r="G28" s="83">
        <v>1037.3</v>
      </c>
      <c r="H28" s="83">
        <v>2.62</v>
      </c>
      <c r="I28" s="83">
        <v>89</v>
      </c>
      <c r="J28" s="83" t="s">
        <v>5420</v>
      </c>
      <c r="K28" s="83" t="s">
        <v>5397</v>
      </c>
      <c r="L28" s="83" t="s">
        <v>5398</v>
      </c>
      <c r="M28" s="83" t="s">
        <v>5377</v>
      </c>
      <c r="N28" s="83" t="s">
        <v>2796</v>
      </c>
      <c r="O28" s="83" t="s">
        <v>2842</v>
      </c>
      <c r="P28" s="83" t="s">
        <v>5426</v>
      </c>
      <c r="Q28" s="83" t="s">
        <v>587</v>
      </c>
      <c r="R28" s="83" t="s">
        <v>5489</v>
      </c>
      <c r="S28" s="83" t="s">
        <v>321</v>
      </c>
      <c r="T28" s="85" t="s">
        <v>321</v>
      </c>
    </row>
    <row r="29" spans="1:20" ht="25.5" customHeight="1" x14ac:dyDescent="0.25">
      <c r="A29" s="83" t="s">
        <v>5490</v>
      </c>
      <c r="B29" s="83" t="s">
        <v>2137</v>
      </c>
      <c r="C29" s="83" t="s">
        <v>5413</v>
      </c>
      <c r="D29" s="83" t="s">
        <v>5433</v>
      </c>
      <c r="E29" s="83" t="s">
        <v>5491</v>
      </c>
      <c r="F29" s="83">
        <v>8825.49</v>
      </c>
      <c r="G29" s="83">
        <v>8443.35</v>
      </c>
      <c r="H29" s="83">
        <v>-4.33</v>
      </c>
      <c r="I29" s="83">
        <v>91.8</v>
      </c>
      <c r="J29" s="83" t="s">
        <v>5420</v>
      </c>
      <c r="K29" s="83" t="s">
        <v>5447</v>
      </c>
      <c r="L29" s="83" t="s">
        <v>5421</v>
      </c>
      <c r="M29" s="83" t="s">
        <v>5377</v>
      </c>
      <c r="N29" s="83" t="s">
        <v>779</v>
      </c>
      <c r="O29" s="83" t="s">
        <v>1560</v>
      </c>
      <c r="P29" s="83" t="s">
        <v>542</v>
      </c>
      <c r="Q29" s="83" t="s">
        <v>576</v>
      </c>
      <c r="R29" s="83" t="s">
        <v>5492</v>
      </c>
      <c r="S29" s="83" t="s">
        <v>266</v>
      </c>
      <c r="T29" s="84" t="s">
        <v>266</v>
      </c>
    </row>
    <row r="30" spans="1:20" ht="25.5" customHeight="1" x14ac:dyDescent="0.25">
      <c r="A30" s="83" t="s">
        <v>5493</v>
      </c>
      <c r="B30" s="83" t="s">
        <v>5494</v>
      </c>
      <c r="C30" s="83" t="s">
        <v>5394</v>
      </c>
      <c r="D30" s="83" t="s">
        <v>5395</v>
      </c>
      <c r="E30" s="83" t="s">
        <v>5495</v>
      </c>
      <c r="F30" s="83">
        <v>10652.47</v>
      </c>
      <c r="G30" s="83">
        <v>11104.13</v>
      </c>
      <c r="H30" s="83">
        <v>4.24</v>
      </c>
      <c r="I30" s="83">
        <v>94.9</v>
      </c>
      <c r="J30" s="83" t="s">
        <v>5390</v>
      </c>
      <c r="K30" s="83" t="s">
        <v>5375</v>
      </c>
      <c r="L30" s="83" t="s">
        <v>5376</v>
      </c>
      <c r="M30" s="83" t="s">
        <v>5377</v>
      </c>
      <c r="N30" s="83" t="s">
        <v>5496</v>
      </c>
      <c r="O30" s="83" t="s">
        <v>746</v>
      </c>
      <c r="P30" s="83" t="s">
        <v>542</v>
      </c>
      <c r="Q30" s="83" t="s">
        <v>3480</v>
      </c>
      <c r="R30" s="83" t="s">
        <v>5497</v>
      </c>
      <c r="S30" s="83" t="s">
        <v>266</v>
      </c>
      <c r="T30" s="84" t="s">
        <v>266</v>
      </c>
    </row>
    <row r="31" spans="1:20" ht="38.25" customHeight="1" x14ac:dyDescent="0.25">
      <c r="A31" s="83" t="s">
        <v>5498</v>
      </c>
      <c r="B31" s="83" t="s">
        <v>2138</v>
      </c>
      <c r="C31" s="83" t="s">
        <v>5484</v>
      </c>
      <c r="D31" s="83" t="s">
        <v>5258</v>
      </c>
      <c r="E31" s="83" t="s">
        <v>5499</v>
      </c>
      <c r="F31" s="83">
        <v>7558.52</v>
      </c>
      <c r="G31" s="83">
        <v>7864.64</v>
      </c>
      <c r="H31" s="83">
        <v>4.05</v>
      </c>
      <c r="I31" s="83">
        <v>96.1</v>
      </c>
      <c r="J31" s="83" t="s">
        <v>5374</v>
      </c>
      <c r="K31" s="83" t="s">
        <v>5397</v>
      </c>
      <c r="L31" s="83" t="s">
        <v>5385</v>
      </c>
      <c r="M31" s="83" t="s">
        <v>5377</v>
      </c>
      <c r="N31" s="83" t="s">
        <v>1588</v>
      </c>
      <c r="O31" s="83" t="s">
        <v>4019</v>
      </c>
      <c r="P31" s="83" t="s">
        <v>5426</v>
      </c>
      <c r="Q31" s="83" t="s">
        <v>587</v>
      </c>
      <c r="R31" s="83" t="s">
        <v>5500</v>
      </c>
      <c r="S31" s="83" t="s">
        <v>321</v>
      </c>
      <c r="T31" s="85" t="s">
        <v>321</v>
      </c>
    </row>
    <row r="32" spans="1:20" ht="38.25" customHeight="1" x14ac:dyDescent="0.25">
      <c r="A32" s="83" t="s">
        <v>5501</v>
      </c>
      <c r="B32" s="83" t="s">
        <v>5437</v>
      </c>
      <c r="C32" s="83" t="s">
        <v>5413</v>
      </c>
      <c r="D32" s="83" t="s">
        <v>5433</v>
      </c>
      <c r="E32" s="83" t="s">
        <v>5502</v>
      </c>
      <c r="F32" s="83">
        <v>6511.9</v>
      </c>
      <c r="G32" s="83">
        <v>6338.03</v>
      </c>
      <c r="H32" s="83">
        <v>-2.67</v>
      </c>
      <c r="I32" s="83">
        <v>91.7</v>
      </c>
      <c r="J32" s="83" t="s">
        <v>5374</v>
      </c>
      <c r="K32" s="83" t="s">
        <v>5447</v>
      </c>
      <c r="L32" s="83" t="s">
        <v>5421</v>
      </c>
      <c r="M32" s="83" t="s">
        <v>5377</v>
      </c>
      <c r="N32" s="83" t="s">
        <v>2397</v>
      </c>
      <c r="O32" s="83" t="s">
        <v>3660</v>
      </c>
      <c r="P32" s="83" t="s">
        <v>5426</v>
      </c>
      <c r="Q32" s="83" t="s">
        <v>3480</v>
      </c>
      <c r="R32" s="83" t="s">
        <v>5503</v>
      </c>
      <c r="S32" s="83" t="s">
        <v>321</v>
      </c>
      <c r="T32" s="85" t="s">
        <v>321</v>
      </c>
    </row>
    <row r="33" spans="1:20" ht="38.25" customHeight="1" x14ac:dyDescent="0.25">
      <c r="A33" s="83" t="s">
        <v>5504</v>
      </c>
      <c r="B33" s="83" t="s">
        <v>5380</v>
      </c>
      <c r="C33" s="83" t="s">
        <v>5381</v>
      </c>
      <c r="D33" s="83" t="s">
        <v>5408</v>
      </c>
      <c r="E33" s="83" t="s">
        <v>5505</v>
      </c>
      <c r="F33" s="83">
        <v>9345.01</v>
      </c>
      <c r="G33" s="83">
        <v>9314.17</v>
      </c>
      <c r="H33" s="83">
        <v>-0.33</v>
      </c>
      <c r="I33" s="83">
        <v>99</v>
      </c>
      <c r="J33" s="83" t="s">
        <v>5374</v>
      </c>
      <c r="K33" s="83" t="s">
        <v>5397</v>
      </c>
      <c r="L33" s="83" t="s">
        <v>5385</v>
      </c>
      <c r="M33" s="83" t="s">
        <v>5377</v>
      </c>
      <c r="N33" s="83" t="s">
        <v>812</v>
      </c>
      <c r="O33" s="83" t="s">
        <v>2375</v>
      </c>
      <c r="P33" s="83" t="s">
        <v>5426</v>
      </c>
      <c r="Q33" s="83" t="s">
        <v>587</v>
      </c>
      <c r="R33" s="83" t="s">
        <v>5386</v>
      </c>
      <c r="S33" s="83" t="s">
        <v>321</v>
      </c>
      <c r="T33" s="85" t="s">
        <v>321</v>
      </c>
    </row>
    <row r="34" spans="1:20" ht="25.5" customHeight="1" x14ac:dyDescent="0.25">
      <c r="A34" s="83" t="s">
        <v>5506</v>
      </c>
      <c r="B34" s="83" t="s">
        <v>2146</v>
      </c>
      <c r="C34" s="83" t="s">
        <v>5429</v>
      </c>
      <c r="D34" s="83" t="s">
        <v>5241</v>
      </c>
      <c r="E34" s="83" t="s">
        <v>5507</v>
      </c>
      <c r="F34" s="83">
        <v>652.35</v>
      </c>
      <c r="G34" s="83">
        <v>660.63</v>
      </c>
      <c r="H34" s="83">
        <v>1.27</v>
      </c>
      <c r="I34" s="83">
        <v>97.7</v>
      </c>
      <c r="J34" s="83" t="s">
        <v>5374</v>
      </c>
      <c r="K34" s="83" t="s">
        <v>5397</v>
      </c>
      <c r="L34" s="83" t="s">
        <v>5410</v>
      </c>
      <c r="M34" s="83" t="s">
        <v>5377</v>
      </c>
      <c r="N34" s="83" t="s">
        <v>1992</v>
      </c>
      <c r="O34" s="83" t="s">
        <v>3821</v>
      </c>
      <c r="P34" s="83" t="s">
        <v>5426</v>
      </c>
      <c r="Q34" s="83" t="s">
        <v>587</v>
      </c>
      <c r="R34" s="83" t="s">
        <v>5508</v>
      </c>
      <c r="S34" s="83" t="s">
        <v>321</v>
      </c>
      <c r="T34" s="85" t="s">
        <v>321</v>
      </c>
    </row>
    <row r="35" spans="1:20" ht="25.5" customHeight="1" x14ac:dyDescent="0.25">
      <c r="A35" s="83" t="s">
        <v>5509</v>
      </c>
      <c r="B35" s="83" t="s">
        <v>5494</v>
      </c>
      <c r="C35" s="83" t="s">
        <v>5461</v>
      </c>
      <c r="D35" s="83" t="s">
        <v>5408</v>
      </c>
      <c r="E35" s="83" t="s">
        <v>5510</v>
      </c>
      <c r="F35" s="83">
        <v>9764.67</v>
      </c>
      <c r="G35" s="83">
        <v>9680.69</v>
      </c>
      <c r="H35" s="83">
        <v>-0.86</v>
      </c>
      <c r="I35" s="83">
        <v>91.3</v>
      </c>
      <c r="J35" s="83" t="s">
        <v>5403</v>
      </c>
      <c r="K35" s="83" t="s">
        <v>5384</v>
      </c>
      <c r="L35" s="83" t="s">
        <v>5398</v>
      </c>
      <c r="M35" s="83" t="s">
        <v>5377</v>
      </c>
      <c r="N35" s="83" t="s">
        <v>2236</v>
      </c>
      <c r="O35" s="83" t="s">
        <v>1350</v>
      </c>
      <c r="P35" s="83" t="s">
        <v>542</v>
      </c>
      <c r="Q35" s="83" t="s">
        <v>587</v>
      </c>
      <c r="R35" s="83" t="s">
        <v>5511</v>
      </c>
      <c r="S35" s="83" t="s">
        <v>266</v>
      </c>
      <c r="T35" s="84" t="s">
        <v>266</v>
      </c>
    </row>
    <row r="36" spans="1:20" ht="38.25" customHeight="1" x14ac:dyDescent="0.25">
      <c r="A36" s="83" t="s">
        <v>5512</v>
      </c>
      <c r="B36" s="83" t="s">
        <v>2138</v>
      </c>
      <c r="C36" s="83" t="s">
        <v>5513</v>
      </c>
      <c r="D36" s="83" t="s">
        <v>5258</v>
      </c>
      <c r="E36" s="83" t="s">
        <v>5514</v>
      </c>
      <c r="F36" s="83">
        <v>6759.81</v>
      </c>
      <c r="G36" s="83">
        <v>6704.38</v>
      </c>
      <c r="H36" s="83">
        <v>-0.82</v>
      </c>
      <c r="I36" s="83">
        <v>91</v>
      </c>
      <c r="J36" s="83" t="s">
        <v>5390</v>
      </c>
      <c r="K36" s="83" t="s">
        <v>5397</v>
      </c>
      <c r="L36" s="83" t="s">
        <v>5398</v>
      </c>
      <c r="M36" s="83" t="s">
        <v>5377</v>
      </c>
      <c r="N36" s="83" t="s">
        <v>1127</v>
      </c>
      <c r="O36" s="83" t="s">
        <v>806</v>
      </c>
      <c r="P36" s="83" t="s">
        <v>542</v>
      </c>
      <c r="Q36" s="83" t="s">
        <v>3480</v>
      </c>
      <c r="R36" s="83" t="s">
        <v>5515</v>
      </c>
      <c r="S36" s="83" t="s">
        <v>266</v>
      </c>
      <c r="T36" s="84" t="s">
        <v>266</v>
      </c>
    </row>
    <row r="37" spans="1:20" ht="25.5" customHeight="1" x14ac:dyDescent="0.25">
      <c r="A37" s="83" t="s">
        <v>5516</v>
      </c>
      <c r="B37" s="83" t="s">
        <v>2140</v>
      </c>
      <c r="C37" s="83" t="s">
        <v>5381</v>
      </c>
      <c r="D37" s="83" t="s">
        <v>5214</v>
      </c>
      <c r="E37" s="83" t="s">
        <v>5517</v>
      </c>
      <c r="F37" s="83">
        <v>5518.94</v>
      </c>
      <c r="G37" s="83">
        <v>5622.14</v>
      </c>
      <c r="H37" s="83">
        <v>1.87</v>
      </c>
      <c r="I37" s="83">
        <v>94.3</v>
      </c>
      <c r="J37" s="83" t="s">
        <v>5390</v>
      </c>
      <c r="K37" s="83" t="s">
        <v>5384</v>
      </c>
      <c r="L37" s="83" t="s">
        <v>5398</v>
      </c>
      <c r="M37" s="83" t="s">
        <v>5377</v>
      </c>
      <c r="N37" s="83" t="s">
        <v>1028</v>
      </c>
      <c r="O37" s="83" t="s">
        <v>1287</v>
      </c>
      <c r="P37" s="83" t="s">
        <v>542</v>
      </c>
      <c r="Q37" s="83" t="s">
        <v>3480</v>
      </c>
      <c r="R37" s="83" t="s">
        <v>5518</v>
      </c>
      <c r="S37" s="83" t="s">
        <v>266</v>
      </c>
      <c r="T37" s="84" t="s">
        <v>266</v>
      </c>
    </row>
    <row r="38" spans="1:20" ht="38.25" customHeight="1" x14ac:dyDescent="0.25">
      <c r="A38" s="83" t="s">
        <v>5519</v>
      </c>
      <c r="B38" s="83" t="s">
        <v>2139</v>
      </c>
      <c r="C38" s="83" t="s">
        <v>5413</v>
      </c>
      <c r="D38" s="83" t="s">
        <v>5408</v>
      </c>
      <c r="E38" s="83" t="s">
        <v>5520</v>
      </c>
      <c r="F38" s="83">
        <v>667.48</v>
      </c>
      <c r="G38" s="83">
        <v>642.38</v>
      </c>
      <c r="H38" s="83">
        <v>-3.76</v>
      </c>
      <c r="I38" s="83">
        <v>99.8</v>
      </c>
      <c r="J38" s="83" t="s">
        <v>5374</v>
      </c>
      <c r="K38" s="83" t="s">
        <v>5384</v>
      </c>
      <c r="L38" s="83" t="s">
        <v>5376</v>
      </c>
      <c r="M38" s="83" t="s">
        <v>5377</v>
      </c>
      <c r="N38" s="83" t="s">
        <v>5521</v>
      </c>
      <c r="O38" s="83" t="s">
        <v>1572</v>
      </c>
      <c r="P38" s="83" t="s">
        <v>542</v>
      </c>
      <c r="Q38" s="83" t="s">
        <v>587</v>
      </c>
      <c r="R38" s="83" t="s">
        <v>5522</v>
      </c>
      <c r="S38" s="83" t="s">
        <v>266</v>
      </c>
      <c r="T38" s="84" t="s">
        <v>266</v>
      </c>
    </row>
    <row r="39" spans="1:20" ht="38.25" customHeight="1" x14ac:dyDescent="0.25">
      <c r="A39" s="83" t="s">
        <v>5523</v>
      </c>
      <c r="B39" s="83" t="s">
        <v>2146</v>
      </c>
      <c r="C39" s="83" t="s">
        <v>5413</v>
      </c>
      <c r="D39" s="83" t="s">
        <v>5433</v>
      </c>
      <c r="E39" s="83" t="s">
        <v>5524</v>
      </c>
      <c r="F39" s="83">
        <v>10719.36</v>
      </c>
      <c r="G39" s="83">
        <v>10544.63</v>
      </c>
      <c r="H39" s="83">
        <v>-1.63</v>
      </c>
      <c r="I39" s="83">
        <v>97.3</v>
      </c>
      <c r="J39" s="83" t="s">
        <v>5390</v>
      </c>
      <c r="K39" s="83" t="s">
        <v>5375</v>
      </c>
      <c r="L39" s="83" t="s">
        <v>5410</v>
      </c>
      <c r="M39" s="83" t="s">
        <v>5377</v>
      </c>
      <c r="N39" s="83" t="s">
        <v>1393</v>
      </c>
      <c r="O39" s="83" t="s">
        <v>2699</v>
      </c>
      <c r="P39" s="83" t="s">
        <v>542</v>
      </c>
      <c r="Q39" s="83" t="s">
        <v>576</v>
      </c>
      <c r="R39" s="83" t="s">
        <v>5525</v>
      </c>
      <c r="S39" s="83" t="s">
        <v>266</v>
      </c>
      <c r="T39" s="84" t="s">
        <v>266</v>
      </c>
    </row>
    <row r="40" spans="1:20" ht="25.5" customHeight="1" x14ac:dyDescent="0.25">
      <c r="A40" s="83" t="s">
        <v>5526</v>
      </c>
      <c r="B40" s="83" t="s">
        <v>2144</v>
      </c>
      <c r="C40" s="83" t="s">
        <v>5413</v>
      </c>
      <c r="D40" s="83" t="s">
        <v>5241</v>
      </c>
      <c r="E40" s="83" t="s">
        <v>5527</v>
      </c>
      <c r="F40" s="83">
        <v>5049.09</v>
      </c>
      <c r="G40" s="83">
        <v>5138.46</v>
      </c>
      <c r="H40" s="83">
        <v>1.77</v>
      </c>
      <c r="I40" s="83">
        <v>94.4</v>
      </c>
      <c r="J40" s="83" t="s">
        <v>5374</v>
      </c>
      <c r="K40" s="83" t="s">
        <v>5375</v>
      </c>
      <c r="L40" s="83" t="s">
        <v>5376</v>
      </c>
      <c r="M40" s="83" t="s">
        <v>5377</v>
      </c>
      <c r="N40" s="83" t="s">
        <v>1799</v>
      </c>
      <c r="O40" s="83" t="s">
        <v>1338</v>
      </c>
      <c r="P40" s="83" t="s">
        <v>542</v>
      </c>
      <c r="Q40" s="83" t="s">
        <v>576</v>
      </c>
      <c r="R40" s="83" t="s">
        <v>5475</v>
      </c>
      <c r="S40" s="83" t="s">
        <v>266</v>
      </c>
      <c r="T40" s="84" t="s">
        <v>266</v>
      </c>
    </row>
    <row r="41" spans="1:20" ht="38.25" customHeight="1" x14ac:dyDescent="0.25">
      <c r="A41" s="83" t="s">
        <v>5528</v>
      </c>
      <c r="B41" s="83" t="s">
        <v>5437</v>
      </c>
      <c r="C41" s="83" t="s">
        <v>5445</v>
      </c>
      <c r="D41" s="83" t="s">
        <v>5214</v>
      </c>
      <c r="E41" s="83" t="s">
        <v>5529</v>
      </c>
      <c r="F41" s="83">
        <v>10952.39</v>
      </c>
      <c r="G41" s="83">
        <v>10607.39</v>
      </c>
      <c r="H41" s="83">
        <v>-3.15</v>
      </c>
      <c r="I41" s="83">
        <v>94</v>
      </c>
      <c r="J41" s="83" t="s">
        <v>5420</v>
      </c>
      <c r="K41" s="83" t="s">
        <v>5375</v>
      </c>
      <c r="L41" s="83" t="s">
        <v>5398</v>
      </c>
      <c r="M41" s="83" t="s">
        <v>5377</v>
      </c>
      <c r="N41" s="83" t="s">
        <v>895</v>
      </c>
      <c r="O41" s="83" t="s">
        <v>1480</v>
      </c>
      <c r="P41" s="83" t="s">
        <v>542</v>
      </c>
      <c r="Q41" s="83" t="s">
        <v>3480</v>
      </c>
      <c r="R41" s="83" t="s">
        <v>5530</v>
      </c>
      <c r="S41" s="83" t="s">
        <v>266</v>
      </c>
      <c r="T41" s="84" t="s">
        <v>266</v>
      </c>
    </row>
    <row r="42" spans="1:20" ht="25.5" customHeight="1" x14ac:dyDescent="0.25">
      <c r="A42" s="83" t="s">
        <v>5531</v>
      </c>
      <c r="B42" s="83" t="s">
        <v>2141</v>
      </c>
      <c r="C42" s="83" t="s">
        <v>5484</v>
      </c>
      <c r="D42" s="83" t="s">
        <v>5241</v>
      </c>
      <c r="E42" s="83" t="s">
        <v>5532</v>
      </c>
      <c r="F42" s="83">
        <v>3486.41</v>
      </c>
      <c r="G42" s="83">
        <v>3619.59</v>
      </c>
      <c r="H42" s="83">
        <v>3.82</v>
      </c>
      <c r="I42" s="83">
        <v>89.3</v>
      </c>
      <c r="J42" s="83" t="s">
        <v>5420</v>
      </c>
      <c r="K42" s="83" t="s">
        <v>5447</v>
      </c>
      <c r="L42" s="83" t="s">
        <v>5421</v>
      </c>
      <c r="M42" s="83" t="s">
        <v>5377</v>
      </c>
      <c r="N42" s="83" t="s">
        <v>1863</v>
      </c>
      <c r="O42" s="83" t="s">
        <v>758</v>
      </c>
      <c r="P42" s="83" t="s">
        <v>5426</v>
      </c>
      <c r="Q42" s="83" t="s">
        <v>3480</v>
      </c>
      <c r="R42" s="83" t="s">
        <v>5533</v>
      </c>
      <c r="S42" s="83" t="s">
        <v>321</v>
      </c>
      <c r="T42" s="85" t="s">
        <v>321</v>
      </c>
    </row>
    <row r="43" spans="1:20" ht="38.25" customHeight="1" x14ac:dyDescent="0.25">
      <c r="A43" s="83" t="s">
        <v>5534</v>
      </c>
      <c r="B43" s="83" t="s">
        <v>5380</v>
      </c>
      <c r="C43" s="83" t="s">
        <v>5535</v>
      </c>
      <c r="D43" s="83" t="s">
        <v>5408</v>
      </c>
      <c r="E43" s="83" t="s">
        <v>5536</v>
      </c>
      <c r="F43" s="83">
        <v>2000.43</v>
      </c>
      <c r="G43" s="83">
        <v>1911.61</v>
      </c>
      <c r="H43" s="83">
        <v>-4.4400000000000004</v>
      </c>
      <c r="I43" s="83">
        <v>90.7</v>
      </c>
      <c r="J43" s="83" t="s">
        <v>5374</v>
      </c>
      <c r="K43" s="83" t="s">
        <v>5375</v>
      </c>
      <c r="L43" s="83" t="s">
        <v>5376</v>
      </c>
      <c r="M43" s="83" t="s">
        <v>5377</v>
      </c>
      <c r="N43" s="83" t="s">
        <v>4000</v>
      </c>
      <c r="O43" s="83" t="s">
        <v>4905</v>
      </c>
      <c r="P43" s="83" t="s">
        <v>542</v>
      </c>
      <c r="Q43" s="83" t="s">
        <v>3480</v>
      </c>
      <c r="R43" s="83" t="s">
        <v>5537</v>
      </c>
      <c r="S43" s="83" t="s">
        <v>266</v>
      </c>
      <c r="T43" s="84" t="s">
        <v>266</v>
      </c>
    </row>
    <row r="44" spans="1:20" ht="38.25" customHeight="1" x14ac:dyDescent="0.25">
      <c r="A44" s="83" t="s">
        <v>5538</v>
      </c>
      <c r="B44" s="83" t="s">
        <v>2142</v>
      </c>
      <c r="C44" s="83" t="s">
        <v>5513</v>
      </c>
      <c r="D44" s="83" t="s">
        <v>5450</v>
      </c>
      <c r="E44" s="83" t="s">
        <v>5539</v>
      </c>
      <c r="F44" s="83">
        <v>3904.6</v>
      </c>
      <c r="G44" s="83">
        <v>4092.41</v>
      </c>
      <c r="H44" s="83">
        <v>4.8099999999999996</v>
      </c>
      <c r="I44" s="83">
        <v>99.4</v>
      </c>
      <c r="J44" s="83" t="s">
        <v>5390</v>
      </c>
      <c r="K44" s="83" t="s">
        <v>5375</v>
      </c>
      <c r="L44" s="83" t="s">
        <v>5410</v>
      </c>
      <c r="M44" s="83" t="s">
        <v>5377</v>
      </c>
      <c r="N44" s="83" t="s">
        <v>954</v>
      </c>
      <c r="O44" s="83" t="s">
        <v>3980</v>
      </c>
      <c r="P44" s="83" t="s">
        <v>542</v>
      </c>
      <c r="Q44" s="83" t="s">
        <v>3480</v>
      </c>
      <c r="R44" s="83" t="s">
        <v>5540</v>
      </c>
      <c r="S44" s="83" t="s">
        <v>266</v>
      </c>
      <c r="T44" s="84" t="s">
        <v>266</v>
      </c>
    </row>
    <row r="45" spans="1:20" ht="25.5" customHeight="1" x14ac:dyDescent="0.25">
      <c r="A45" s="83" t="s">
        <v>5541</v>
      </c>
      <c r="B45" s="83" t="s">
        <v>5494</v>
      </c>
      <c r="C45" s="83" t="s">
        <v>5418</v>
      </c>
      <c r="D45" s="83" t="s">
        <v>5214</v>
      </c>
      <c r="E45" s="83" t="s">
        <v>5542</v>
      </c>
      <c r="F45" s="83">
        <v>11407.57</v>
      </c>
      <c r="G45" s="83">
        <v>11930.04</v>
      </c>
      <c r="H45" s="83">
        <v>4.58</v>
      </c>
      <c r="I45" s="83">
        <v>99</v>
      </c>
      <c r="J45" s="83" t="s">
        <v>5403</v>
      </c>
      <c r="K45" s="83" t="s">
        <v>5384</v>
      </c>
      <c r="L45" s="83" t="s">
        <v>5398</v>
      </c>
      <c r="M45" s="83" t="s">
        <v>5377</v>
      </c>
      <c r="N45" s="83" t="s">
        <v>4146</v>
      </c>
      <c r="O45" s="83" t="s">
        <v>2775</v>
      </c>
      <c r="P45" s="83" t="s">
        <v>542</v>
      </c>
      <c r="Q45" s="83" t="s">
        <v>576</v>
      </c>
      <c r="R45" s="83" t="s">
        <v>5543</v>
      </c>
      <c r="S45" s="83" t="s">
        <v>266</v>
      </c>
      <c r="T45" s="84" t="s">
        <v>266</v>
      </c>
    </row>
    <row r="46" spans="1:20" ht="25.5" customHeight="1" x14ac:dyDescent="0.25">
      <c r="A46" s="83" t="s">
        <v>5544</v>
      </c>
      <c r="B46" s="83" t="s">
        <v>2144</v>
      </c>
      <c r="C46" s="83" t="s">
        <v>5418</v>
      </c>
      <c r="D46" s="83" t="s">
        <v>5214</v>
      </c>
      <c r="E46" s="83" t="s">
        <v>5545</v>
      </c>
      <c r="F46" s="83">
        <v>2313.17</v>
      </c>
      <c r="G46" s="83">
        <v>2245.63</v>
      </c>
      <c r="H46" s="83">
        <v>-2.92</v>
      </c>
      <c r="I46" s="83">
        <v>89.3</v>
      </c>
      <c r="J46" s="83" t="s">
        <v>5403</v>
      </c>
      <c r="K46" s="83" t="s">
        <v>5397</v>
      </c>
      <c r="L46" s="83" t="s">
        <v>5385</v>
      </c>
      <c r="M46" s="83" t="s">
        <v>5377</v>
      </c>
      <c r="N46" s="83" t="s">
        <v>1423</v>
      </c>
      <c r="O46" s="83" t="s">
        <v>1428</v>
      </c>
      <c r="P46" s="83" t="s">
        <v>542</v>
      </c>
      <c r="Q46" s="83" t="s">
        <v>587</v>
      </c>
      <c r="R46" s="83" t="s">
        <v>5546</v>
      </c>
      <c r="S46" s="83" t="s">
        <v>321</v>
      </c>
      <c r="T46" s="85" t="s">
        <v>321</v>
      </c>
    </row>
    <row r="47" spans="1:20" ht="25.5" customHeight="1" x14ac:dyDescent="0.25">
      <c r="A47" s="83" t="s">
        <v>5547</v>
      </c>
      <c r="B47" s="83" t="s">
        <v>5371</v>
      </c>
      <c r="C47" s="83" t="s">
        <v>5513</v>
      </c>
      <c r="D47" s="83" t="s">
        <v>5395</v>
      </c>
      <c r="E47" s="83" t="s">
        <v>5548</v>
      </c>
      <c r="F47" s="83">
        <v>9265.32</v>
      </c>
      <c r="G47" s="83">
        <v>9115.2199999999993</v>
      </c>
      <c r="H47" s="83">
        <v>-1.62</v>
      </c>
      <c r="I47" s="83">
        <v>92.7</v>
      </c>
      <c r="J47" s="83" t="s">
        <v>5403</v>
      </c>
      <c r="K47" s="83" t="s">
        <v>5375</v>
      </c>
      <c r="L47" s="83" t="s">
        <v>5376</v>
      </c>
      <c r="M47" s="83" t="s">
        <v>5377</v>
      </c>
      <c r="N47" s="83" t="s">
        <v>2048</v>
      </c>
      <c r="O47" s="83" t="s">
        <v>2105</v>
      </c>
      <c r="P47" s="83" t="s">
        <v>542</v>
      </c>
      <c r="Q47" s="83" t="s">
        <v>576</v>
      </c>
      <c r="R47" s="83" t="s">
        <v>5549</v>
      </c>
      <c r="S47" s="83" t="s">
        <v>266</v>
      </c>
      <c r="T47" s="84" t="s">
        <v>266</v>
      </c>
    </row>
    <row r="48" spans="1:20" ht="25.5" customHeight="1" x14ac:dyDescent="0.25">
      <c r="A48" s="83" t="s">
        <v>5550</v>
      </c>
      <c r="B48" s="83" t="s">
        <v>2135</v>
      </c>
      <c r="C48" s="83" t="s">
        <v>5394</v>
      </c>
      <c r="D48" s="83" t="s">
        <v>5470</v>
      </c>
      <c r="E48" s="83" t="s">
        <v>5551</v>
      </c>
      <c r="F48" s="83">
        <v>11443.08</v>
      </c>
      <c r="G48" s="83">
        <v>11183.32</v>
      </c>
      <c r="H48" s="83">
        <v>-2.27</v>
      </c>
      <c r="I48" s="83">
        <v>93.1</v>
      </c>
      <c r="J48" s="83" t="s">
        <v>5403</v>
      </c>
      <c r="K48" s="83" t="s">
        <v>5447</v>
      </c>
      <c r="L48" s="83" t="s">
        <v>5398</v>
      </c>
      <c r="M48" s="83" t="s">
        <v>5377</v>
      </c>
      <c r="N48" s="83" t="s">
        <v>2865</v>
      </c>
      <c r="O48" s="83" t="s">
        <v>2095</v>
      </c>
      <c r="P48" s="83" t="s">
        <v>542</v>
      </c>
      <c r="Q48" s="83" t="s">
        <v>3480</v>
      </c>
      <c r="R48" s="83" t="s">
        <v>5552</v>
      </c>
      <c r="S48" s="83" t="s">
        <v>266</v>
      </c>
      <c r="T48" s="84" t="s">
        <v>266</v>
      </c>
    </row>
    <row r="49" spans="1:20" ht="38.25" customHeight="1" x14ac:dyDescent="0.25">
      <c r="A49" s="83" t="s">
        <v>5553</v>
      </c>
      <c r="B49" s="83" t="s">
        <v>2144</v>
      </c>
      <c r="C49" s="83" t="s">
        <v>5401</v>
      </c>
      <c r="D49" s="83" t="s">
        <v>5433</v>
      </c>
      <c r="E49" s="83" t="s">
        <v>5554</v>
      </c>
      <c r="F49" s="83">
        <v>4331.38</v>
      </c>
      <c r="G49" s="83">
        <v>4350</v>
      </c>
      <c r="H49" s="83">
        <v>0.43</v>
      </c>
      <c r="I49" s="83">
        <v>93.5</v>
      </c>
      <c r="J49" s="83" t="s">
        <v>5390</v>
      </c>
      <c r="K49" s="83" t="s">
        <v>5384</v>
      </c>
      <c r="L49" s="83" t="s">
        <v>5404</v>
      </c>
      <c r="M49" s="83" t="s">
        <v>5377</v>
      </c>
      <c r="N49" s="83" t="s">
        <v>2762</v>
      </c>
      <c r="O49" s="83" t="s">
        <v>3980</v>
      </c>
      <c r="P49" s="83" t="s">
        <v>542</v>
      </c>
      <c r="Q49" s="83" t="s">
        <v>576</v>
      </c>
      <c r="R49" s="83" t="s">
        <v>5555</v>
      </c>
      <c r="S49" s="83" t="s">
        <v>266</v>
      </c>
      <c r="T49" s="84" t="s">
        <v>266</v>
      </c>
    </row>
    <row r="50" spans="1:20" ht="38.25" customHeight="1" x14ac:dyDescent="0.25">
      <c r="A50" s="83" t="s">
        <v>5556</v>
      </c>
      <c r="B50" s="83" t="s">
        <v>2135</v>
      </c>
      <c r="C50" s="83" t="s">
        <v>5484</v>
      </c>
      <c r="D50" s="83" t="s">
        <v>5433</v>
      </c>
      <c r="E50" s="83" t="s">
        <v>5557</v>
      </c>
      <c r="F50" s="83">
        <v>4687.87</v>
      </c>
      <c r="G50" s="83">
        <v>4718.8100000000004</v>
      </c>
      <c r="H50" s="83">
        <v>0.66</v>
      </c>
      <c r="I50" s="83">
        <v>90</v>
      </c>
      <c r="J50" s="83" t="s">
        <v>5390</v>
      </c>
      <c r="K50" s="83" t="s">
        <v>5397</v>
      </c>
      <c r="L50" s="83" t="s">
        <v>5410</v>
      </c>
      <c r="M50" s="83" t="s">
        <v>5377</v>
      </c>
      <c r="N50" s="83" t="s">
        <v>2356</v>
      </c>
      <c r="O50" s="83" t="s">
        <v>1402</v>
      </c>
      <c r="P50" s="83" t="s">
        <v>542</v>
      </c>
      <c r="Q50" s="83" t="s">
        <v>3480</v>
      </c>
      <c r="R50" s="83" t="s">
        <v>5558</v>
      </c>
      <c r="S50" s="83" t="s">
        <v>266</v>
      </c>
      <c r="T50" s="84" t="s">
        <v>266</v>
      </c>
    </row>
    <row r="51" spans="1:20" ht="38.25" customHeight="1" x14ac:dyDescent="0.25">
      <c r="A51" s="83" t="s">
        <v>5559</v>
      </c>
      <c r="B51" s="83" t="s">
        <v>2139</v>
      </c>
      <c r="C51" s="83" t="s">
        <v>5465</v>
      </c>
      <c r="D51" s="83" t="s">
        <v>5382</v>
      </c>
      <c r="E51" s="83" t="s">
        <v>5560</v>
      </c>
      <c r="F51" s="83">
        <v>7349.1</v>
      </c>
      <c r="G51" s="83">
        <v>7302.07</v>
      </c>
      <c r="H51" s="83">
        <v>-0.64</v>
      </c>
      <c r="I51" s="83">
        <v>97.8</v>
      </c>
      <c r="J51" s="83" t="s">
        <v>5403</v>
      </c>
      <c r="K51" s="83" t="s">
        <v>5384</v>
      </c>
      <c r="L51" s="83" t="s">
        <v>5376</v>
      </c>
      <c r="M51" s="83" t="s">
        <v>5377</v>
      </c>
      <c r="N51" s="83" t="s">
        <v>1310</v>
      </c>
      <c r="O51" s="83" t="s">
        <v>5561</v>
      </c>
      <c r="P51" s="83" t="s">
        <v>542</v>
      </c>
      <c r="Q51" s="83" t="s">
        <v>3480</v>
      </c>
      <c r="R51" s="83" t="s">
        <v>5562</v>
      </c>
      <c r="S51" s="83" t="s">
        <v>266</v>
      </c>
      <c r="T51" s="84" t="s">
        <v>266</v>
      </c>
    </row>
    <row r="52" spans="1:20" ht="38.25" customHeight="1" x14ac:dyDescent="0.25">
      <c r="A52" s="83" t="s">
        <v>5563</v>
      </c>
      <c r="B52" s="83" t="s">
        <v>2146</v>
      </c>
      <c r="C52" s="83" t="s">
        <v>5461</v>
      </c>
      <c r="D52" s="83" t="s">
        <v>5214</v>
      </c>
      <c r="E52" s="83" t="s">
        <v>5564</v>
      </c>
      <c r="F52" s="83">
        <v>3837.65</v>
      </c>
      <c r="G52" s="83">
        <v>3691.82</v>
      </c>
      <c r="H52" s="83">
        <v>-3.8</v>
      </c>
      <c r="I52" s="83">
        <v>91.8</v>
      </c>
      <c r="J52" s="83" t="s">
        <v>5390</v>
      </c>
      <c r="K52" s="83" t="s">
        <v>5397</v>
      </c>
      <c r="L52" s="83" t="s">
        <v>5410</v>
      </c>
      <c r="M52" s="83" t="s">
        <v>5377</v>
      </c>
      <c r="N52" s="83" t="s">
        <v>2712</v>
      </c>
      <c r="O52" s="83" t="s">
        <v>2887</v>
      </c>
      <c r="P52" s="83" t="s">
        <v>542</v>
      </c>
      <c r="Q52" s="83" t="s">
        <v>3480</v>
      </c>
      <c r="R52" s="83" t="s">
        <v>5565</v>
      </c>
      <c r="S52" s="83" t="s">
        <v>266</v>
      </c>
      <c r="T52" s="84" t="s">
        <v>266</v>
      </c>
    </row>
    <row r="53" spans="1:20" ht="25.5" customHeight="1" x14ac:dyDescent="0.25">
      <c r="A53" s="83" t="s">
        <v>5566</v>
      </c>
      <c r="B53" s="83" t="s">
        <v>5371</v>
      </c>
      <c r="C53" s="83" t="s">
        <v>5388</v>
      </c>
      <c r="D53" s="83" t="s">
        <v>5395</v>
      </c>
      <c r="E53" s="83" t="s">
        <v>5567</v>
      </c>
      <c r="F53" s="83">
        <v>811.68</v>
      </c>
      <c r="G53" s="83">
        <v>849.42</v>
      </c>
      <c r="H53" s="83">
        <v>4.6500000000000004</v>
      </c>
      <c r="I53" s="83">
        <v>93</v>
      </c>
      <c r="J53" s="83" t="s">
        <v>5420</v>
      </c>
      <c r="K53" s="83" t="s">
        <v>5384</v>
      </c>
      <c r="L53" s="83" t="s">
        <v>5376</v>
      </c>
      <c r="M53" s="83" t="s">
        <v>5377</v>
      </c>
      <c r="N53" s="83" t="s">
        <v>1457</v>
      </c>
      <c r="O53" s="83" t="s">
        <v>4136</v>
      </c>
      <c r="P53" s="83" t="s">
        <v>542</v>
      </c>
      <c r="Q53" s="83" t="s">
        <v>587</v>
      </c>
      <c r="R53" s="83" t="s">
        <v>5568</v>
      </c>
      <c r="S53" s="83" t="s">
        <v>266</v>
      </c>
      <c r="T53" s="84" t="s">
        <v>266</v>
      </c>
    </row>
    <row r="54" spans="1:20" ht="25.5" customHeight="1" x14ac:dyDescent="0.25">
      <c r="A54" s="83" t="s">
        <v>5569</v>
      </c>
      <c r="B54" s="83" t="s">
        <v>2142</v>
      </c>
      <c r="C54" s="83" t="s">
        <v>5469</v>
      </c>
      <c r="D54" s="83" t="s">
        <v>5450</v>
      </c>
      <c r="E54" s="83" t="s">
        <v>5570</v>
      </c>
      <c r="F54" s="83">
        <v>9591.34</v>
      </c>
      <c r="G54" s="83">
        <v>9839.76</v>
      </c>
      <c r="H54" s="83">
        <v>2.59</v>
      </c>
      <c r="I54" s="83">
        <v>95.1</v>
      </c>
      <c r="J54" s="83" t="s">
        <v>5403</v>
      </c>
      <c r="K54" s="83" t="s">
        <v>5397</v>
      </c>
      <c r="L54" s="83" t="s">
        <v>5410</v>
      </c>
      <c r="M54" s="83" t="s">
        <v>5377</v>
      </c>
      <c r="N54" s="83" t="s">
        <v>1150</v>
      </c>
      <c r="O54" s="83" t="s">
        <v>5571</v>
      </c>
      <c r="P54" s="83" t="s">
        <v>542</v>
      </c>
      <c r="Q54" s="83" t="s">
        <v>587</v>
      </c>
      <c r="R54" s="83" t="s">
        <v>5572</v>
      </c>
      <c r="S54" s="83" t="s">
        <v>266</v>
      </c>
      <c r="T54" s="84" t="s">
        <v>266</v>
      </c>
    </row>
    <row r="55" spans="1:20" ht="38.25" customHeight="1" x14ac:dyDescent="0.25">
      <c r="A55" s="83" t="s">
        <v>5573</v>
      </c>
      <c r="B55" s="83" t="s">
        <v>2136</v>
      </c>
      <c r="C55" s="83" t="s">
        <v>5413</v>
      </c>
      <c r="D55" s="83" t="s">
        <v>5382</v>
      </c>
      <c r="E55" s="83" t="s">
        <v>5574</v>
      </c>
      <c r="F55" s="83">
        <v>8513.26</v>
      </c>
      <c r="G55" s="83">
        <v>8866.56</v>
      </c>
      <c r="H55" s="83">
        <v>4.1500000000000004</v>
      </c>
      <c r="I55" s="83">
        <v>96.4</v>
      </c>
      <c r="J55" s="83" t="s">
        <v>5374</v>
      </c>
      <c r="K55" s="83" t="s">
        <v>5447</v>
      </c>
      <c r="L55" s="83" t="s">
        <v>5376</v>
      </c>
      <c r="M55" s="83" t="s">
        <v>5377</v>
      </c>
      <c r="N55" s="83" t="s">
        <v>1891</v>
      </c>
      <c r="O55" s="83" t="s">
        <v>785</v>
      </c>
      <c r="P55" s="83" t="s">
        <v>542</v>
      </c>
      <c r="Q55" s="83" t="s">
        <v>587</v>
      </c>
      <c r="R55" s="83" t="s">
        <v>5575</v>
      </c>
      <c r="S55" s="83" t="s">
        <v>266</v>
      </c>
      <c r="T55" s="84" t="s">
        <v>266</v>
      </c>
    </row>
    <row r="56" spans="1:20" ht="38.25" customHeight="1" x14ac:dyDescent="0.25">
      <c r="A56" s="83" t="s">
        <v>5576</v>
      </c>
      <c r="B56" s="83" t="s">
        <v>2144</v>
      </c>
      <c r="C56" s="83" t="s">
        <v>5429</v>
      </c>
      <c r="D56" s="83" t="s">
        <v>5470</v>
      </c>
      <c r="E56" s="83" t="s">
        <v>5577</v>
      </c>
      <c r="F56" s="83">
        <v>9991.24</v>
      </c>
      <c r="G56" s="83">
        <v>10201.06</v>
      </c>
      <c r="H56" s="83">
        <v>2.1</v>
      </c>
      <c r="I56" s="83">
        <v>89.1</v>
      </c>
      <c r="J56" s="83" t="s">
        <v>5390</v>
      </c>
      <c r="K56" s="83" t="s">
        <v>5397</v>
      </c>
      <c r="L56" s="83" t="s">
        <v>5421</v>
      </c>
      <c r="M56" s="83" t="s">
        <v>5377</v>
      </c>
      <c r="N56" s="83" t="s">
        <v>1374</v>
      </c>
      <c r="O56" s="83" t="s">
        <v>3872</v>
      </c>
      <c r="P56" s="83" t="s">
        <v>5426</v>
      </c>
      <c r="Q56" s="83" t="s">
        <v>3480</v>
      </c>
      <c r="R56" s="83" t="s">
        <v>5578</v>
      </c>
      <c r="S56" s="83" t="s">
        <v>321</v>
      </c>
      <c r="T56" s="85" t="s">
        <v>321</v>
      </c>
    </row>
    <row r="57" spans="1:20" ht="25.5" customHeight="1" x14ac:dyDescent="0.25">
      <c r="A57" s="83" t="s">
        <v>5579</v>
      </c>
      <c r="B57" s="83" t="s">
        <v>2141</v>
      </c>
      <c r="C57" s="83" t="s">
        <v>5465</v>
      </c>
      <c r="D57" s="83" t="s">
        <v>5408</v>
      </c>
      <c r="E57" s="83" t="s">
        <v>5580</v>
      </c>
      <c r="F57" s="83">
        <v>5245.36</v>
      </c>
      <c r="G57" s="83">
        <v>5476.68</v>
      </c>
      <c r="H57" s="83">
        <v>4.41</v>
      </c>
      <c r="I57" s="83">
        <v>89.8</v>
      </c>
      <c r="J57" s="83" t="s">
        <v>5420</v>
      </c>
      <c r="K57" s="83" t="s">
        <v>5384</v>
      </c>
      <c r="L57" s="83" t="s">
        <v>5385</v>
      </c>
      <c r="M57" s="83" t="s">
        <v>5377</v>
      </c>
      <c r="N57" s="83" t="s">
        <v>1194</v>
      </c>
      <c r="O57" s="83" t="s">
        <v>1191</v>
      </c>
      <c r="P57" s="83" t="s">
        <v>542</v>
      </c>
      <c r="Q57" s="83" t="s">
        <v>587</v>
      </c>
      <c r="R57" s="83" t="s">
        <v>5581</v>
      </c>
      <c r="S57" s="83" t="s">
        <v>321</v>
      </c>
      <c r="T57" s="85" t="s">
        <v>321</v>
      </c>
    </row>
    <row r="58" spans="1:20" ht="25.5" customHeight="1" x14ac:dyDescent="0.25">
      <c r="A58" s="83" t="s">
        <v>5582</v>
      </c>
      <c r="B58" s="83" t="s">
        <v>2142</v>
      </c>
      <c r="C58" s="83" t="s">
        <v>5381</v>
      </c>
      <c r="D58" s="83" t="s">
        <v>5470</v>
      </c>
      <c r="E58" s="83" t="s">
        <v>5583</v>
      </c>
      <c r="F58" s="83">
        <v>8259.2199999999993</v>
      </c>
      <c r="G58" s="83">
        <v>8113.86</v>
      </c>
      <c r="H58" s="83">
        <v>-1.76</v>
      </c>
      <c r="I58" s="83">
        <v>94.5</v>
      </c>
      <c r="J58" s="83" t="s">
        <v>5390</v>
      </c>
      <c r="K58" s="83" t="s">
        <v>5397</v>
      </c>
      <c r="L58" s="83" t="s">
        <v>5421</v>
      </c>
      <c r="M58" s="83" t="s">
        <v>5377</v>
      </c>
      <c r="N58" s="83" t="s">
        <v>1411</v>
      </c>
      <c r="O58" s="83" t="s">
        <v>1884</v>
      </c>
      <c r="P58" s="83" t="s">
        <v>5426</v>
      </c>
      <c r="Q58" s="83" t="s">
        <v>3480</v>
      </c>
      <c r="R58" s="83" t="s">
        <v>5584</v>
      </c>
      <c r="S58" s="83" t="s">
        <v>321</v>
      </c>
      <c r="T58" s="85" t="s">
        <v>321</v>
      </c>
    </row>
    <row r="59" spans="1:20" ht="25.5" customHeight="1" x14ac:dyDescent="0.25">
      <c r="A59" s="83" t="s">
        <v>5585</v>
      </c>
      <c r="B59" s="83" t="s">
        <v>5380</v>
      </c>
      <c r="C59" s="83" t="s">
        <v>5388</v>
      </c>
      <c r="D59" s="83" t="s">
        <v>5433</v>
      </c>
      <c r="E59" s="83" t="s">
        <v>5586</v>
      </c>
      <c r="F59" s="83">
        <v>10588.48</v>
      </c>
      <c r="G59" s="83">
        <v>10335.42</v>
      </c>
      <c r="H59" s="83">
        <v>-2.39</v>
      </c>
      <c r="I59" s="83">
        <v>94.6</v>
      </c>
      <c r="J59" s="83" t="s">
        <v>5420</v>
      </c>
      <c r="K59" s="83" t="s">
        <v>5447</v>
      </c>
      <c r="L59" s="83" t="s">
        <v>5398</v>
      </c>
      <c r="M59" s="83" t="s">
        <v>5377</v>
      </c>
      <c r="N59" s="83" t="s">
        <v>1431</v>
      </c>
      <c r="O59" s="83" t="s">
        <v>1098</v>
      </c>
      <c r="P59" s="83" t="s">
        <v>542</v>
      </c>
      <c r="Q59" s="83" t="s">
        <v>587</v>
      </c>
      <c r="R59" s="83" t="s">
        <v>5392</v>
      </c>
      <c r="S59" s="83" t="s">
        <v>266</v>
      </c>
      <c r="T59" s="84" t="s">
        <v>266</v>
      </c>
    </row>
    <row r="60" spans="1:20" ht="38.25" customHeight="1" x14ac:dyDescent="0.25">
      <c r="A60" s="83" t="s">
        <v>5587</v>
      </c>
      <c r="B60" s="83" t="s">
        <v>2137</v>
      </c>
      <c r="C60" s="83" t="s">
        <v>5429</v>
      </c>
      <c r="D60" s="83" t="s">
        <v>5450</v>
      </c>
      <c r="E60" s="83" t="s">
        <v>5588</v>
      </c>
      <c r="F60" s="83">
        <v>6112.94</v>
      </c>
      <c r="G60" s="83">
        <v>6049.98</v>
      </c>
      <c r="H60" s="83">
        <v>-1.03</v>
      </c>
      <c r="I60" s="83">
        <v>93.5</v>
      </c>
      <c r="J60" s="83" t="s">
        <v>5374</v>
      </c>
      <c r="K60" s="83" t="s">
        <v>5397</v>
      </c>
      <c r="L60" s="83" t="s">
        <v>5376</v>
      </c>
      <c r="M60" s="83" t="s">
        <v>5377</v>
      </c>
      <c r="N60" s="83" t="s">
        <v>1476</v>
      </c>
      <c r="O60" s="83" t="s">
        <v>3457</v>
      </c>
      <c r="P60" s="83" t="s">
        <v>542</v>
      </c>
      <c r="Q60" s="83" t="s">
        <v>576</v>
      </c>
      <c r="R60" s="83" t="s">
        <v>5589</v>
      </c>
      <c r="S60" s="83" t="s">
        <v>266</v>
      </c>
      <c r="T60" s="84" t="s">
        <v>266</v>
      </c>
    </row>
    <row r="61" spans="1:20" ht="25.5" customHeight="1" x14ac:dyDescent="0.25">
      <c r="A61" s="83" t="s">
        <v>5590</v>
      </c>
      <c r="B61" s="83" t="s">
        <v>5380</v>
      </c>
      <c r="C61" s="83" t="s">
        <v>5372</v>
      </c>
      <c r="D61" s="83" t="s">
        <v>5258</v>
      </c>
      <c r="E61" s="83" t="s">
        <v>5591</v>
      </c>
      <c r="F61" s="83">
        <v>8257.7099999999991</v>
      </c>
      <c r="G61" s="83">
        <v>8573.98</v>
      </c>
      <c r="H61" s="83">
        <v>3.83</v>
      </c>
      <c r="I61" s="83">
        <v>99</v>
      </c>
      <c r="J61" s="83" t="s">
        <v>5390</v>
      </c>
      <c r="K61" s="83" t="s">
        <v>5375</v>
      </c>
      <c r="L61" s="83" t="s">
        <v>5376</v>
      </c>
      <c r="M61" s="83" t="s">
        <v>5377</v>
      </c>
      <c r="N61" s="83" t="s">
        <v>5592</v>
      </c>
      <c r="O61" s="83" t="s">
        <v>3692</v>
      </c>
      <c r="P61" s="83" t="s">
        <v>542</v>
      </c>
      <c r="Q61" s="83" t="s">
        <v>587</v>
      </c>
      <c r="R61" s="83" t="s">
        <v>5593</v>
      </c>
      <c r="S61" s="83" t="s">
        <v>266</v>
      </c>
      <c r="T61" s="84" t="s">
        <v>266</v>
      </c>
    </row>
    <row r="62" spans="1:20" ht="38.25" customHeight="1" x14ac:dyDescent="0.25">
      <c r="A62" s="83" t="s">
        <v>5594</v>
      </c>
      <c r="B62" s="83" t="s">
        <v>2136</v>
      </c>
      <c r="C62" s="83" t="s">
        <v>5413</v>
      </c>
      <c r="D62" s="83" t="s">
        <v>5258</v>
      </c>
      <c r="E62" s="83" t="s">
        <v>5595</v>
      </c>
      <c r="F62" s="83">
        <v>11093.97</v>
      </c>
      <c r="G62" s="83">
        <v>10963.06</v>
      </c>
      <c r="H62" s="83">
        <v>-1.18</v>
      </c>
      <c r="I62" s="83">
        <v>97</v>
      </c>
      <c r="J62" s="83" t="s">
        <v>5390</v>
      </c>
      <c r="K62" s="83" t="s">
        <v>5447</v>
      </c>
      <c r="L62" s="83" t="s">
        <v>5410</v>
      </c>
      <c r="M62" s="83" t="s">
        <v>5377</v>
      </c>
      <c r="N62" s="83" t="s">
        <v>1884</v>
      </c>
      <c r="O62" s="83" t="s">
        <v>5596</v>
      </c>
      <c r="P62" s="83" t="s">
        <v>542</v>
      </c>
      <c r="Q62" s="83" t="s">
        <v>587</v>
      </c>
      <c r="R62" s="83" t="s">
        <v>5575</v>
      </c>
      <c r="S62" s="83" t="s">
        <v>266</v>
      </c>
      <c r="T62" s="84" t="s">
        <v>266</v>
      </c>
    </row>
    <row r="63" spans="1:20" ht="38.2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6"/>
      <c r="T63" s="66"/>
    </row>
    <row r="64" spans="1:20" ht="25.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6"/>
      <c r="T64" s="66"/>
    </row>
    <row r="65" spans="1:20" ht="25.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6"/>
      <c r="T65" s="66"/>
    </row>
    <row r="66" spans="1:20" ht="25.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6"/>
      <c r="T66" s="66"/>
    </row>
    <row r="67" spans="1:20" ht="38.2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6"/>
      <c r="T67" s="66"/>
    </row>
    <row r="68" spans="1:20" ht="38.2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6"/>
      <c r="T68" s="66"/>
    </row>
    <row r="69" spans="1:20" ht="38.2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6"/>
      <c r="T69" s="66"/>
    </row>
    <row r="70" spans="1:20" ht="38.2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6"/>
      <c r="T70" s="66"/>
    </row>
    <row r="71" spans="1:20" ht="38.2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6"/>
      <c r="T71" s="66"/>
    </row>
    <row r="72" spans="1:20" ht="38.2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6"/>
      <c r="T72" s="66"/>
    </row>
    <row r="73" spans="1:20" ht="25.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5"/>
      <c r="T73" s="65"/>
    </row>
    <row r="74" spans="1:20" ht="38.2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6"/>
      <c r="T74" s="66"/>
    </row>
    <row r="75" spans="1:20" ht="25.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6"/>
      <c r="T75" s="66"/>
    </row>
    <row r="76" spans="1:20" ht="25.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5"/>
    </row>
    <row r="77" spans="1:20" ht="38.2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6"/>
      <c r="T77" s="66"/>
    </row>
    <row r="78" spans="1:20" ht="38.2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6"/>
      <c r="T78" s="66"/>
    </row>
    <row r="79" spans="1:20" ht="25.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6"/>
      <c r="T79" s="66"/>
    </row>
    <row r="80" spans="1:20" ht="25.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6"/>
      <c r="T80" s="66"/>
    </row>
    <row r="81" spans="1:20" ht="38.25" customHeigh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6"/>
      <c r="T81" s="66"/>
    </row>
    <row r="82" spans="1:20" ht="38.2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6"/>
      <c r="T82" s="66"/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41"/>
  <sheetViews>
    <sheetView zoomScaleNormal="100" workbookViewId="0">
      <pane xSplit="6" ySplit="3" topLeftCell="G29" activePane="bottomRight" state="frozen"/>
      <selection pane="topRight" activeCell="G1" sqref="G1"/>
      <selection pane="bottomLeft" activeCell="A29" sqref="A29"/>
      <selection pane="bottomRight" activeCell="A11" sqref="A11"/>
    </sheetView>
  </sheetViews>
  <sheetFormatPr defaultColWidth="8.7109375" defaultRowHeight="15" x14ac:dyDescent="0.25"/>
  <cols>
    <col min="1" max="1" width="4" customWidth="1"/>
    <col min="2" max="2" width="36" customWidth="1"/>
    <col min="3" max="3" width="9" customWidth="1"/>
    <col min="4" max="4" width="14" customWidth="1"/>
    <col min="5" max="19" width="9" customWidth="1"/>
    <col min="20" max="20" width="11" customWidth="1"/>
    <col min="21" max="21" width="9" customWidth="1"/>
    <col min="22" max="22" width="10" customWidth="1"/>
    <col min="23" max="23" width="13" customWidth="1"/>
  </cols>
  <sheetData>
    <row r="1" spans="1:23" ht="19.5" customHeight="1" x14ac:dyDescent="0.25">
      <c r="A1" s="145" t="s">
        <v>5597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</row>
    <row r="2" spans="1:23" ht="15" customHeight="1" x14ac:dyDescent="0.25">
      <c r="A2" s="144" t="s">
        <v>5598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</row>
    <row r="3" spans="1:23" ht="31.5" customHeight="1" x14ac:dyDescent="0.25">
      <c r="A3" s="1" t="s">
        <v>172</v>
      </c>
      <c r="B3" s="1" t="s">
        <v>208</v>
      </c>
      <c r="C3" s="1" t="s">
        <v>2</v>
      </c>
      <c r="D3" s="1" t="s">
        <v>5122</v>
      </c>
      <c r="E3" s="1" t="s">
        <v>5599</v>
      </c>
      <c r="F3" s="1" t="s">
        <v>5600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5601</v>
      </c>
      <c r="T3" s="1" t="s">
        <v>5602</v>
      </c>
      <c r="U3" s="1" t="s">
        <v>5603</v>
      </c>
      <c r="V3" s="1" t="s">
        <v>5604</v>
      </c>
      <c r="W3" s="1" t="s">
        <v>5605</v>
      </c>
    </row>
    <row r="4" spans="1:23" ht="15" customHeight="1" x14ac:dyDescent="0.25">
      <c r="A4" s="86">
        <v>1</v>
      </c>
      <c r="B4" s="87" t="s">
        <v>221</v>
      </c>
      <c r="C4" s="88" t="s">
        <v>98</v>
      </c>
      <c r="D4" s="88" t="s">
        <v>5134</v>
      </c>
      <c r="E4" s="89">
        <v>6</v>
      </c>
      <c r="F4" s="90">
        <v>5</v>
      </c>
      <c r="G4" s="91">
        <f>IF(Monthly_Data!C5=0,"",((Monthly_Data!C4/Monthly_Data!C5)*100))</f>
        <v>5.7999302892994073</v>
      </c>
      <c r="H4" s="91">
        <f>IF(Monthly_Data!D5=0,"",((Monthly_Data!D4/Monthly_Data!D5)*100))</f>
        <v>5.6977964323189925</v>
      </c>
      <c r="I4" s="91">
        <f>IF(Monthly_Data!E5=0,"",((Monthly_Data!E4/Monthly_Data!E5)*100))</f>
        <v>5.5031446540880502</v>
      </c>
      <c r="J4" s="91">
        <f>IF(Monthly_Data!F5=0,"",((Monthly_Data!F4/Monthly_Data!F5)*100))</f>
        <v>5.398105927744651</v>
      </c>
      <c r="K4" s="91">
        <f>IF(Monthly_Data!G5=0,"",((Monthly_Data!G4/Monthly_Data!G5)*100))</f>
        <v>5.2978276103714084</v>
      </c>
      <c r="L4" s="91">
        <f>IF(Monthly_Data!H5=0,"",((Monthly_Data!H4/Monthly_Data!H5)*100))</f>
        <v>5.2036516853932584</v>
      </c>
      <c r="M4" s="91">
        <f>IF(Monthly_Data!I5=0,"",((Monthly_Data!I4/Monthly_Data!I5)*100))</f>
        <v>5.1016830294530155</v>
      </c>
      <c r="N4" s="91">
        <f>IF(Monthly_Data!J5=0,"",((Monthly_Data!J4/Monthly_Data!J5)*100))</f>
        <v>5</v>
      </c>
      <c r="O4" s="91">
        <f>IF(Monthly_Data!K5=0,"",((Monthly_Data!K4/Monthly_Data!K5)*100))</f>
        <v>4.8963821566561299</v>
      </c>
      <c r="P4" s="91">
        <f>IF(Monthly_Data!L5=0,"",((Monthly_Data!L4/Monthly_Data!L5)*100))</f>
        <v>4.8981026001405485</v>
      </c>
      <c r="Q4" s="91">
        <f>IF(Monthly_Data!M5=0,"",((Monthly_Data!M4/Monthly_Data!M5)*100))</f>
        <v>5</v>
      </c>
      <c r="R4" s="91">
        <f>IF(Monthly_Data!N5=0,"",((Monthly_Data!N4/Monthly_Data!N5)*100))</f>
        <v>5</v>
      </c>
      <c r="S4" s="92">
        <f t="shared" ref="S4:S41" si="0">IFERROR(AVERAGE(G4:R4),"")</f>
        <v>5.2330520321221217</v>
      </c>
      <c r="T4" s="92">
        <f t="shared" ref="T4:T41" si="1">R4</f>
        <v>5</v>
      </c>
      <c r="U4" s="93">
        <f t="shared" ref="U4:U41" si="2">IFERROR(AVERAGE(P4:R4),"")</f>
        <v>4.9660342000468498</v>
      </c>
      <c r="V4" s="93">
        <f t="shared" ref="V4:V41" si="3">IFERROR(R4-Q4,"")</f>
        <v>0</v>
      </c>
      <c r="W4" s="94" t="str">
        <f>IFERROR(IF((R4-G4)&lt;0,"↑ Improving",IF((R4-G4)&gt;0,"↓ Worsening","→ Stable")),"N/A")</f>
        <v>↑ Improving</v>
      </c>
    </row>
    <row r="5" spans="1:23" ht="15" customHeight="1" x14ac:dyDescent="0.25">
      <c r="A5" s="95">
        <v>2</v>
      </c>
      <c r="B5" s="96" t="s">
        <v>229</v>
      </c>
      <c r="C5" s="97" t="s">
        <v>98</v>
      </c>
      <c r="D5" s="97" t="s">
        <v>5134</v>
      </c>
      <c r="E5" s="98">
        <v>3</v>
      </c>
      <c r="F5" s="99">
        <v>2</v>
      </c>
      <c r="G5" s="100">
        <f>IF(Monthly_Data!C7=0,"",((Monthly_Data!C6/Monthly_Data!C7)*100))</f>
        <v>2.800627396305333</v>
      </c>
      <c r="H5" s="100">
        <f>IF(Monthly_Data!D7=0,"",((Monthly_Data!D6/Monthly_Data!D7)*100))</f>
        <v>2.7026932493878979</v>
      </c>
      <c r="I5" s="100">
        <f>IF(Monthly_Data!E7=0,"",((Monthly_Data!E6/Monthly_Data!E7)*100))</f>
        <v>2.6016771488469601</v>
      </c>
      <c r="J5" s="100">
        <f>IF(Monthly_Data!F7=0,"",((Monthly_Data!F6/Monthly_Data!F7)*100))</f>
        <v>2.5001753770606805</v>
      </c>
      <c r="K5" s="100">
        <f>IF(Monthly_Data!G7=0,"",((Monthly_Data!G6/Monthly_Data!G7)*100))</f>
        <v>2.3966362999299227</v>
      </c>
      <c r="L5" s="100">
        <f>IF(Monthly_Data!H7=0,"",((Monthly_Data!H6/Monthly_Data!H7)*100))</f>
        <v>2.3005617977528088</v>
      </c>
      <c r="M5" s="100">
        <f>IF(Monthly_Data!I7=0,"",((Monthly_Data!I6/Monthly_Data!I7)*100))</f>
        <v>2.1984572230014026</v>
      </c>
      <c r="N5" s="100">
        <f>IF(Monthly_Data!J7=0,"",((Monthly_Data!J6/Monthly_Data!J7)*100))</f>
        <v>2.1</v>
      </c>
      <c r="O5" s="100">
        <f>IF(Monthly_Data!K7=0,"",((Monthly_Data!K6/Monthly_Data!K7)*100))</f>
        <v>2.102212855637513</v>
      </c>
      <c r="P5" s="100">
        <f>IF(Monthly_Data!L7=0,"",((Monthly_Data!L6/Monthly_Data!L7)*100))</f>
        <v>2.0028109627547437</v>
      </c>
      <c r="Q5" s="100">
        <f>IF(Monthly_Data!M7=0,"",((Monthly_Data!M6/Monthly_Data!M7)*100))</f>
        <v>2.1</v>
      </c>
      <c r="R5" s="100">
        <f>IF(Monthly_Data!N7=0,"",((Monthly_Data!N6/Monthly_Data!N7)*100))</f>
        <v>2.1</v>
      </c>
      <c r="S5" s="92">
        <f t="shared" si="0"/>
        <v>2.3254876925564392</v>
      </c>
      <c r="T5" s="92">
        <f t="shared" si="1"/>
        <v>2.1</v>
      </c>
      <c r="U5" s="101">
        <f t="shared" si="2"/>
        <v>2.067603654251581</v>
      </c>
      <c r="V5" s="101">
        <f t="shared" si="3"/>
        <v>0</v>
      </c>
      <c r="W5" s="102" t="str">
        <f>IFERROR(IF((R5-G5)&lt;0,"↑ Improving",IF((R5-G5)&gt;0,"↓ Worsening","→ Stable")),"N/A")</f>
        <v>↑ Improving</v>
      </c>
    </row>
    <row r="6" spans="1:23" ht="15" customHeight="1" x14ac:dyDescent="0.25">
      <c r="A6" s="86">
        <v>3</v>
      </c>
      <c r="B6" s="87" t="s">
        <v>241</v>
      </c>
      <c r="C6" s="88" t="s">
        <v>98</v>
      </c>
      <c r="D6" s="88" t="s">
        <v>5134</v>
      </c>
      <c r="E6" s="89">
        <v>5</v>
      </c>
      <c r="F6" s="90">
        <v>3</v>
      </c>
      <c r="G6" s="91">
        <f>IF(Monthly_Data!C5=0,"",((Monthly_Data!C8/Monthly_Data!C5)*100))</f>
        <v>3.3900313698152669</v>
      </c>
      <c r="H6" s="91">
        <f>IF(Monthly_Data!D5=0,"",((Monthly_Data!D8/Monthly_Data!D5)*100))</f>
        <v>3.3018537950332285</v>
      </c>
      <c r="I6" s="91">
        <f>IF(Monthly_Data!E5=0,"",((Monthly_Data!E8/Monthly_Data!E5)*100))</f>
        <v>3.3504542278127185</v>
      </c>
      <c r="J6" s="91">
        <f>IF(Monthly_Data!F5=0,"",((Monthly_Data!F8/Monthly_Data!F5)*100))</f>
        <v>3.3703963521571381</v>
      </c>
      <c r="K6" s="91">
        <f>IF(Monthly_Data!G5=0,"",((Monthly_Data!G8/Monthly_Data!G5)*100))</f>
        <v>3.3538892782060263</v>
      </c>
      <c r="L6" s="91">
        <f>IF(Monthly_Data!H5=0,"",((Monthly_Data!H8/Monthly_Data!H5)*100))</f>
        <v>3.29248595505618</v>
      </c>
      <c r="M6" s="91">
        <f>IF(Monthly_Data!I5=0,"",((Monthly_Data!I8/Monthly_Data!I5)*100))</f>
        <v>3.2177419354838714</v>
      </c>
      <c r="N6" s="91">
        <f>IF(Monthly_Data!J5=0,"",((Monthly_Data!J8/Monthly_Data!J5)*100))</f>
        <v>3.2</v>
      </c>
      <c r="O6" s="91">
        <f>IF(Monthly_Data!K5=0,"",((Monthly_Data!K8/Monthly_Data!K5)*100))</f>
        <v>3.2033719704952586</v>
      </c>
      <c r="P6" s="91">
        <f>IF(Monthly_Data!L5=0,"",((Monthly_Data!L8/Monthly_Data!L5)*100))</f>
        <v>3.2044975404075893</v>
      </c>
      <c r="Q6" s="91">
        <f>IF(Monthly_Data!M5=0,"",((Monthly_Data!M8/Monthly_Data!M5)*100))</f>
        <v>3.2</v>
      </c>
      <c r="R6" s="91">
        <f>IF(Monthly_Data!N5=0,"",((Monthly_Data!N8/Monthly_Data!N5)*100))</f>
        <v>3.2</v>
      </c>
      <c r="S6" s="92">
        <f t="shared" si="0"/>
        <v>3.2737268687056069</v>
      </c>
      <c r="T6" s="92">
        <f t="shared" si="1"/>
        <v>3.2</v>
      </c>
      <c r="U6" s="93">
        <f t="shared" si="2"/>
        <v>3.2014991801358632</v>
      </c>
      <c r="V6" s="93">
        <f t="shared" si="3"/>
        <v>0</v>
      </c>
      <c r="W6" s="94" t="str">
        <f>IFERROR(IF((R6-G6)&lt;0,"↑ Improving",IF((R6-G6)&gt;0,"↓ Worsening","→ Stable")),"N/A")</f>
        <v>↑ Improving</v>
      </c>
    </row>
    <row r="7" spans="1:23" ht="15" customHeight="1" x14ac:dyDescent="0.25">
      <c r="A7" s="95">
        <v>4</v>
      </c>
      <c r="B7" s="96" t="s">
        <v>247</v>
      </c>
      <c r="C7" s="97" t="s">
        <v>98</v>
      </c>
      <c r="D7" s="97" t="s">
        <v>5134</v>
      </c>
      <c r="E7" s="98">
        <v>2</v>
      </c>
      <c r="F7" s="99">
        <v>1</v>
      </c>
      <c r="G7" s="100">
        <f>IF(Monthly_Data!C5=0,"",((Monthly_Data!C9/Monthly_Data!C5)*100))</f>
        <v>1.2011153712094806</v>
      </c>
      <c r="H7" s="100">
        <f>IF(Monthly_Data!D5=0,"",((Monthly_Data!D9/Monthly_Data!D5)*100))</f>
        <v>1.1199720181881776</v>
      </c>
      <c r="I7" s="100">
        <f>IF(Monthly_Data!E5=0,"",((Monthly_Data!E9/Monthly_Data!E5)*100))</f>
        <v>1.1044723969252273</v>
      </c>
      <c r="J7" s="100">
        <f>IF(Monthly_Data!F5=0,"",((Monthly_Data!F9/Monthly_Data!F5)*100))</f>
        <v>1.1080322693791653</v>
      </c>
      <c r="K7" s="100">
        <f>IF(Monthly_Data!G5=0,"",((Monthly_Data!G9/Monthly_Data!G5)*100))</f>
        <v>1.1040644709180099</v>
      </c>
      <c r="L7" s="100">
        <f>IF(Monthly_Data!H5=0,"",((Monthly_Data!H9/Monthly_Data!H5)*100))</f>
        <v>1.1594101123595506</v>
      </c>
      <c r="M7" s="100">
        <f>IF(Monthly_Data!I5=0,"",((Monthly_Data!I9/Monthly_Data!I5)*100))</f>
        <v>1.1584852734922861</v>
      </c>
      <c r="N7" s="100">
        <f>IF(Monthly_Data!J5=0,"",((Monthly_Data!J9/Monthly_Data!J5)*100))</f>
        <v>1.2</v>
      </c>
      <c r="O7" s="100">
        <f>IF(Monthly_Data!K5=0,"",((Monthly_Data!K9/Monthly_Data!K5)*100))</f>
        <v>1.2012644889357218</v>
      </c>
      <c r="P7" s="100">
        <f>IF(Monthly_Data!L5=0,"",((Monthly_Data!L9/Monthly_Data!L5)*100))</f>
        <v>1.201686577652846</v>
      </c>
      <c r="Q7" s="100">
        <f>IF(Monthly_Data!M5=0,"",((Monthly_Data!M9/Monthly_Data!M5)*100))</f>
        <v>1.2</v>
      </c>
      <c r="R7" s="100">
        <f>IF(Monthly_Data!N5=0,"",((Monthly_Data!N9/Monthly_Data!N5)*100))</f>
        <v>1.2</v>
      </c>
      <c r="S7" s="92">
        <f t="shared" si="0"/>
        <v>1.1632085815883721</v>
      </c>
      <c r="T7" s="92">
        <f t="shared" si="1"/>
        <v>1.2</v>
      </c>
      <c r="U7" s="101">
        <f t="shared" si="2"/>
        <v>1.2005621925509489</v>
      </c>
      <c r="V7" s="101">
        <f t="shared" si="3"/>
        <v>0</v>
      </c>
      <c r="W7" s="102" t="str">
        <f>IFERROR(IF((R7-G7)&lt;0,"↑ Improving",IF((R7-G7)&gt;0,"↓ Worsening","→ Stable")),"N/A")</f>
        <v>↑ Improving</v>
      </c>
    </row>
    <row r="8" spans="1:23" ht="15" customHeight="1" x14ac:dyDescent="0.25">
      <c r="A8" s="86">
        <v>5</v>
      </c>
      <c r="B8" s="87" t="s">
        <v>251</v>
      </c>
      <c r="C8" s="88" t="s">
        <v>98</v>
      </c>
      <c r="D8" s="88" t="s">
        <v>5134</v>
      </c>
      <c r="E8" s="89">
        <v>1</v>
      </c>
      <c r="F8" s="90">
        <v>0.5</v>
      </c>
      <c r="G8" s="91">
        <f>IF(Monthly_Data!C5=0,"",((Monthly_Data!C10/Monthly_Data!C5)*100))</f>
        <v>0.59986057859881492</v>
      </c>
      <c r="H8" s="91">
        <f>IF(Monthly_Data!D5=0,"",((Monthly_Data!D10/Monthly_Data!D5)*100))</f>
        <v>0.61245190626093038</v>
      </c>
      <c r="I8" s="91">
        <f>IF(Monthly_Data!E5=0,"",((Monthly_Data!E10/Monthly_Data!E5)*100))</f>
        <v>0.60202655485674361</v>
      </c>
      <c r="J8" s="91">
        <f>IF(Monthly_Data!F5=0,"",((Monthly_Data!F10/Monthly_Data!F5)*100))</f>
        <v>0.60329708874079269</v>
      </c>
      <c r="K8" s="91">
        <f>IF(Monthly_Data!G5=0,"",((Monthly_Data!G10/Monthly_Data!G5)*100))</f>
        <v>0.60056061667834626</v>
      </c>
      <c r="L8" s="91">
        <f>IF(Monthly_Data!H5=0,"",((Monthly_Data!H10/Monthly_Data!H5)*100))</f>
        <v>0.6000702247191011</v>
      </c>
      <c r="M8" s="91">
        <f>IF(Monthly_Data!I5=0,"",((Monthly_Data!I10/Monthly_Data!I5)*100))</f>
        <v>0.59782608695652173</v>
      </c>
      <c r="N8" s="91">
        <f>IF(Monthly_Data!J5=0,"",((Monthly_Data!J10/Monthly_Data!J5)*100))</f>
        <v>0.70000000000000007</v>
      </c>
      <c r="O8" s="91">
        <f>IF(Monthly_Data!K5=0,"",((Monthly_Data!K10/Monthly_Data!K5)*100))</f>
        <v>0.70073761854583771</v>
      </c>
      <c r="P8" s="91">
        <f>IF(Monthly_Data!L5=0,"",((Monthly_Data!L10/Monthly_Data!L5)*100))</f>
        <v>0.70098383696416022</v>
      </c>
      <c r="Q8" s="91">
        <f>IF(Monthly_Data!M5=0,"",((Monthly_Data!M10/Monthly_Data!M5)*100))</f>
        <v>0.70000000000000007</v>
      </c>
      <c r="R8" s="91">
        <f>IF(Monthly_Data!N5=0,"",((Monthly_Data!N10/Monthly_Data!N5)*100))</f>
        <v>0.70000000000000007</v>
      </c>
      <c r="S8" s="92">
        <f t="shared" si="0"/>
        <v>0.64315120936010406</v>
      </c>
      <c r="T8" s="92">
        <f t="shared" si="1"/>
        <v>0.70000000000000007</v>
      </c>
      <c r="U8" s="93">
        <f t="shared" si="2"/>
        <v>0.70032794565472012</v>
      </c>
      <c r="V8" s="93">
        <f t="shared" si="3"/>
        <v>0</v>
      </c>
      <c r="W8" s="94" t="str">
        <f>IFERROR(IF((R8-G8)&lt;0,"↑ Improving",IF((R8-G8)&gt;0,"↓ Worsening","→ Stable")),"N/A")</f>
        <v>↓ Worsening</v>
      </c>
    </row>
    <row r="9" spans="1:23" ht="15" customHeight="1" x14ac:dyDescent="0.25">
      <c r="A9" s="95">
        <v>6</v>
      </c>
      <c r="B9" s="96" t="s">
        <v>256</v>
      </c>
      <c r="C9" s="97" t="s">
        <v>98</v>
      </c>
      <c r="D9" s="97" t="s">
        <v>5159</v>
      </c>
      <c r="E9" s="98">
        <v>65</v>
      </c>
      <c r="F9" s="99">
        <v>75</v>
      </c>
      <c r="G9" s="100">
        <f>IF(Monthly_Data!C4=0,"",((Monthly_Data!C12/Monthly_Data!C4)*100))</f>
        <v>76.033653846153854</v>
      </c>
      <c r="H9" s="100">
        <f>IF(Monthly_Data!D4=0,"",((Monthly_Data!D12/Monthly_Data!D4)*100))</f>
        <v>71.706568446899936</v>
      </c>
      <c r="I9" s="100">
        <f>IF(Monthly_Data!E4=0,"",((Monthly_Data!E12/Monthly_Data!E4)*100))</f>
        <v>74.234920634920627</v>
      </c>
      <c r="J9" s="100">
        <f>IF(Monthly_Data!F4=0,"",((Monthly_Data!F12/Monthly_Data!F4)*100))</f>
        <v>70.50682261208577</v>
      </c>
      <c r="K9" s="100">
        <f>IF(Monthly_Data!G4=0,"",((Monthly_Data!G12/Monthly_Data!G4)*100))</f>
        <v>72.162698412698418</v>
      </c>
      <c r="L9" s="100">
        <f>IF(Monthly_Data!H4=0,"",((Monthly_Data!H12/Monthly_Data!H4)*100))</f>
        <v>72.989203778677464</v>
      </c>
      <c r="M9" s="100">
        <f>IF(Monthly_Data!I4=0,"",((Monthly_Data!I12/Monthly_Data!I4)*100))</f>
        <v>76</v>
      </c>
      <c r="N9" s="100">
        <f>IF(Monthly_Data!J4=0,"",((Monthly_Data!J12/Monthly_Data!J4)*100))</f>
        <v>76</v>
      </c>
      <c r="O9" s="100">
        <f>IF(Monthly_Data!K4=0,"",((Monthly_Data!K12/Monthly_Data!K4)*100))</f>
        <v>77.682926829268297</v>
      </c>
      <c r="P9" s="100">
        <f>IF(Monthly_Data!L4=0,"",((Monthly_Data!L12/Monthly_Data!L4)*100))</f>
        <v>77.682926829268297</v>
      </c>
      <c r="Q9" s="100">
        <f>IF(Monthly_Data!M4=0,"",((Monthly_Data!M12/Monthly_Data!M4)*100))</f>
        <v>76</v>
      </c>
      <c r="R9" s="100">
        <f>IF(Monthly_Data!N4=0,"",((Monthly_Data!N12/Monthly_Data!N4)*100))</f>
        <v>76</v>
      </c>
      <c r="S9" s="92">
        <f t="shared" si="0"/>
        <v>74.74997678249774</v>
      </c>
      <c r="T9" s="92">
        <f t="shared" si="1"/>
        <v>76</v>
      </c>
      <c r="U9" s="101">
        <f t="shared" si="2"/>
        <v>76.560975609756099</v>
      </c>
      <c r="V9" s="101">
        <f t="shared" si="3"/>
        <v>0</v>
      </c>
      <c r="W9" s="102" t="str">
        <f>IFERROR(IF((R9-G9)&gt;0,"↑ Improving",IF((R9-G9)&lt;0,"↓ Worsening","→ Stable")),"N/A")</f>
        <v>↓ Worsening</v>
      </c>
    </row>
    <row r="10" spans="1:23" ht="15" customHeight="1" x14ac:dyDescent="0.25">
      <c r="A10" s="95">
        <v>8</v>
      </c>
      <c r="B10" s="96" t="s">
        <v>262</v>
      </c>
      <c r="C10" s="97" t="s">
        <v>98</v>
      </c>
      <c r="D10" s="97" t="s">
        <v>5159</v>
      </c>
      <c r="E10" s="98">
        <v>50</v>
      </c>
      <c r="F10" s="99">
        <v>60</v>
      </c>
      <c r="G10" s="100">
        <f>IF(Monthly_Data!C13=0,"",((Monthly_Data!C14/Monthly_Data!C13)*100))</f>
        <v>61.50240384615384</v>
      </c>
      <c r="H10" s="100">
        <f>IF(Monthly_Data!D13=0,"",((Monthly_Data!D14/Monthly_Data!D13)*100))</f>
        <v>61.553100061387354</v>
      </c>
      <c r="I10" s="100">
        <f>IF(Monthly_Data!E13=0,"",((Monthly_Data!E14/Monthly_Data!E13)*100))</f>
        <v>63.142857142857146</v>
      </c>
      <c r="J10" s="100">
        <f>IF(Monthly_Data!F13=0,"",((Monthly_Data!F14/Monthly_Data!F13)*100))</f>
        <v>63.365821962313198</v>
      </c>
      <c r="K10" s="100">
        <f>IF(Monthly_Data!G13=0,"",((Monthly_Data!G14/Monthly_Data!G13)*100))</f>
        <v>63.789682539682538</v>
      </c>
      <c r="L10" s="100">
        <f>IF(Monthly_Data!H13=0,"",((Monthly_Data!H14/Monthly_Data!H13)*100))</f>
        <v>63.481781376518221</v>
      </c>
      <c r="M10" s="100">
        <f>IF(Monthly_Data!I13=0,"",((Monthly_Data!I14/Monthly_Data!I13)*100))</f>
        <v>63.567010309278352</v>
      </c>
      <c r="N10" s="100">
        <f>IF(Monthly_Data!J13=0,"",((Monthly_Data!J14/Monthly_Data!J13)*100))</f>
        <v>63.101754385964917</v>
      </c>
      <c r="O10" s="100">
        <f>IF(Monthly_Data!K13=0,"",((Monthly_Data!K14/Monthly_Data!K13)*100))</f>
        <v>63.185078909612628</v>
      </c>
      <c r="P10" s="100">
        <f>IF(Monthly_Data!L13=0,"",((Monthly_Data!L14/Monthly_Data!L13)*100))</f>
        <v>63.185078909612628</v>
      </c>
      <c r="Q10" s="100">
        <f>IF(Monthly_Data!M13=0,"",((Monthly_Data!M14/Monthly_Data!M13)*100))</f>
        <v>63.101754385964917</v>
      </c>
      <c r="R10" s="100">
        <f>IF(Monthly_Data!N13=0,"",((Monthly_Data!N14/Monthly_Data!N13)*100))</f>
        <v>63.101754385964917</v>
      </c>
      <c r="S10" s="92">
        <f t="shared" si="0"/>
        <v>63.006506517942547</v>
      </c>
      <c r="T10" s="92">
        <f t="shared" si="1"/>
        <v>63.101754385964917</v>
      </c>
      <c r="U10" s="101">
        <f t="shared" si="2"/>
        <v>63.129529227180818</v>
      </c>
      <c r="V10" s="101">
        <f t="shared" si="3"/>
        <v>0</v>
      </c>
      <c r="W10" s="102" t="str">
        <f>IFERROR(IF((R10-G10)&gt;0,"↑ Improving",IF((R10-G10)&lt;0,"↓ Worsening","→ Stable")),"N/A")</f>
        <v>↑ Improving</v>
      </c>
    </row>
    <row r="11" spans="1:23" ht="15" customHeight="1" x14ac:dyDescent="0.25">
      <c r="A11" s="95">
        <v>10</v>
      </c>
      <c r="B11" s="96" t="s">
        <v>5606</v>
      </c>
      <c r="C11" s="97" t="s">
        <v>98</v>
      </c>
      <c r="D11" s="97" t="s">
        <v>5134</v>
      </c>
      <c r="E11" s="98">
        <v>85</v>
      </c>
      <c r="F11" s="99">
        <v>70</v>
      </c>
      <c r="G11" s="100">
        <f>IF(Monthly_Data!C17=0,"",((Monthly_Data!C16/Monthly_Data!C17)*100))</f>
        <v>72</v>
      </c>
      <c r="H11" s="100">
        <f>IF(Monthly_Data!D17=0,"",((Monthly_Data!D16/Monthly_Data!D17)*100))</f>
        <v>68</v>
      </c>
      <c r="I11" s="100">
        <f>IF(Monthly_Data!E17=0,"",((Monthly_Data!E16/Monthly_Data!E17)*100))</f>
        <v>66</v>
      </c>
      <c r="J11" s="100">
        <f>IF(Monthly_Data!F17=0,"",((Monthly_Data!F16/Monthly_Data!F17)*100))</f>
        <v>66.5</v>
      </c>
      <c r="K11" s="100">
        <f>IF(Monthly_Data!G17=0,"",((Monthly_Data!G16/Monthly_Data!G17)*100))</f>
        <v>63</v>
      </c>
      <c r="L11" s="100">
        <f>IF(Monthly_Data!H17=0,"",((Monthly_Data!H16/Monthly_Data!H17)*100))</f>
        <v>64</v>
      </c>
      <c r="M11" s="100">
        <f>IF(Monthly_Data!I17=0,"",((Monthly_Data!I16/Monthly_Data!I17)*100))</f>
        <v>64</v>
      </c>
      <c r="N11" s="100">
        <f>IF(Monthly_Data!J17=0,"",((Monthly_Data!J16/Monthly_Data!J17)*100))</f>
        <v>65</v>
      </c>
      <c r="O11" s="100">
        <f>IF(Monthly_Data!K17=0,"",((Monthly_Data!K16/Monthly_Data!K17)*100))</f>
        <v>65</v>
      </c>
      <c r="P11" s="100">
        <f>IF(Monthly_Data!L17=0,"",((Monthly_Data!L16/Monthly_Data!L17)*100))</f>
        <v>64</v>
      </c>
      <c r="Q11" s="100">
        <f>IF(Monthly_Data!M17=0,"",((Monthly_Data!M16/Monthly_Data!M17)*100))</f>
        <v>64</v>
      </c>
      <c r="R11" s="100">
        <f>IF(Monthly_Data!N17=0,"",((Monthly_Data!N16/Monthly_Data!N17)*100))</f>
        <v>64</v>
      </c>
      <c r="S11" s="92">
        <f t="shared" si="0"/>
        <v>65.458333333333329</v>
      </c>
      <c r="T11" s="92">
        <f t="shared" si="1"/>
        <v>64</v>
      </c>
      <c r="U11" s="101">
        <f t="shared" si="2"/>
        <v>64</v>
      </c>
      <c r="V11" s="101">
        <f t="shared" si="3"/>
        <v>0</v>
      </c>
      <c r="W11" s="102" t="str">
        <f t="shared" ref="W11:W18" si="4">IFERROR(IF((R11-G11)&lt;0,"↑ Improving",IF((R11-G11)&gt;0,"↓ Worsening","→ Stable")),"N/A")</f>
        <v>↑ Improving</v>
      </c>
    </row>
    <row r="12" spans="1:23" ht="15" customHeight="1" x14ac:dyDescent="0.25">
      <c r="A12" s="86">
        <v>11</v>
      </c>
      <c r="B12" s="87" t="s">
        <v>5607</v>
      </c>
      <c r="C12" s="88" t="s">
        <v>20</v>
      </c>
      <c r="D12" s="88" t="s">
        <v>5134</v>
      </c>
      <c r="E12" s="103">
        <v>5000</v>
      </c>
      <c r="F12" s="104">
        <v>4000</v>
      </c>
      <c r="G12" s="105">
        <f>Monthly_Data!C18</f>
        <v>4250</v>
      </c>
      <c r="H12" s="105">
        <f>Monthly_Data!D18</f>
        <v>4300</v>
      </c>
      <c r="I12" s="105">
        <f>Monthly_Data!E18</f>
        <v>4280</v>
      </c>
      <c r="J12" s="105">
        <f>Monthly_Data!F18</f>
        <v>4210</v>
      </c>
      <c r="K12" s="105">
        <f>Monthly_Data!G18</f>
        <v>4150</v>
      </c>
      <c r="L12" s="105">
        <f>Monthly_Data!H18</f>
        <v>4100</v>
      </c>
      <c r="M12" s="105">
        <f>Monthly_Data!I18</f>
        <v>4080</v>
      </c>
      <c r="N12" s="105">
        <f>Monthly_Data!J18</f>
        <v>4060</v>
      </c>
      <c r="O12" s="105">
        <f>Monthly_Data!K18</f>
        <v>4050</v>
      </c>
      <c r="P12" s="105">
        <f>Monthly_Data!L18</f>
        <v>4050</v>
      </c>
      <c r="Q12" s="105">
        <f>Monthly_Data!M18</f>
        <v>4050</v>
      </c>
      <c r="R12" s="105">
        <f>Monthly_Data!N18</f>
        <v>4050</v>
      </c>
      <c r="S12" s="106">
        <f t="shared" si="0"/>
        <v>4135.833333333333</v>
      </c>
      <c r="T12" s="106">
        <f t="shared" si="1"/>
        <v>4050</v>
      </c>
      <c r="U12" s="107">
        <f t="shared" si="2"/>
        <v>4050</v>
      </c>
      <c r="V12" s="107">
        <f t="shared" si="3"/>
        <v>0</v>
      </c>
      <c r="W12" s="94" t="str">
        <f t="shared" si="4"/>
        <v>↑ Improving</v>
      </c>
    </row>
    <row r="13" spans="1:23" ht="15" customHeight="1" x14ac:dyDescent="0.25">
      <c r="A13" s="95">
        <v>12</v>
      </c>
      <c r="B13" s="96" t="s">
        <v>270</v>
      </c>
      <c r="C13" s="97" t="s">
        <v>20</v>
      </c>
      <c r="D13" s="97" t="s">
        <v>5134</v>
      </c>
      <c r="E13" s="108">
        <v>2000</v>
      </c>
      <c r="F13" s="109">
        <v>1500</v>
      </c>
      <c r="G13" s="110">
        <f>Monthly_Data!C19</f>
        <v>1820</v>
      </c>
      <c r="H13" s="110">
        <f>Monthly_Data!D19</f>
        <v>1800</v>
      </c>
      <c r="I13" s="110">
        <f>Monthly_Data!E19</f>
        <v>1780</v>
      </c>
      <c r="J13" s="110">
        <f>Monthly_Data!F19</f>
        <v>1760</v>
      </c>
      <c r="K13" s="110">
        <f>Monthly_Data!G19</f>
        <v>1750</v>
      </c>
      <c r="L13" s="110">
        <f>Monthly_Data!H19</f>
        <v>1740</v>
      </c>
      <c r="M13" s="110">
        <f>Monthly_Data!I19</f>
        <v>1730</v>
      </c>
      <c r="N13" s="110">
        <f>Monthly_Data!J19</f>
        <v>1720</v>
      </c>
      <c r="O13" s="110">
        <f>Monthly_Data!K19</f>
        <v>1720</v>
      </c>
      <c r="P13" s="110">
        <f>Monthly_Data!L19</f>
        <v>1720</v>
      </c>
      <c r="Q13" s="110">
        <f>Monthly_Data!M19</f>
        <v>1720</v>
      </c>
      <c r="R13" s="110">
        <f>Monthly_Data!N19</f>
        <v>1720</v>
      </c>
      <c r="S13" s="106">
        <f t="shared" si="0"/>
        <v>1748.3333333333333</v>
      </c>
      <c r="T13" s="106">
        <f t="shared" si="1"/>
        <v>1720</v>
      </c>
      <c r="U13" s="111">
        <f t="shared" si="2"/>
        <v>1720</v>
      </c>
      <c r="V13" s="111">
        <f t="shared" si="3"/>
        <v>0</v>
      </c>
      <c r="W13" s="102" t="str">
        <f t="shared" si="4"/>
        <v>↑ Improving</v>
      </c>
    </row>
    <row r="14" spans="1:23" ht="15" customHeight="1" x14ac:dyDescent="0.25">
      <c r="A14" s="86">
        <v>13</v>
      </c>
      <c r="B14" s="87" t="s">
        <v>5191</v>
      </c>
      <c r="C14" s="88" t="s">
        <v>20</v>
      </c>
      <c r="D14" s="88" t="s">
        <v>5134</v>
      </c>
      <c r="E14" s="103">
        <v>150</v>
      </c>
      <c r="F14" s="104">
        <v>100</v>
      </c>
      <c r="G14" s="105">
        <f>Monthly_Data!C20</f>
        <v>92</v>
      </c>
      <c r="H14" s="105">
        <f>Monthly_Data!D20</f>
        <v>94</v>
      </c>
      <c r="I14" s="105">
        <f>Monthly_Data!E20</f>
        <v>91</v>
      </c>
      <c r="J14" s="105">
        <f>Monthly_Data!F20</f>
        <v>88</v>
      </c>
      <c r="K14" s="105">
        <f>Monthly_Data!G20</f>
        <v>85</v>
      </c>
      <c r="L14" s="105">
        <f>Monthly_Data!H20</f>
        <v>87</v>
      </c>
      <c r="M14" s="105">
        <f>Monthly_Data!I20</f>
        <v>88</v>
      </c>
      <c r="N14" s="105">
        <f>Monthly_Data!J20</f>
        <v>89</v>
      </c>
      <c r="O14" s="105">
        <f>Monthly_Data!K20</f>
        <v>90</v>
      </c>
      <c r="P14" s="105">
        <f>Monthly_Data!L20</f>
        <v>88</v>
      </c>
      <c r="Q14" s="105">
        <f>Monthly_Data!M20</f>
        <v>88</v>
      </c>
      <c r="R14" s="105">
        <f>Monthly_Data!N20</f>
        <v>88</v>
      </c>
      <c r="S14" s="106">
        <f t="shared" si="0"/>
        <v>89</v>
      </c>
      <c r="T14" s="106">
        <f t="shared" si="1"/>
        <v>88</v>
      </c>
      <c r="U14" s="107">
        <f t="shared" si="2"/>
        <v>88</v>
      </c>
      <c r="V14" s="107">
        <f t="shared" si="3"/>
        <v>0</v>
      </c>
      <c r="W14" s="94" t="str">
        <f t="shared" si="4"/>
        <v>↑ Improving</v>
      </c>
    </row>
    <row r="15" spans="1:23" ht="15" customHeight="1" x14ac:dyDescent="0.25">
      <c r="A15" s="95">
        <v>14</v>
      </c>
      <c r="B15" s="96" t="s">
        <v>296</v>
      </c>
      <c r="C15" s="97" t="s">
        <v>98</v>
      </c>
      <c r="D15" s="97" t="s">
        <v>5134</v>
      </c>
      <c r="E15" s="98">
        <v>80</v>
      </c>
      <c r="F15" s="99">
        <v>60</v>
      </c>
      <c r="G15" s="100">
        <f>IF(Monthly_Data!C22=0,"",((Monthly_Data!C21/Monthly_Data!C22)*100))</f>
        <v>60.222222222222221</v>
      </c>
      <c r="H15" s="100">
        <f>IF(Monthly_Data!D22=0,"",((Monthly_Data!D21/Monthly_Data!D22)*100))</f>
        <v>59.777777777777771</v>
      </c>
      <c r="I15" s="100">
        <f>IF(Monthly_Data!E22=0,"",((Monthly_Data!E21/Monthly_Data!E22)*100))</f>
        <v>59.444444444444443</v>
      </c>
      <c r="J15" s="100">
        <f>IF(Monthly_Data!F22=0,"",((Monthly_Data!F21/Monthly_Data!F22)*100))</f>
        <v>59.111111111111114</v>
      </c>
      <c r="K15" s="100">
        <f>IF(Monthly_Data!G22=0,"",((Monthly_Data!G21/Monthly_Data!G22)*100))</f>
        <v>58.777777777777771</v>
      </c>
      <c r="L15" s="100">
        <f>IF(Monthly_Data!H22=0,"",((Monthly_Data!H21/Monthly_Data!H22)*100))</f>
        <v>58.444444444444443</v>
      </c>
      <c r="M15" s="100">
        <f>IF(Monthly_Data!I22=0,"",((Monthly_Data!I21/Monthly_Data!I22)*100))</f>
        <v>58.222222222222221</v>
      </c>
      <c r="N15" s="100">
        <f>IF(Monthly_Data!J22=0,"",((Monthly_Data!J21/Monthly_Data!J22)*100))</f>
        <v>57.999999999999993</v>
      </c>
      <c r="O15" s="100">
        <f>IF(Monthly_Data!K22=0,"",((Monthly_Data!K21/Monthly_Data!K22)*100))</f>
        <v>57.777777777777771</v>
      </c>
      <c r="P15" s="100">
        <f>IF(Monthly_Data!L22=0,"",((Monthly_Data!L21/Monthly_Data!L22)*100))</f>
        <v>57.777777777777771</v>
      </c>
      <c r="Q15" s="100">
        <f>IF(Monthly_Data!M22=0,"",((Monthly_Data!M21/Monthly_Data!M22)*100))</f>
        <v>57.777777777777771</v>
      </c>
      <c r="R15" s="100">
        <f>IF(Monthly_Data!N22=0,"",((Monthly_Data!N21/Monthly_Data!N22)*100))</f>
        <v>57.777777777777771</v>
      </c>
      <c r="S15" s="92">
        <f t="shared" si="0"/>
        <v>58.592592592592609</v>
      </c>
      <c r="T15" s="92">
        <f t="shared" si="1"/>
        <v>57.777777777777771</v>
      </c>
      <c r="U15" s="101">
        <f t="shared" si="2"/>
        <v>57.777777777777771</v>
      </c>
      <c r="V15" s="101">
        <f t="shared" si="3"/>
        <v>0</v>
      </c>
      <c r="W15" s="102" t="str">
        <f t="shared" si="4"/>
        <v>↑ Improving</v>
      </c>
    </row>
    <row r="16" spans="1:23" ht="15" customHeight="1" x14ac:dyDescent="0.25">
      <c r="A16" s="86">
        <v>15</v>
      </c>
      <c r="B16" s="87" t="s">
        <v>5199</v>
      </c>
      <c r="C16" s="88" t="s">
        <v>5608</v>
      </c>
      <c r="D16" s="88" t="s">
        <v>5134</v>
      </c>
      <c r="E16" s="112">
        <v>0.15</v>
      </c>
      <c r="F16" s="113">
        <v>0.1</v>
      </c>
      <c r="G16" s="114">
        <f>IF(Monthly_Data!C25=0,"",((Monthly_Data!C24/100)/Monthly_Data!C25*100))</f>
        <v>1.1999657152652781E-5</v>
      </c>
      <c r="H16" s="114">
        <f>IF(Monthly_Data!D25=0,"",((Monthly_Data!D24/100)/Monthly_Data!D25*100))</f>
        <v>1.1142538784606154E-5</v>
      </c>
      <c r="I16" s="114">
        <f>IF(Monthly_Data!E25=0,"",((Monthly_Data!E24/100)/Monthly_Data!E25*100))</f>
        <v>1.1142538784606154E-5</v>
      </c>
      <c r="J16" s="114">
        <f>IF(Monthly_Data!F25=0,"",((Monthly_Data!F24/100)/Monthly_Data!F25*100))</f>
        <v>1.0285420416559526E-5</v>
      </c>
      <c r="K16" s="114">
        <f>IF(Monthly_Data!G25=0,"",((Monthly_Data!G24/100)/Monthly_Data!G25*100))</f>
        <v>1.1142538784606154E-5</v>
      </c>
      <c r="L16" s="114">
        <f>IF(Monthly_Data!H25=0,"",((Monthly_Data!H24/100)/Monthly_Data!H25*100))</f>
        <v>1.0285420416559526E-5</v>
      </c>
      <c r="M16" s="114">
        <f>IF(Monthly_Data!I25=0,"",((Monthly_Data!I24/100)/Monthly_Data!I25*100))</f>
        <v>1.0285420416559526E-5</v>
      </c>
      <c r="N16" s="114">
        <f>IF(Monthly_Data!J25=0,"",((Monthly_Data!J24/100)/Monthly_Data!J25*100))</f>
        <v>1.0285420416559526E-5</v>
      </c>
      <c r="O16" s="114">
        <f>IF(Monthly_Data!K25=0,"",((Monthly_Data!K24/100)/Monthly_Data!K25*100))</f>
        <v>1.0285420416559526E-5</v>
      </c>
      <c r="P16" s="114">
        <f>IF(Monthly_Data!L25=0,"",((Monthly_Data!L24/100)/Monthly_Data!L25*100))</f>
        <v>9.4283020485129003E-6</v>
      </c>
      <c r="Q16" s="114">
        <f>IF(Monthly_Data!M25=0,"",((Monthly_Data!M24/100)/Monthly_Data!M25*100))</f>
        <v>1.0285420416559526E-5</v>
      </c>
      <c r="R16" s="114">
        <f>IF(Monthly_Data!N25=0,"",((Monthly_Data!N24/100)/Monthly_Data!N25*100))</f>
        <v>1.0285420416559526E-5</v>
      </c>
      <c r="S16" s="115">
        <f t="shared" si="0"/>
        <v>1.0571126539241736E-5</v>
      </c>
      <c r="T16" s="115">
        <f t="shared" si="1"/>
        <v>1.0285420416559526E-5</v>
      </c>
      <c r="U16" s="116">
        <f t="shared" si="2"/>
        <v>9.9997142938773171E-6</v>
      </c>
      <c r="V16" s="116">
        <f t="shared" si="3"/>
        <v>0</v>
      </c>
      <c r="W16" s="94" t="str">
        <f t="shared" si="4"/>
        <v>↑ Improving</v>
      </c>
    </row>
    <row r="17" spans="1:23" ht="15" customHeight="1" x14ac:dyDescent="0.25">
      <c r="A17" s="95">
        <v>16</v>
      </c>
      <c r="B17" s="96" t="s">
        <v>70</v>
      </c>
      <c r="C17" s="97" t="s">
        <v>71</v>
      </c>
      <c r="D17" s="97" t="s">
        <v>5134</v>
      </c>
      <c r="E17" s="117">
        <v>6</v>
      </c>
      <c r="F17" s="118">
        <v>3</v>
      </c>
      <c r="G17" s="119">
        <f>Monthly_Data!C26</f>
        <v>3</v>
      </c>
      <c r="H17" s="119">
        <f>Monthly_Data!D26</f>
        <v>3</v>
      </c>
      <c r="I17" s="119">
        <f>Monthly_Data!E26</f>
        <v>3</v>
      </c>
      <c r="J17" s="119">
        <f>Monthly_Data!F26</f>
        <v>3</v>
      </c>
      <c r="K17" s="119">
        <f>Monthly_Data!G26</f>
        <v>3</v>
      </c>
      <c r="L17" s="119">
        <f>Monthly_Data!H26</f>
        <v>3</v>
      </c>
      <c r="M17" s="119">
        <f>Monthly_Data!I26</f>
        <v>3</v>
      </c>
      <c r="N17" s="119">
        <f>Monthly_Data!J26</f>
        <v>3</v>
      </c>
      <c r="O17" s="119">
        <f>Monthly_Data!K26</f>
        <v>3</v>
      </c>
      <c r="P17" s="119">
        <f>Monthly_Data!L26</f>
        <v>3</v>
      </c>
      <c r="Q17" s="119">
        <f>Monthly_Data!M26</f>
        <v>3</v>
      </c>
      <c r="R17" s="119">
        <f>Monthly_Data!N26</f>
        <v>3</v>
      </c>
      <c r="S17" s="120">
        <f t="shared" si="0"/>
        <v>3</v>
      </c>
      <c r="T17" s="120">
        <f t="shared" si="1"/>
        <v>3</v>
      </c>
      <c r="U17" s="121">
        <f t="shared" si="2"/>
        <v>3</v>
      </c>
      <c r="V17" s="121">
        <f t="shared" si="3"/>
        <v>0</v>
      </c>
      <c r="W17" s="102" t="str">
        <f t="shared" si="4"/>
        <v>→ Stable</v>
      </c>
    </row>
    <row r="18" spans="1:23" ht="15" customHeight="1" x14ac:dyDescent="0.25">
      <c r="A18" s="86">
        <v>17</v>
      </c>
      <c r="B18" s="87" t="s">
        <v>317</v>
      </c>
      <c r="C18" s="88" t="s">
        <v>71</v>
      </c>
      <c r="D18" s="88" t="s">
        <v>5134</v>
      </c>
      <c r="E18" s="122">
        <v>20</v>
      </c>
      <c r="F18" s="123">
        <v>10</v>
      </c>
      <c r="G18" s="124">
        <f>Monthly_Data!C27</f>
        <v>20</v>
      </c>
      <c r="H18" s="124">
        <f>Monthly_Data!D27</f>
        <v>20</v>
      </c>
      <c r="I18" s="124">
        <f>Monthly_Data!E27</f>
        <v>19</v>
      </c>
      <c r="J18" s="124">
        <f>Monthly_Data!F27</f>
        <v>18</v>
      </c>
      <c r="K18" s="124">
        <f>Monthly_Data!G27</f>
        <v>18</v>
      </c>
      <c r="L18" s="124">
        <f>Monthly_Data!H27</f>
        <v>18</v>
      </c>
      <c r="M18" s="124">
        <f>Monthly_Data!I27</f>
        <v>18</v>
      </c>
      <c r="N18" s="124">
        <f>Monthly_Data!J27</f>
        <v>18</v>
      </c>
      <c r="O18" s="124">
        <f>Monthly_Data!K27</f>
        <v>18</v>
      </c>
      <c r="P18" s="124">
        <f>Monthly_Data!L27</f>
        <v>18</v>
      </c>
      <c r="Q18" s="124">
        <f>Monthly_Data!M27</f>
        <v>18</v>
      </c>
      <c r="R18" s="124">
        <f>Monthly_Data!N27</f>
        <v>18</v>
      </c>
      <c r="S18" s="120">
        <f t="shared" si="0"/>
        <v>18.416666666666668</v>
      </c>
      <c r="T18" s="120">
        <f t="shared" si="1"/>
        <v>18</v>
      </c>
      <c r="U18" s="125">
        <f t="shared" si="2"/>
        <v>18</v>
      </c>
      <c r="V18" s="125">
        <f t="shared" si="3"/>
        <v>0</v>
      </c>
      <c r="W18" s="94" t="str">
        <f t="shared" si="4"/>
        <v>↑ Improving</v>
      </c>
    </row>
    <row r="19" spans="1:23" ht="15" customHeight="1" x14ac:dyDescent="0.25">
      <c r="A19" s="95">
        <v>18</v>
      </c>
      <c r="B19" s="96" t="s">
        <v>330</v>
      </c>
      <c r="C19" s="97" t="s">
        <v>98</v>
      </c>
      <c r="D19" s="97" t="s">
        <v>5159</v>
      </c>
      <c r="E19" s="98">
        <v>13</v>
      </c>
      <c r="F19" s="99">
        <v>15</v>
      </c>
      <c r="G19" s="100">
        <f>IF(Monthly_Data!C32=0,"",((Monthly_Data!C31/Monthly_Data!C32)*100))</f>
        <v>19.12280701754386</v>
      </c>
      <c r="H19" s="100">
        <f>IF(Monthly_Data!D32=0,"",((Monthly_Data!D31/Monthly_Data!D32)*100))</f>
        <v>19.168490153172865</v>
      </c>
      <c r="I19" s="100">
        <f>IF(Monthly_Data!E32=0,"",((Monthly_Data!E31/Monthly_Data!E32)*100))</f>
        <v>19.213973799126638</v>
      </c>
      <c r="J19" s="100">
        <f>IF(Monthly_Data!F32=0,"",((Monthly_Data!F31/Monthly_Data!F32)*100))</f>
        <v>19.25925925925926</v>
      </c>
      <c r="K19" s="100">
        <f>IF(Monthly_Data!G32=0,"",((Monthly_Data!G31/Monthly_Data!G32)*100))</f>
        <v>19.304347826086957</v>
      </c>
      <c r="L19" s="100">
        <f>IF(Monthly_Data!H32=0,"",((Monthly_Data!H31/Monthly_Data!H32)*100))</f>
        <v>19.34924078091106</v>
      </c>
      <c r="M19" s="100">
        <f>IF(Monthly_Data!I32=0,"",((Monthly_Data!I31/Monthly_Data!I32)*100))</f>
        <v>19.307359307359306</v>
      </c>
      <c r="N19" s="100">
        <f>IF(Monthly_Data!J32=0,"",((Monthly_Data!J31/Monthly_Data!J32)*100))</f>
        <v>19.265658747300215</v>
      </c>
      <c r="O19" s="100">
        <f>IF(Monthly_Data!K32=0,"",((Monthly_Data!K31/Monthly_Data!K32)*100))</f>
        <v>19.336832154382762</v>
      </c>
      <c r="P19" s="100">
        <f>IF(Monthly_Data!L32=0,"",((Monthly_Data!L31/Monthly_Data!L32)*100))</f>
        <v>19.309437602899298</v>
      </c>
      <c r="Q19" s="100">
        <f>IF(Monthly_Data!M32=0,"",((Monthly_Data!M31/Monthly_Data!M32)*100))</f>
        <v>19.20572608210092</v>
      </c>
      <c r="R19" s="100">
        <f>IF(Monthly_Data!N32=0,"",((Monthly_Data!N31/Monthly_Data!N32)*100))</f>
        <v>19.323500260386041</v>
      </c>
      <c r="S19" s="92">
        <f t="shared" si="0"/>
        <v>19.263886082544101</v>
      </c>
      <c r="T19" s="92">
        <f t="shared" si="1"/>
        <v>19.323500260386041</v>
      </c>
      <c r="U19" s="101">
        <f t="shared" si="2"/>
        <v>19.279554648462085</v>
      </c>
      <c r="V19" s="101">
        <f t="shared" si="3"/>
        <v>0.11777417828512071</v>
      </c>
      <c r="W19" s="102" t="str">
        <f t="shared" ref="W19:W28" si="5">IFERROR(IF((R19-G19)&gt;0,"↑ Improving",IF((R19-G19)&lt;0,"↓ Worsening","→ Stable")),"N/A")</f>
        <v>↑ Improving</v>
      </c>
    </row>
    <row r="20" spans="1:23" ht="15" customHeight="1" x14ac:dyDescent="0.25">
      <c r="A20" s="86">
        <v>19</v>
      </c>
      <c r="B20" s="87" t="s">
        <v>336</v>
      </c>
      <c r="C20" s="88" t="s">
        <v>98</v>
      </c>
      <c r="D20" s="88" t="s">
        <v>5159</v>
      </c>
      <c r="E20" s="89">
        <v>9</v>
      </c>
      <c r="F20" s="90">
        <v>11</v>
      </c>
      <c r="G20" s="91">
        <f>IF(Monthly_Data!C32=0,"",((Monthly_Data!C29/Monthly_Data!C32)*100))</f>
        <v>15.6140350877193</v>
      </c>
      <c r="H20" s="91">
        <f>IF(Monthly_Data!D32=0,"",((Monthly_Data!D29/Monthly_Data!D32)*100))</f>
        <v>15.667396061269145</v>
      </c>
      <c r="I20" s="91">
        <f>IF(Monthly_Data!E32=0,"",((Monthly_Data!E29/Monthly_Data!E32)*100))</f>
        <v>15.72052401746725</v>
      </c>
      <c r="J20" s="91">
        <f>IF(Monthly_Data!F32=0,"",((Monthly_Data!F29/Monthly_Data!F32)*100))</f>
        <v>15.773420479302832</v>
      </c>
      <c r="K20" s="91">
        <f>IF(Monthly_Data!G32=0,"",((Monthly_Data!G29/Monthly_Data!G32)*100))</f>
        <v>15.82608695652174</v>
      </c>
      <c r="L20" s="91">
        <f>IF(Monthly_Data!H32=0,"",((Monthly_Data!H29/Monthly_Data!H32)*100))</f>
        <v>15.878524945770064</v>
      </c>
      <c r="M20" s="91">
        <f>IF(Monthly_Data!I32=0,"",((Monthly_Data!I29/Monthly_Data!I32)*100))</f>
        <v>15.844155844155845</v>
      </c>
      <c r="N20" s="91">
        <f>IF(Monthly_Data!J32=0,"",((Monthly_Data!J29/Monthly_Data!J32)*100))</f>
        <v>15.809935205183583</v>
      </c>
      <c r="O20" s="91">
        <f>IF(Monthly_Data!K32=0,"",((Monthly_Data!K29/Monthly_Data!K32)*100))</f>
        <v>15.612087231476352</v>
      </c>
      <c r="P20" s="91">
        <f>IF(Monthly_Data!L32=0,"",((Monthly_Data!L29/Monthly_Data!L32)*100))</f>
        <v>15.596714796068978</v>
      </c>
      <c r="Q20" s="91">
        <f>IF(Monthly_Data!M32=0,"",((Monthly_Data!M29/Monthly_Data!M32)*100))</f>
        <v>15.499382381806489</v>
      </c>
      <c r="R20" s="91">
        <f>IF(Monthly_Data!N32=0,"",((Monthly_Data!N29/Monthly_Data!N32)*100))</f>
        <v>15.625850454415643</v>
      </c>
      <c r="S20" s="92">
        <f t="shared" si="0"/>
        <v>15.705676121763103</v>
      </c>
      <c r="T20" s="92">
        <f t="shared" si="1"/>
        <v>15.625850454415643</v>
      </c>
      <c r="U20" s="93">
        <f t="shared" si="2"/>
        <v>15.573982544097037</v>
      </c>
      <c r="V20" s="93">
        <f t="shared" si="3"/>
        <v>0.12646807260915338</v>
      </c>
      <c r="W20" s="94" t="str">
        <f t="shared" si="5"/>
        <v>↑ Improving</v>
      </c>
    </row>
    <row r="21" spans="1:23" ht="15" customHeight="1" x14ac:dyDescent="0.25">
      <c r="A21" s="95">
        <v>20</v>
      </c>
      <c r="B21" s="96" t="s">
        <v>5609</v>
      </c>
      <c r="C21" s="97" t="s">
        <v>98</v>
      </c>
      <c r="D21" s="97" t="s">
        <v>5159</v>
      </c>
      <c r="E21" s="98">
        <v>3.5</v>
      </c>
      <c r="F21" s="99">
        <v>4</v>
      </c>
      <c r="G21" s="100">
        <f>IF(Monthly_Data!C33=0,"",((Monthly_Data!C30/Monthly_Data!C33)*100))</f>
        <v>1.5080645161290323</v>
      </c>
      <c r="H21" s="100">
        <f>IF(Monthly_Data!D33=0,"",((Monthly_Data!D30/Monthly_Data!D33)*100))</f>
        <v>1.5100401606425702</v>
      </c>
      <c r="I21" s="100">
        <f>IF(Monthly_Data!E33=0,"",((Monthly_Data!E30/Monthly_Data!E33)*100))</f>
        <v>1.512</v>
      </c>
      <c r="J21" s="100">
        <f>IF(Monthly_Data!F33=0,"",((Monthly_Data!F30/Monthly_Data!F33)*100))</f>
        <v>1.5139442231075697</v>
      </c>
      <c r="K21" s="100">
        <f>IF(Monthly_Data!G33=0,"",((Monthly_Data!G30/Monthly_Data!G33)*100))</f>
        <v>1.5158730158730158</v>
      </c>
      <c r="L21" s="100">
        <f>IF(Monthly_Data!H33=0,"",((Monthly_Data!H30/Monthly_Data!H33)*100))</f>
        <v>1.517786561264822</v>
      </c>
      <c r="M21" s="100">
        <f>IF(Monthly_Data!I33=0,"",((Monthly_Data!I30/Monthly_Data!I33)*100))</f>
        <v>1.5118110236220472</v>
      </c>
      <c r="N21" s="100">
        <f>IF(Monthly_Data!J33=0,"",((Monthly_Data!J30/Monthly_Data!J33)*100))</f>
        <v>1.5058823529411764</v>
      </c>
      <c r="O21" s="100">
        <f>IF(Monthly_Data!K33=0,"",((Monthly_Data!K30/Monthly_Data!K33)*100))</f>
        <v>1.4947622039488577</v>
      </c>
      <c r="P21" s="100">
        <f>IF(Monthly_Data!L33=0,"",((Monthly_Data!L30/Monthly_Data!L33)*100))</f>
        <v>1.5519878596830314</v>
      </c>
      <c r="Q21" s="100">
        <f>IF(Monthly_Data!M33=0,"",((Monthly_Data!M30/Monthly_Data!M33)*100))</f>
        <v>1.4662033340518354</v>
      </c>
      <c r="R21" s="100">
        <f>IF(Monthly_Data!N33=0,"",((Monthly_Data!N30/Monthly_Data!N33)*100))</f>
        <v>1.5515903739985779</v>
      </c>
      <c r="S21" s="92">
        <f t="shared" si="0"/>
        <v>1.5133288021052114</v>
      </c>
      <c r="T21" s="92">
        <f t="shared" si="1"/>
        <v>1.5515903739985779</v>
      </c>
      <c r="U21" s="101">
        <f t="shared" si="2"/>
        <v>1.5232605225778151</v>
      </c>
      <c r="V21" s="101">
        <f t="shared" si="3"/>
        <v>8.538703994674246E-2</v>
      </c>
      <c r="W21" s="102" t="str">
        <f t="shared" si="5"/>
        <v>↑ Improving</v>
      </c>
    </row>
    <row r="22" spans="1:23" ht="15" customHeight="1" x14ac:dyDescent="0.25">
      <c r="A22" s="86">
        <v>21</v>
      </c>
      <c r="B22" s="87" t="s">
        <v>352</v>
      </c>
      <c r="C22" s="88" t="s">
        <v>98</v>
      </c>
      <c r="D22" s="88" t="s">
        <v>5159</v>
      </c>
      <c r="E22" s="89">
        <v>100</v>
      </c>
      <c r="F22" s="90">
        <v>120</v>
      </c>
      <c r="G22" s="91">
        <f>IF(Monthly_Data!C36=0,"",((Monthly_Data!C35/Monthly_Data!C36)*100))</f>
        <v>117.99410029498524</v>
      </c>
      <c r="H22" s="91">
        <f>IF(Monthly_Data!D36=0,"",((Monthly_Data!D35/Monthly_Data!D36)*100))</f>
        <v>119.99323981747507</v>
      </c>
      <c r="I22" s="91">
        <f>IF(Monthly_Data!E36=0,"",((Monthly_Data!E35/Monthly_Data!E36)*100))</f>
        <v>121.99254490003388</v>
      </c>
      <c r="J22" s="91">
        <f>IF(Monthly_Data!F36=0,"",((Monthly_Data!F35/Monthly_Data!F36)*100))</f>
        <v>124.00793650793651</v>
      </c>
      <c r="K22" s="91">
        <f>IF(Monthly_Data!G36=0,"",((Monthly_Data!G35/Monthly_Data!G36)*100))</f>
        <v>125</v>
      </c>
      <c r="L22" s="91">
        <f>IF(Monthly_Data!H36=0,"",((Monthly_Data!H35/Monthly_Data!H36)*100))</f>
        <v>125.98933936359231</v>
      </c>
      <c r="M22" s="91">
        <f>IF(Monthly_Data!I36=0,"",((Monthly_Data!I35/Monthly_Data!I36)*100))</f>
        <v>127.00428639466581</v>
      </c>
      <c r="N22" s="91">
        <f>IF(Monthly_Data!J36=0,"",((Monthly_Data!J35/Monthly_Data!J36)*100))</f>
        <v>128.00499531689042</v>
      </c>
      <c r="O22" s="91">
        <f>IF(Monthly_Data!K36=0,"",((Monthly_Data!K35/Monthly_Data!K36)*100))</f>
        <v>128.99262899262899</v>
      </c>
      <c r="P22" s="91">
        <f>IF(Monthly_Data!L36=0,"",((Monthly_Data!L35/Monthly_Data!L36)*100))</f>
        <v>130.00917711838483</v>
      </c>
      <c r="Q22" s="91">
        <f>IF(Monthly_Data!M36=0,"",((Monthly_Data!M35/Monthly_Data!M36)*100))</f>
        <v>128.00499531689042</v>
      </c>
      <c r="R22" s="91">
        <f>IF(Monthly_Data!N36=0,"",((Monthly_Data!N35/Monthly_Data!N36)*100))</f>
        <v>128.00499531689042</v>
      </c>
      <c r="S22" s="92">
        <f t="shared" si="0"/>
        <v>125.41651994503117</v>
      </c>
      <c r="T22" s="92">
        <f t="shared" si="1"/>
        <v>128.00499531689042</v>
      </c>
      <c r="U22" s="93">
        <f t="shared" si="2"/>
        <v>128.67305591738855</v>
      </c>
      <c r="V22" s="93">
        <f t="shared" si="3"/>
        <v>0</v>
      </c>
      <c r="W22" s="94" t="str">
        <f t="shared" si="5"/>
        <v>↑ Improving</v>
      </c>
    </row>
    <row r="23" spans="1:23" ht="15" customHeight="1" x14ac:dyDescent="0.25">
      <c r="A23" s="95">
        <v>22</v>
      </c>
      <c r="B23" s="96" t="s">
        <v>5247</v>
      </c>
      <c r="C23" s="97" t="s">
        <v>98</v>
      </c>
      <c r="D23" s="97" t="s">
        <v>5159</v>
      </c>
      <c r="E23" s="98">
        <v>100</v>
      </c>
      <c r="F23" s="99">
        <v>110</v>
      </c>
      <c r="G23" s="100">
        <f>IF(Monthly_Data!C38=0,"",((Monthly_Data!C37/Monthly_Data!C38)*100))</f>
        <v>108.33333333333333</v>
      </c>
      <c r="H23" s="100">
        <f>IF(Monthly_Data!D38=0,"",((Monthly_Data!D37/Monthly_Data!D38)*100))</f>
        <v>109.00044099415058</v>
      </c>
      <c r="I23" s="100">
        <f>IF(Monthly_Data!E38=0,"",((Monthly_Data!E37/Monthly_Data!E38)*100))</f>
        <v>110.00000000000001</v>
      </c>
      <c r="J23" s="100">
        <f>IF(Monthly_Data!F38=0,"",((Monthly_Data!F37/Monthly_Data!F38)*100))</f>
        <v>111.01836393989983</v>
      </c>
      <c r="K23" s="100">
        <f>IF(Monthly_Data!G38=0,"",((Monthly_Data!G37/Monthly_Data!G38)*100))</f>
        <v>110.99974320954928</v>
      </c>
      <c r="L23" s="100">
        <f>IF(Monthly_Data!H38=0,"",((Monthly_Data!H37/Monthly_Data!H38)*100))</f>
        <v>111.99973451914779</v>
      </c>
      <c r="M23" s="100">
        <f>IF(Monthly_Data!I38=0,"",((Monthly_Data!I37/Monthly_Data!I38)*100))</f>
        <v>111.9996047072775</v>
      </c>
      <c r="N23" s="100">
        <f>IF(Monthly_Data!J38=0,"",((Monthly_Data!J37/Monthly_Data!J38)*100))</f>
        <v>112.99994226280323</v>
      </c>
      <c r="O23" s="100">
        <f>IF(Monthly_Data!K38=0,"",((Monthly_Data!K37/Monthly_Data!K38)*100))</f>
        <v>112.00025971074716</v>
      </c>
      <c r="P23" s="100">
        <f>IF(Monthly_Data!L38=0,"",((Monthly_Data!L37/Monthly_Data!L38)*100))</f>
        <v>112.99986179873018</v>
      </c>
      <c r="Q23" s="100">
        <f>IF(Monthly_Data!M38=0,"",((Monthly_Data!M37/Monthly_Data!M38)*100))</f>
        <v>112.99994226280323</v>
      </c>
      <c r="R23" s="100">
        <f>IF(Monthly_Data!N38=0,"",((Monthly_Data!N37/Monthly_Data!N38)*100))</f>
        <v>112.99994226280323</v>
      </c>
      <c r="S23" s="92">
        <f t="shared" si="0"/>
        <v>111.44593075010376</v>
      </c>
      <c r="T23" s="92">
        <f t="shared" si="1"/>
        <v>112.99994226280323</v>
      </c>
      <c r="U23" s="101">
        <f t="shared" si="2"/>
        <v>112.99991544144554</v>
      </c>
      <c r="V23" s="101">
        <f t="shared" si="3"/>
        <v>0</v>
      </c>
      <c r="W23" s="102" t="str">
        <f t="shared" si="5"/>
        <v>↑ Improving</v>
      </c>
    </row>
    <row r="24" spans="1:23" ht="15" customHeight="1" x14ac:dyDescent="0.25">
      <c r="A24" s="86">
        <v>23</v>
      </c>
      <c r="B24" s="87" t="s">
        <v>361</v>
      </c>
      <c r="C24" s="88" t="s">
        <v>98</v>
      </c>
      <c r="D24" s="88" t="s">
        <v>5159</v>
      </c>
      <c r="E24" s="89">
        <v>18</v>
      </c>
      <c r="F24" s="90">
        <v>18</v>
      </c>
      <c r="G24" s="91">
        <f>Monthly_Data!C39</f>
        <v>23.06</v>
      </c>
      <c r="H24" s="91">
        <f>Monthly_Data!D39</f>
        <v>21.85</v>
      </c>
      <c r="I24" s="91">
        <f>Monthly_Data!E39</f>
        <v>22.06</v>
      </c>
      <c r="J24" s="91">
        <f>Monthly_Data!F39</f>
        <v>22.82</v>
      </c>
      <c r="K24" s="91">
        <f>Monthly_Data!G39</f>
        <v>23.25</v>
      </c>
      <c r="L24" s="91">
        <f>Monthly_Data!H39</f>
        <v>22.62</v>
      </c>
      <c r="M24" s="91">
        <f>Monthly_Data!I39</f>
        <v>22.71</v>
      </c>
      <c r="N24" s="91">
        <f>Monthly_Data!J39</f>
        <v>22.6</v>
      </c>
      <c r="O24" s="91">
        <f>Monthly_Data!K39</f>
        <v>23.06</v>
      </c>
      <c r="P24" s="91">
        <f>Monthly_Data!L39</f>
        <v>22.6</v>
      </c>
      <c r="Q24" s="91">
        <f>Monthly_Data!M39</f>
        <v>22.6</v>
      </c>
      <c r="R24" s="91">
        <f>Monthly_Data!N39</f>
        <v>22.6</v>
      </c>
      <c r="S24" s="92">
        <f t="shared" si="0"/>
        <v>22.6525</v>
      </c>
      <c r="T24" s="92">
        <f t="shared" si="1"/>
        <v>22.6</v>
      </c>
      <c r="U24" s="93">
        <f t="shared" si="2"/>
        <v>22.600000000000005</v>
      </c>
      <c r="V24" s="93">
        <f t="shared" si="3"/>
        <v>0</v>
      </c>
      <c r="W24" s="94" t="str">
        <f t="shared" si="5"/>
        <v>↓ Worsening</v>
      </c>
    </row>
    <row r="25" spans="1:23" ht="15" customHeight="1" x14ac:dyDescent="0.25">
      <c r="A25" s="95">
        <v>24</v>
      </c>
      <c r="B25" s="96" t="s">
        <v>367</v>
      </c>
      <c r="C25" s="97" t="s">
        <v>98</v>
      </c>
      <c r="D25" s="97" t="s">
        <v>5159</v>
      </c>
      <c r="E25" s="98">
        <v>4</v>
      </c>
      <c r="F25" s="99">
        <v>4</v>
      </c>
      <c r="G25" s="100">
        <f>Monthly_Data!C40</f>
        <v>4</v>
      </c>
      <c r="H25" s="100">
        <f>Monthly_Data!D40</f>
        <v>4.5</v>
      </c>
      <c r="I25" s="100">
        <f>Monthly_Data!E40</f>
        <v>4.5</v>
      </c>
      <c r="J25" s="100">
        <f>Monthly_Data!F40</f>
        <v>4.5</v>
      </c>
      <c r="K25" s="100">
        <f>Monthly_Data!G40</f>
        <v>4</v>
      </c>
      <c r="L25" s="100">
        <f>Monthly_Data!H40</f>
        <v>4.5</v>
      </c>
      <c r="M25" s="100">
        <f>Monthly_Data!I40</f>
        <v>4.5</v>
      </c>
      <c r="N25" s="100">
        <f>Monthly_Data!J40</f>
        <v>4.5</v>
      </c>
      <c r="O25" s="100">
        <f>Monthly_Data!K40</f>
        <v>4</v>
      </c>
      <c r="P25" s="100">
        <f>Monthly_Data!L40</f>
        <v>4.5</v>
      </c>
      <c r="Q25" s="100">
        <f>Monthly_Data!M40</f>
        <v>4.5</v>
      </c>
      <c r="R25" s="100">
        <f>Monthly_Data!N40</f>
        <v>4.5</v>
      </c>
      <c r="S25" s="92">
        <f t="shared" si="0"/>
        <v>4.375</v>
      </c>
      <c r="T25" s="92">
        <f t="shared" si="1"/>
        <v>4.5</v>
      </c>
      <c r="U25" s="101">
        <f t="shared" si="2"/>
        <v>4.5</v>
      </c>
      <c r="V25" s="101">
        <f t="shared" si="3"/>
        <v>0</v>
      </c>
      <c r="W25" s="102" t="str">
        <f t="shared" si="5"/>
        <v>↑ Improving</v>
      </c>
    </row>
    <row r="26" spans="1:23" ht="15" customHeight="1" x14ac:dyDescent="0.25">
      <c r="A26" s="86">
        <v>25</v>
      </c>
      <c r="B26" s="87" t="s">
        <v>5610</v>
      </c>
      <c r="C26" s="88" t="s">
        <v>20</v>
      </c>
      <c r="D26" s="88" t="s">
        <v>5159</v>
      </c>
      <c r="E26" s="103">
        <v>-8000</v>
      </c>
      <c r="F26" s="104">
        <v>-5000</v>
      </c>
      <c r="G26" s="105">
        <f>Monthly_Data!C41</f>
        <v>-3800</v>
      </c>
      <c r="H26" s="105">
        <f>Monthly_Data!D41</f>
        <v>-3500</v>
      </c>
      <c r="I26" s="105">
        <f>Monthly_Data!E41</f>
        <v>-3200</v>
      </c>
      <c r="J26" s="105">
        <f>Monthly_Data!F41</f>
        <v>-2900</v>
      </c>
      <c r="K26" s="105">
        <f>Monthly_Data!G41</f>
        <v>-2700</v>
      </c>
      <c r="L26" s="105">
        <f>Monthly_Data!H41</f>
        <v>-2600</v>
      </c>
      <c r="M26" s="105">
        <f>Monthly_Data!I41</f>
        <v>-2500</v>
      </c>
      <c r="N26" s="105">
        <f>Monthly_Data!J41</f>
        <v>-2400</v>
      </c>
      <c r="O26" s="105">
        <f>Monthly_Data!K41</f>
        <v>-2400</v>
      </c>
      <c r="P26" s="105">
        <f>Monthly_Data!L41</f>
        <v>-2400</v>
      </c>
      <c r="Q26" s="105">
        <f>Monthly_Data!M41</f>
        <v>-2400</v>
      </c>
      <c r="R26" s="105">
        <f>Monthly_Data!N41</f>
        <v>-2400</v>
      </c>
      <c r="S26" s="106">
        <f t="shared" si="0"/>
        <v>-2766.6666666666665</v>
      </c>
      <c r="T26" s="106">
        <f t="shared" si="1"/>
        <v>-2400</v>
      </c>
      <c r="U26" s="107">
        <f t="shared" si="2"/>
        <v>-2400</v>
      </c>
      <c r="V26" s="107">
        <f t="shared" si="3"/>
        <v>0</v>
      </c>
      <c r="W26" s="94" t="str">
        <f t="shared" si="5"/>
        <v>↑ Improving</v>
      </c>
    </row>
    <row r="27" spans="1:23" ht="15" customHeight="1" x14ac:dyDescent="0.25">
      <c r="A27" s="95">
        <v>26</v>
      </c>
      <c r="B27" s="96" t="s">
        <v>5259</v>
      </c>
      <c r="C27" s="97" t="s">
        <v>5611</v>
      </c>
      <c r="D27" s="97" t="s">
        <v>5159</v>
      </c>
      <c r="E27" s="98">
        <v>-8</v>
      </c>
      <c r="F27" s="99">
        <v>-5</v>
      </c>
      <c r="G27" s="100">
        <f>Monthly_Data!C43</f>
        <v>-4.2</v>
      </c>
      <c r="H27" s="100">
        <f>Monthly_Data!D43</f>
        <v>-4</v>
      </c>
      <c r="I27" s="100">
        <f>Monthly_Data!E43</f>
        <v>-3.8</v>
      </c>
      <c r="J27" s="100">
        <f>Monthly_Data!F43</f>
        <v>-3.6</v>
      </c>
      <c r="K27" s="100">
        <f>Monthly_Data!G43</f>
        <v>-3.5</v>
      </c>
      <c r="L27" s="100">
        <f>Monthly_Data!H43</f>
        <v>-3.4</v>
      </c>
      <c r="M27" s="100">
        <f>Monthly_Data!I43</f>
        <v>-3.3</v>
      </c>
      <c r="N27" s="100">
        <f>Monthly_Data!J43</f>
        <v>-3.2</v>
      </c>
      <c r="O27" s="100">
        <f>Monthly_Data!K43</f>
        <v>-3.2</v>
      </c>
      <c r="P27" s="100">
        <f>Monthly_Data!L43</f>
        <v>-3.1</v>
      </c>
      <c r="Q27" s="100">
        <f>Monthly_Data!M43</f>
        <v>-3.2</v>
      </c>
      <c r="R27" s="100">
        <f>Monthly_Data!N43</f>
        <v>-3.2</v>
      </c>
      <c r="S27" s="92">
        <f t="shared" si="0"/>
        <v>-3.475000000000001</v>
      </c>
      <c r="T27" s="92">
        <f t="shared" si="1"/>
        <v>-3.2</v>
      </c>
      <c r="U27" s="101">
        <f t="shared" si="2"/>
        <v>-3.1666666666666665</v>
      </c>
      <c r="V27" s="101">
        <f t="shared" si="3"/>
        <v>0</v>
      </c>
      <c r="W27" s="102" t="str">
        <f t="shared" si="5"/>
        <v>↑ Improving</v>
      </c>
    </row>
    <row r="28" spans="1:23" ht="15" customHeight="1" x14ac:dyDescent="0.25">
      <c r="A28" s="86">
        <v>27</v>
      </c>
      <c r="B28" s="87" t="s">
        <v>377</v>
      </c>
      <c r="C28" s="88" t="s">
        <v>5267</v>
      </c>
      <c r="D28" s="88" t="s">
        <v>5159</v>
      </c>
      <c r="E28" s="89">
        <v>-12</v>
      </c>
      <c r="F28" s="90">
        <v>-8</v>
      </c>
      <c r="G28" s="91">
        <f>Monthly_Data!C44</f>
        <v>-6.8</v>
      </c>
      <c r="H28" s="91">
        <f>Monthly_Data!D44</f>
        <v>-6.7</v>
      </c>
      <c r="I28" s="91">
        <f>Monthly_Data!E44</f>
        <v>-6.6</v>
      </c>
      <c r="J28" s="91">
        <f>Monthly_Data!F44</f>
        <v>-6.5</v>
      </c>
      <c r="K28" s="91">
        <f>Monthly_Data!G44</f>
        <v>-6.5</v>
      </c>
      <c r="L28" s="91">
        <f>Monthly_Data!H44</f>
        <v>-6.4</v>
      </c>
      <c r="M28" s="91">
        <f>Monthly_Data!I44</f>
        <v>-6.3</v>
      </c>
      <c r="N28" s="91">
        <f>Monthly_Data!J44</f>
        <v>-6.2</v>
      </c>
      <c r="O28" s="91">
        <f>Monthly_Data!K44</f>
        <v>-6.2</v>
      </c>
      <c r="P28" s="91">
        <f>Monthly_Data!L44</f>
        <v>-6.1</v>
      </c>
      <c r="Q28" s="91">
        <f>Monthly_Data!M44</f>
        <v>-6.2</v>
      </c>
      <c r="R28" s="91">
        <f>Monthly_Data!N44</f>
        <v>-6.2</v>
      </c>
      <c r="S28" s="92">
        <f t="shared" si="0"/>
        <v>-6.3916666666666666</v>
      </c>
      <c r="T28" s="92">
        <f t="shared" si="1"/>
        <v>-6.2</v>
      </c>
      <c r="U28" s="93">
        <f t="shared" si="2"/>
        <v>-6.166666666666667</v>
      </c>
      <c r="V28" s="93">
        <f t="shared" si="3"/>
        <v>0</v>
      </c>
      <c r="W28" s="94" t="str">
        <f t="shared" si="5"/>
        <v>↑ Improving</v>
      </c>
    </row>
    <row r="29" spans="1:23" ht="15" customHeight="1" x14ac:dyDescent="0.25">
      <c r="A29" s="95">
        <v>28</v>
      </c>
      <c r="B29" s="96" t="s">
        <v>384</v>
      </c>
      <c r="C29" s="97" t="s">
        <v>281</v>
      </c>
      <c r="D29" s="97" t="s">
        <v>5134</v>
      </c>
      <c r="E29" s="98">
        <v>2</v>
      </c>
      <c r="F29" s="99">
        <v>1.5</v>
      </c>
      <c r="G29" s="100">
        <f>Monthly_Data!C45</f>
        <v>1.4</v>
      </c>
      <c r="H29" s="100">
        <f>Monthly_Data!D45</f>
        <v>1.4</v>
      </c>
      <c r="I29" s="100">
        <f>Monthly_Data!E45</f>
        <v>1.3</v>
      </c>
      <c r="J29" s="100">
        <f>Monthly_Data!F45</f>
        <v>1.3</v>
      </c>
      <c r="K29" s="100">
        <f>Monthly_Data!G45</f>
        <v>1.2</v>
      </c>
      <c r="L29" s="100">
        <f>Monthly_Data!H45</f>
        <v>1.2</v>
      </c>
      <c r="M29" s="100">
        <f>Monthly_Data!I45</f>
        <v>1.2</v>
      </c>
      <c r="N29" s="100">
        <f>Monthly_Data!J45</f>
        <v>1.2</v>
      </c>
      <c r="O29" s="100">
        <f>Monthly_Data!K45</f>
        <v>1.2</v>
      </c>
      <c r="P29" s="100">
        <f>Monthly_Data!L45</f>
        <v>1.1000000000000001</v>
      </c>
      <c r="Q29" s="100">
        <f>Monthly_Data!M45</f>
        <v>1.2</v>
      </c>
      <c r="R29" s="100">
        <f>Monthly_Data!N45</f>
        <v>1.2</v>
      </c>
      <c r="S29" s="92">
        <f t="shared" si="0"/>
        <v>1.2416666666666665</v>
      </c>
      <c r="T29" s="92">
        <f t="shared" si="1"/>
        <v>1.2</v>
      </c>
      <c r="U29" s="101">
        <f t="shared" si="2"/>
        <v>1.1666666666666667</v>
      </c>
      <c r="V29" s="101">
        <f t="shared" si="3"/>
        <v>0</v>
      </c>
      <c r="W29" s="102" t="str">
        <f>IFERROR(IF((R29-G29)&lt;0,"↑ Improving",IF((R29-G29)&gt;0,"↓ Worsening","→ Stable")),"N/A")</f>
        <v>↑ Improving</v>
      </c>
    </row>
    <row r="30" spans="1:23" ht="15" customHeight="1" x14ac:dyDescent="0.25">
      <c r="A30" s="86">
        <v>29</v>
      </c>
      <c r="B30" s="87" t="s">
        <v>5612</v>
      </c>
      <c r="C30" s="88" t="s">
        <v>98</v>
      </c>
      <c r="D30" s="88" t="s">
        <v>5159</v>
      </c>
      <c r="E30" s="89">
        <v>-8</v>
      </c>
      <c r="F30" s="90">
        <v>-5</v>
      </c>
      <c r="G30" s="91">
        <f>Monthly_Data!C46</f>
        <v>-4.5</v>
      </c>
      <c r="H30" s="91">
        <f>Monthly_Data!D46</f>
        <v>-4.3</v>
      </c>
      <c r="I30" s="91">
        <f>Monthly_Data!E46</f>
        <v>-4.2</v>
      </c>
      <c r="J30" s="91">
        <f>Monthly_Data!F46</f>
        <v>-4.2</v>
      </c>
      <c r="K30" s="91">
        <f>Monthly_Data!G46</f>
        <v>-4.0999999999999996</v>
      </c>
      <c r="L30" s="91">
        <f>Monthly_Data!H46</f>
        <v>-4</v>
      </c>
      <c r="M30" s="91">
        <f>Monthly_Data!I46</f>
        <v>-4</v>
      </c>
      <c r="N30" s="91">
        <f>Monthly_Data!J46</f>
        <v>-4.0999999999999996</v>
      </c>
      <c r="O30" s="91">
        <f>Monthly_Data!K46</f>
        <v>-4.0999999999999996</v>
      </c>
      <c r="P30" s="91">
        <f>Monthly_Data!L46</f>
        <v>-4.0999999999999996</v>
      </c>
      <c r="Q30" s="91">
        <f>Monthly_Data!M46</f>
        <v>-4.0999999999999996</v>
      </c>
      <c r="R30" s="91">
        <f>Monthly_Data!N46</f>
        <v>-4.0999999999999996</v>
      </c>
      <c r="S30" s="92">
        <f t="shared" si="0"/>
        <v>-4.1500000000000004</v>
      </c>
      <c r="T30" s="92">
        <f t="shared" si="1"/>
        <v>-4.0999999999999996</v>
      </c>
      <c r="U30" s="93">
        <f t="shared" si="2"/>
        <v>-4.0999999999999996</v>
      </c>
      <c r="V30" s="93">
        <f t="shared" si="3"/>
        <v>0</v>
      </c>
      <c r="W30" s="94" t="str">
        <f>IFERROR(IF((R30-G30)&gt;0,"↑ Improving",IF((R30-G30)&lt;0,"↓ Worsening","→ Stable")),"N/A")</f>
        <v>↑ Improving</v>
      </c>
    </row>
    <row r="31" spans="1:23" ht="15" customHeight="1" x14ac:dyDescent="0.25">
      <c r="A31" s="95">
        <v>30</v>
      </c>
      <c r="B31" s="96" t="s">
        <v>5287</v>
      </c>
      <c r="C31" s="97" t="s">
        <v>20</v>
      </c>
      <c r="D31" s="97" t="s">
        <v>5134</v>
      </c>
      <c r="E31" s="108">
        <v>6000</v>
      </c>
      <c r="F31" s="109">
        <v>4000</v>
      </c>
      <c r="G31" s="110">
        <f>Monthly_Data!C48</f>
        <v>5200</v>
      </c>
      <c r="H31" s="110">
        <f>Monthly_Data!D48</f>
        <v>5100</v>
      </c>
      <c r="I31" s="110">
        <f>Monthly_Data!E48</f>
        <v>5000</v>
      </c>
      <c r="J31" s="110">
        <f>Monthly_Data!F48</f>
        <v>4900</v>
      </c>
      <c r="K31" s="110">
        <f>Monthly_Data!G48</f>
        <v>4700</v>
      </c>
      <c r="L31" s="110">
        <f>Monthly_Data!H48</f>
        <v>4600</v>
      </c>
      <c r="M31" s="110">
        <f>Monthly_Data!I48</f>
        <v>4500</v>
      </c>
      <c r="N31" s="110">
        <f>Monthly_Data!J48</f>
        <v>4400</v>
      </c>
      <c r="O31" s="110">
        <f>Monthly_Data!K48</f>
        <v>4300</v>
      </c>
      <c r="P31" s="110">
        <f>Monthly_Data!L48</f>
        <v>4200</v>
      </c>
      <c r="Q31" s="110">
        <f>Monthly_Data!M48</f>
        <v>4200</v>
      </c>
      <c r="R31" s="110">
        <f>Monthly_Data!N48</f>
        <v>4200</v>
      </c>
      <c r="S31" s="106">
        <f t="shared" si="0"/>
        <v>4608.333333333333</v>
      </c>
      <c r="T31" s="106">
        <f t="shared" si="1"/>
        <v>4200</v>
      </c>
      <c r="U31" s="111">
        <f t="shared" si="2"/>
        <v>4200</v>
      </c>
      <c r="V31" s="111">
        <f t="shared" si="3"/>
        <v>0</v>
      </c>
      <c r="W31" s="102" t="str">
        <f>IFERROR(IF((R31-G31)&lt;0,"↑ Improving",IF((R31-G31)&gt;0,"↓ Worsening","→ Stable")),"N/A")</f>
        <v>↑ Improving</v>
      </c>
    </row>
    <row r="32" spans="1:23" ht="15" customHeight="1" x14ac:dyDescent="0.25">
      <c r="A32" s="86">
        <v>31</v>
      </c>
      <c r="B32" s="87" t="s">
        <v>437</v>
      </c>
      <c r="C32" s="88" t="s">
        <v>98</v>
      </c>
      <c r="D32" s="88" t="s">
        <v>5159</v>
      </c>
      <c r="E32" s="89">
        <v>7</v>
      </c>
      <c r="F32" s="90">
        <v>10</v>
      </c>
      <c r="G32" s="91">
        <f>IF(Monthly_Data!C49=0,"",((Monthly_Data!C50/Monthly_Data!C49)*100))</f>
        <v>7.2000697107005918</v>
      </c>
      <c r="H32" s="91">
        <f>IF(Monthly_Data!D49=0,"",((Monthly_Data!D50/Monthly_Data!D49)*100))</f>
        <v>7.5001748863238893</v>
      </c>
      <c r="I32" s="91">
        <f>IF(Monthly_Data!E49=0,"",((Monthly_Data!E50/Monthly_Data!E49)*100))</f>
        <v>7.7861635220125791</v>
      </c>
      <c r="J32" s="91">
        <f>IF(Monthly_Data!F49=0,"",((Monthly_Data!F50/Monthly_Data!F49)*100))</f>
        <v>8</v>
      </c>
      <c r="K32" s="91">
        <f>IF(Monthly_Data!G49=0,"",((Monthly_Data!G50/Monthly_Data!G49)*100))</f>
        <v>8.313945339873861</v>
      </c>
      <c r="L32" s="91">
        <f>IF(Monthly_Data!H49=0,"",((Monthly_Data!H50/Monthly_Data!H49)*100))</f>
        <v>8.5</v>
      </c>
      <c r="M32" s="91">
        <f>IF(Monthly_Data!I49=0,"",((Monthly_Data!I50/Monthly_Data!I49)*100))</f>
        <v>8.7896213183730705</v>
      </c>
      <c r="N32" s="91">
        <f>IF(Monthly_Data!J49=0,"",((Monthly_Data!J50/Monthly_Data!J49)*100))</f>
        <v>9</v>
      </c>
      <c r="O32" s="91">
        <f>IF(Monthly_Data!K49=0,"",((Monthly_Data!K50/Monthly_Data!K49)*100))</f>
        <v>9.1998595012293638</v>
      </c>
      <c r="P32" s="91">
        <f>IF(Monthly_Data!L49=0,"",((Monthly_Data!L50/Monthly_Data!L49)*100))</f>
        <v>9.4002108222066063</v>
      </c>
      <c r="Q32" s="91">
        <f>IF(Monthly_Data!M49=0,"",((Monthly_Data!M50/Monthly_Data!M49)*100))</f>
        <v>9.5</v>
      </c>
      <c r="R32" s="91">
        <f>IF(Monthly_Data!N49=0,"",((Monthly_Data!N50/Monthly_Data!N49)*100))</f>
        <v>9.6</v>
      </c>
      <c r="S32" s="92">
        <f t="shared" si="0"/>
        <v>8.5658370917266637</v>
      </c>
      <c r="T32" s="92">
        <f t="shared" si="1"/>
        <v>9.6</v>
      </c>
      <c r="U32" s="93">
        <f t="shared" si="2"/>
        <v>9.5000702740688681</v>
      </c>
      <c r="V32" s="93">
        <f t="shared" si="3"/>
        <v>9.9999999999999645E-2</v>
      </c>
      <c r="W32" s="94" t="str">
        <f>IFERROR(IF((R32-G32)&gt;0,"↑ Improving",IF((R32-G32)&lt;0,"↓ Worsening","→ Stable")),"N/A")</f>
        <v>↑ Improving</v>
      </c>
    </row>
    <row r="33" spans="1:23" ht="15" customHeight="1" x14ac:dyDescent="0.25">
      <c r="A33" s="95">
        <v>32</v>
      </c>
      <c r="B33" s="96" t="s">
        <v>129</v>
      </c>
      <c r="C33" s="97" t="s">
        <v>71</v>
      </c>
      <c r="D33" s="97" t="s">
        <v>5134</v>
      </c>
      <c r="E33" s="117">
        <v>10</v>
      </c>
      <c r="F33" s="118">
        <v>5</v>
      </c>
      <c r="G33" s="119">
        <f>Monthly_Data!C52</f>
        <v>8</v>
      </c>
      <c r="H33" s="119">
        <f>Monthly_Data!D52</f>
        <v>7</v>
      </c>
      <c r="I33" s="119">
        <f>Monthly_Data!E52</f>
        <v>7</v>
      </c>
      <c r="J33" s="119">
        <f>Monthly_Data!F52</f>
        <v>6</v>
      </c>
      <c r="K33" s="119">
        <f>Monthly_Data!G52</f>
        <v>5</v>
      </c>
      <c r="L33" s="119">
        <f>Monthly_Data!H52</f>
        <v>5</v>
      </c>
      <c r="M33" s="119">
        <f>Monthly_Data!I52</f>
        <v>4</v>
      </c>
      <c r="N33" s="119">
        <f>Monthly_Data!J52</f>
        <v>4</v>
      </c>
      <c r="O33" s="119">
        <f>Monthly_Data!K52</f>
        <v>4</v>
      </c>
      <c r="P33" s="119">
        <f>Monthly_Data!L52</f>
        <v>4</v>
      </c>
      <c r="Q33" s="119">
        <f>Monthly_Data!M52</f>
        <v>4</v>
      </c>
      <c r="R33" s="119">
        <f>Monthly_Data!N52</f>
        <v>4</v>
      </c>
      <c r="S33" s="120">
        <f t="shared" si="0"/>
        <v>5.166666666666667</v>
      </c>
      <c r="T33" s="120">
        <f t="shared" si="1"/>
        <v>4</v>
      </c>
      <c r="U33" s="121">
        <f t="shared" si="2"/>
        <v>4</v>
      </c>
      <c r="V33" s="121">
        <f t="shared" si="3"/>
        <v>0</v>
      </c>
      <c r="W33" s="102" t="str">
        <f>IFERROR(IF((R33-G33)&lt;0,"↑ Improving",IF((R33-G33)&gt;0,"↓ Worsening","→ Stable")),"N/A")</f>
        <v>↑ Improving</v>
      </c>
    </row>
    <row r="34" spans="1:23" ht="15" customHeight="1" x14ac:dyDescent="0.25">
      <c r="A34" s="86">
        <v>33</v>
      </c>
      <c r="B34" s="87" t="s">
        <v>5299</v>
      </c>
      <c r="C34" s="88" t="s">
        <v>463</v>
      </c>
      <c r="D34" s="88" t="s">
        <v>5134</v>
      </c>
      <c r="E34" s="89">
        <v>8</v>
      </c>
      <c r="F34" s="90">
        <v>4</v>
      </c>
      <c r="G34" s="91">
        <f>Monthly_Data!C53</f>
        <v>5.2</v>
      </c>
      <c r="H34" s="91">
        <f>Monthly_Data!D53</f>
        <v>4.8</v>
      </c>
      <c r="I34" s="91">
        <f>Monthly_Data!E53</f>
        <v>4.5</v>
      </c>
      <c r="J34" s="91">
        <f>Monthly_Data!F53</f>
        <v>4.2</v>
      </c>
      <c r="K34" s="91">
        <f>Monthly_Data!G53</f>
        <v>4</v>
      </c>
      <c r="L34" s="91">
        <f>Monthly_Data!H53</f>
        <v>3.8</v>
      </c>
      <c r="M34" s="91">
        <f>Monthly_Data!I53</f>
        <v>3.5</v>
      </c>
      <c r="N34" s="91">
        <f>Monthly_Data!J53</f>
        <v>3.2</v>
      </c>
      <c r="O34" s="91">
        <f>Monthly_Data!K53</f>
        <v>3</v>
      </c>
      <c r="P34" s="91">
        <f>Monthly_Data!L53</f>
        <v>2.8</v>
      </c>
      <c r="Q34" s="91">
        <f>Monthly_Data!M53</f>
        <v>2.8</v>
      </c>
      <c r="R34" s="91">
        <f>Monthly_Data!N53</f>
        <v>2.8</v>
      </c>
      <c r="S34" s="92">
        <f t="shared" si="0"/>
        <v>3.7166666666666663</v>
      </c>
      <c r="T34" s="92">
        <f t="shared" si="1"/>
        <v>2.8</v>
      </c>
      <c r="U34" s="93">
        <f t="shared" si="2"/>
        <v>2.7999999999999994</v>
      </c>
      <c r="V34" s="93">
        <f t="shared" si="3"/>
        <v>0</v>
      </c>
      <c r="W34" s="94" t="str">
        <f>IFERROR(IF((R34-G34)&lt;0,"↑ Improving",IF((R34-G34)&gt;0,"↓ Worsening","→ Stable")),"N/A")</f>
        <v>↑ Improving</v>
      </c>
    </row>
    <row r="35" spans="1:23" ht="15" customHeight="1" x14ac:dyDescent="0.25">
      <c r="A35" s="95">
        <v>34</v>
      </c>
      <c r="B35" s="96" t="s">
        <v>5303</v>
      </c>
      <c r="C35" s="97" t="s">
        <v>463</v>
      </c>
      <c r="D35" s="97" t="s">
        <v>5134</v>
      </c>
      <c r="E35" s="98">
        <v>24</v>
      </c>
      <c r="F35" s="99">
        <v>8</v>
      </c>
      <c r="G35" s="100">
        <f>Monthly_Data!C54</f>
        <v>44.8</v>
      </c>
      <c r="H35" s="100">
        <f>Monthly_Data!D54</f>
        <v>43.2</v>
      </c>
      <c r="I35" s="100">
        <f>Monthly_Data!E54</f>
        <v>42</v>
      </c>
      <c r="J35" s="100">
        <f>Monthly_Data!F54</f>
        <v>40.5</v>
      </c>
      <c r="K35" s="100">
        <f>Monthly_Data!G54</f>
        <v>39.1</v>
      </c>
      <c r="L35" s="100">
        <f>Monthly_Data!H54</f>
        <v>37.4</v>
      </c>
      <c r="M35" s="100">
        <f>Monthly_Data!I54</f>
        <v>36.1</v>
      </c>
      <c r="N35" s="100">
        <f>Monthly_Data!J54</f>
        <v>34.5</v>
      </c>
      <c r="O35" s="100">
        <f>Monthly_Data!K54</f>
        <v>33</v>
      </c>
      <c r="P35" s="100">
        <f>Monthly_Data!L54</f>
        <v>31.5</v>
      </c>
      <c r="Q35" s="100">
        <f>Monthly_Data!M54</f>
        <v>31.5</v>
      </c>
      <c r="R35" s="100">
        <f>Monthly_Data!N54</f>
        <v>31.5</v>
      </c>
      <c r="S35" s="92">
        <f t="shared" si="0"/>
        <v>37.091666666666669</v>
      </c>
      <c r="T35" s="92">
        <f t="shared" si="1"/>
        <v>31.5</v>
      </c>
      <c r="U35" s="101">
        <f t="shared" si="2"/>
        <v>31.5</v>
      </c>
      <c r="V35" s="101">
        <f t="shared" si="3"/>
        <v>0</v>
      </c>
      <c r="W35" s="102" t="str">
        <f>IFERROR(IF((R35-G35)&lt;0,"↑ Improving",IF((R35-G35)&gt;0,"↓ Worsening","→ Stable")),"N/A")</f>
        <v>↑ Improving</v>
      </c>
    </row>
    <row r="36" spans="1:23" ht="15" customHeight="1" x14ac:dyDescent="0.25">
      <c r="A36" s="86">
        <v>35</v>
      </c>
      <c r="B36" s="87" t="s">
        <v>5307</v>
      </c>
      <c r="C36" s="88" t="s">
        <v>5613</v>
      </c>
      <c r="D36" s="88" t="s">
        <v>5134</v>
      </c>
      <c r="E36" s="112">
        <v>0.2</v>
      </c>
      <c r="F36" s="113">
        <v>0.1</v>
      </c>
      <c r="G36" s="114">
        <f>IF(Monthly_Data!C57=0,"",((Monthly_Data!C56/100)/Monthly_Data!C57*100))</f>
        <v>9.655172413793105E-6</v>
      </c>
      <c r="H36" s="114">
        <f>IF(Monthly_Data!D57=0,"",((Monthly_Data!D56/100)/Monthly_Data!D57*100))</f>
        <v>8.8275862068965523E-6</v>
      </c>
      <c r="I36" s="114">
        <f>IF(Monthly_Data!E57=0,"",((Monthly_Data!E56/100)/Monthly_Data!E57*100))</f>
        <v>8.689655172413793E-6</v>
      </c>
      <c r="J36" s="114">
        <f>IF(Monthly_Data!F57=0,"",((Monthly_Data!F56/100)/Monthly_Data!F57*100))</f>
        <v>8.0689655172413785E-6</v>
      </c>
      <c r="K36" s="114">
        <f>IF(Monthly_Data!G57=0,"",((Monthly_Data!G56/100)/Monthly_Data!G57*100))</f>
        <v>8.0689655172413785E-6</v>
      </c>
      <c r="L36" s="114">
        <f>IF(Monthly_Data!H57=0,"",((Monthly_Data!H56/100)/Monthly_Data!H57*100))</f>
        <v>7.2413793103448275E-6</v>
      </c>
      <c r="M36" s="114">
        <f>IF(Monthly_Data!I57=0,"",((Monthly_Data!I56/100)/Monthly_Data!I57*100))</f>
        <v>7.2413793103448275E-6</v>
      </c>
      <c r="N36" s="114">
        <f>IF(Monthly_Data!J57=0,"",((Monthly_Data!J56/100)/Monthly_Data!J57*100))</f>
        <v>6.4827586206896553E-6</v>
      </c>
      <c r="O36" s="114">
        <f>IF(Monthly_Data!K57=0,"",((Monthly_Data!K56/100)/Monthly_Data!K57*100))</f>
        <v>6.4827586206896553E-6</v>
      </c>
      <c r="P36" s="114">
        <f>IF(Monthly_Data!L57=0,"",((Monthly_Data!L56/100)/Monthly_Data!L57*100))</f>
        <v>6.4827586206896553E-6</v>
      </c>
      <c r="Q36" s="114">
        <f>IF(Monthly_Data!M57=0,"",((Monthly_Data!M56/100)/Monthly_Data!M57*100))</f>
        <v>6.4827586206896553E-6</v>
      </c>
      <c r="R36" s="114">
        <f>IF(Monthly_Data!N57=0,"",((Monthly_Data!N56/100)/Monthly_Data!N57*100))</f>
        <v>6.4827586206896553E-6</v>
      </c>
      <c r="S36" s="115">
        <f t="shared" si="0"/>
        <v>7.517241379310347E-6</v>
      </c>
      <c r="T36" s="115">
        <f t="shared" si="1"/>
        <v>6.4827586206896553E-6</v>
      </c>
      <c r="U36" s="116">
        <f t="shared" si="2"/>
        <v>6.4827586206896562E-6</v>
      </c>
      <c r="V36" s="116">
        <f t="shared" si="3"/>
        <v>0</v>
      </c>
      <c r="W36" s="94" t="str">
        <f>IFERROR(IF((R36-G36)&lt;0,"↑ Improving",IF((R36-G36)&gt;0,"↓ Worsening","→ Stable")),"N/A")</f>
        <v>↑ Improving</v>
      </c>
    </row>
    <row r="37" spans="1:23" ht="15" customHeight="1" x14ac:dyDescent="0.25">
      <c r="A37" s="95">
        <v>36</v>
      </c>
      <c r="B37" s="96" t="s">
        <v>5614</v>
      </c>
      <c r="C37" s="97" t="s">
        <v>98</v>
      </c>
      <c r="D37" s="97" t="s">
        <v>5159</v>
      </c>
      <c r="E37" s="98">
        <v>50</v>
      </c>
      <c r="F37" s="99">
        <v>65</v>
      </c>
      <c r="G37" s="100">
        <f>IF(Monthly_Data!C59=0,"",((Monthly_Data!C58/Monthly_Data!C59)*100))</f>
        <v>65.060240963855421</v>
      </c>
      <c r="H37" s="100">
        <f>IF(Monthly_Data!D59=0,"",((Monthly_Data!D58/Monthly_Data!D59)*100))</f>
        <v>69.230769230769226</v>
      </c>
      <c r="I37" s="100">
        <f>IF(Monthly_Data!E59=0,"",((Monthly_Data!E58/Monthly_Data!E59)*100))</f>
        <v>69.406392694063925</v>
      </c>
      <c r="J37" s="100">
        <f>IF(Monthly_Data!F59=0,"",((Monthly_Data!F58/Monthly_Data!F59)*100))</f>
        <v>71.065989847715741</v>
      </c>
      <c r="K37" s="100">
        <f>IF(Monthly_Data!G59=0,"",((Monthly_Data!G58/Monthly_Data!G59)*100))</f>
        <v>70.297029702970278</v>
      </c>
      <c r="L37" s="100">
        <f>IF(Monthly_Data!H59=0,"",((Monthly_Data!H58/Monthly_Data!H59)*100))</f>
        <v>71.910112359550567</v>
      </c>
      <c r="M37" s="100">
        <f>IF(Monthly_Data!I59=0,"",((Monthly_Data!I58/Monthly_Data!I59)*100))</f>
        <v>72.625698324022352</v>
      </c>
      <c r="N37" s="100">
        <f>IF(Monthly_Data!J59=0,"",((Monthly_Data!J58/Monthly_Data!J59)*100))</f>
        <v>74.683544303797461</v>
      </c>
      <c r="O37" s="100">
        <f>IF(Monthly_Data!K59=0,"",((Monthly_Data!K58/Monthly_Data!K59)*100))</f>
        <v>74.683544303797461</v>
      </c>
      <c r="P37" s="100">
        <f>IF(Monthly_Data!L59=0,"",((Monthly_Data!L58/Monthly_Data!L59)*100))</f>
        <v>74.683544303797461</v>
      </c>
      <c r="Q37" s="100">
        <f>IF(Monthly_Data!M59=0,"",((Monthly_Data!M58/Monthly_Data!M59)*100))</f>
        <v>74.683544303797461</v>
      </c>
      <c r="R37" s="100">
        <f>IF(Monthly_Data!N59=0,"",((Monthly_Data!N58/Monthly_Data!N59)*100))</f>
        <v>74.683544303797461</v>
      </c>
      <c r="S37" s="92">
        <f t="shared" si="0"/>
        <v>71.91782955349457</v>
      </c>
      <c r="T37" s="92">
        <f t="shared" si="1"/>
        <v>74.683544303797461</v>
      </c>
      <c r="U37" s="101">
        <f t="shared" si="2"/>
        <v>74.683544303797461</v>
      </c>
      <c r="V37" s="101">
        <f t="shared" si="3"/>
        <v>0</v>
      </c>
      <c r="W37" s="102" t="str">
        <f>IFERROR(IF((R37-G37)&gt;0,"↑ Improving",IF((R37-G37)&lt;0,"↓ Worsening","→ Stable")),"N/A")</f>
        <v>↑ Improving</v>
      </c>
    </row>
    <row r="38" spans="1:23" ht="15" customHeight="1" x14ac:dyDescent="0.25">
      <c r="A38" s="86">
        <v>37</v>
      </c>
      <c r="B38" s="87" t="s">
        <v>5317</v>
      </c>
      <c r="C38" s="88" t="s">
        <v>71</v>
      </c>
      <c r="D38" s="88" t="s">
        <v>5134</v>
      </c>
      <c r="E38" s="122">
        <v>5</v>
      </c>
      <c r="F38" s="123">
        <v>3</v>
      </c>
      <c r="G38" s="124">
        <f>Monthly_Data!C61</f>
        <v>5</v>
      </c>
      <c r="H38" s="124">
        <f>Monthly_Data!D61</f>
        <v>5</v>
      </c>
      <c r="I38" s="124">
        <f>Monthly_Data!E61</f>
        <v>4</v>
      </c>
      <c r="J38" s="124">
        <f>Monthly_Data!F61</f>
        <v>4</v>
      </c>
      <c r="K38" s="124">
        <f>Monthly_Data!G61</f>
        <v>3</v>
      </c>
      <c r="L38" s="124">
        <f>Monthly_Data!H61</f>
        <v>3</v>
      </c>
      <c r="M38" s="124">
        <f>Monthly_Data!I61</f>
        <v>2</v>
      </c>
      <c r="N38" s="124">
        <f>Monthly_Data!J61</f>
        <v>2</v>
      </c>
      <c r="O38" s="124">
        <f>Monthly_Data!K61</f>
        <v>2</v>
      </c>
      <c r="P38" s="124">
        <f>Monthly_Data!L61</f>
        <v>2</v>
      </c>
      <c r="Q38" s="124">
        <f>Monthly_Data!M61</f>
        <v>2</v>
      </c>
      <c r="R38" s="124">
        <f>Monthly_Data!N61</f>
        <v>2</v>
      </c>
      <c r="S38" s="120">
        <f t="shared" si="0"/>
        <v>3</v>
      </c>
      <c r="T38" s="120">
        <f t="shared" si="1"/>
        <v>2</v>
      </c>
      <c r="U38" s="125">
        <f t="shared" si="2"/>
        <v>2</v>
      </c>
      <c r="V38" s="125">
        <f t="shared" si="3"/>
        <v>0</v>
      </c>
      <c r="W38" s="94" t="str">
        <f>IFERROR(IF((R38-G38)&lt;0,"↑ Improving",IF((R38-G38)&gt;0,"↓ Worsening","→ Stable")),"N/A")</f>
        <v>↑ Improving</v>
      </c>
    </row>
    <row r="39" spans="1:23" ht="15" customHeight="1" x14ac:dyDescent="0.25">
      <c r="A39" s="95">
        <v>38</v>
      </c>
      <c r="B39" s="96" t="s">
        <v>156</v>
      </c>
      <c r="C39" s="97" t="s">
        <v>157</v>
      </c>
      <c r="D39" s="97" t="s">
        <v>5159</v>
      </c>
      <c r="E39" s="126">
        <v>50</v>
      </c>
      <c r="F39" s="127">
        <v>60</v>
      </c>
      <c r="G39" s="128">
        <f>Monthly_Data!C63</f>
        <v>58</v>
      </c>
      <c r="H39" s="128">
        <f>Monthly_Data!D63</f>
        <v>59</v>
      </c>
      <c r="I39" s="128">
        <f>Monthly_Data!E63</f>
        <v>60</v>
      </c>
      <c r="J39" s="128">
        <f>Monthly_Data!F63</f>
        <v>61</v>
      </c>
      <c r="K39" s="128">
        <f>Monthly_Data!G63</f>
        <v>62</v>
      </c>
      <c r="L39" s="128">
        <f>Monthly_Data!H63</f>
        <v>62</v>
      </c>
      <c r="M39" s="128">
        <f>Monthly_Data!I63</f>
        <v>63</v>
      </c>
      <c r="N39" s="128">
        <f>Monthly_Data!J63</f>
        <v>63</v>
      </c>
      <c r="O39" s="128">
        <f>Monthly_Data!K63</f>
        <v>62</v>
      </c>
      <c r="P39" s="128">
        <f>Monthly_Data!L63</f>
        <v>62</v>
      </c>
      <c r="Q39" s="128">
        <f>Monthly_Data!M63</f>
        <v>62</v>
      </c>
      <c r="R39" s="128">
        <f>Monthly_Data!N63</f>
        <v>62</v>
      </c>
      <c r="S39" s="129">
        <f t="shared" si="0"/>
        <v>61.333333333333336</v>
      </c>
      <c r="T39" s="129">
        <f t="shared" si="1"/>
        <v>62</v>
      </c>
      <c r="U39" s="130">
        <f t="shared" si="2"/>
        <v>62</v>
      </c>
      <c r="V39" s="130">
        <f t="shared" si="3"/>
        <v>0</v>
      </c>
      <c r="W39" s="102" t="str">
        <f>IFERROR(IF((R39-G39)&gt;0,"↑ Improving",IF((R39-G39)&lt;0,"↓ Worsening","→ Stable")),"N/A")</f>
        <v>↑ Improving</v>
      </c>
    </row>
    <row r="40" spans="1:23" ht="15" customHeight="1" x14ac:dyDescent="0.25">
      <c r="A40" s="86">
        <v>39</v>
      </c>
      <c r="B40" s="87" t="s">
        <v>5324</v>
      </c>
      <c r="C40" s="88" t="s">
        <v>98</v>
      </c>
      <c r="D40" s="88" t="s">
        <v>5159</v>
      </c>
      <c r="E40" s="89">
        <v>80</v>
      </c>
      <c r="F40" s="90">
        <v>90</v>
      </c>
      <c r="G40" s="91">
        <f>IF(Monthly_Data!C64=0,"",((Monthly_Data!C65/Monthly_Data!C64)*100))</f>
        <v>90</v>
      </c>
      <c r="H40" s="91">
        <f>IF(Monthly_Data!D64=0,"",((Monthly_Data!D65/Monthly_Data!D64)*100))</f>
        <v>91</v>
      </c>
      <c r="I40" s="91">
        <f>IF(Monthly_Data!E64=0,"",((Monthly_Data!E65/Monthly_Data!E64)*100))</f>
        <v>92.983606557377058</v>
      </c>
      <c r="J40" s="91">
        <f>IF(Monthly_Data!F64=0,"",((Monthly_Data!F65/Monthly_Data!F64)*100))</f>
        <v>94</v>
      </c>
      <c r="K40" s="91">
        <f>IF(Monthly_Data!G64=0,"",((Monthly_Data!G65/Monthly_Data!G64)*100))</f>
        <v>90.482758620689651</v>
      </c>
      <c r="L40" s="91">
        <f>IF(Monthly_Data!H64=0,"",((Monthly_Data!H65/Monthly_Data!H64)*100))</f>
        <v>96</v>
      </c>
      <c r="M40" s="91">
        <f>IF(Monthly_Data!I64=0,"",((Monthly_Data!I65/Monthly_Data!I64)*100))</f>
        <v>99.5</v>
      </c>
      <c r="N40" s="91">
        <f>IF(Monthly_Data!J64=0,"",((Monthly_Data!J65/Monthly_Data!J64)*100))</f>
        <v>96.981818181818184</v>
      </c>
      <c r="O40" s="91">
        <f>IF(Monthly_Data!K64=0,"",((Monthly_Data!K65/Monthly_Data!K64)*100))</f>
        <v>97</v>
      </c>
      <c r="P40" s="91">
        <f>IF(Monthly_Data!L64=0,"",((Monthly_Data!L65/Monthly_Data!L64)*100))</f>
        <v>97.018867924528308</v>
      </c>
      <c r="Q40" s="91">
        <f>IF(Monthly_Data!M64=0,"",((Monthly_Data!M65/Monthly_Data!M64)*100))</f>
        <v>96.981818181818184</v>
      </c>
      <c r="R40" s="91">
        <f>IF(Monthly_Data!N64=0,"",((Monthly_Data!N65/Monthly_Data!N64)*100))</f>
        <v>96.981818181818184</v>
      </c>
      <c r="S40" s="92">
        <f t="shared" si="0"/>
        <v>94.910890637337459</v>
      </c>
      <c r="T40" s="92">
        <f t="shared" si="1"/>
        <v>96.981818181818184</v>
      </c>
      <c r="U40" s="93">
        <f t="shared" si="2"/>
        <v>96.994168096054906</v>
      </c>
      <c r="V40" s="93">
        <f t="shared" si="3"/>
        <v>0</v>
      </c>
      <c r="W40" s="94" t="str">
        <f>IFERROR(IF((R40-G40)&gt;0,"↑ Improving",IF((R40-G40)&lt;0,"↓ Worsening","→ Stable")),"N/A")</f>
        <v>↑ Improving</v>
      </c>
    </row>
    <row r="41" spans="1:23" ht="15" customHeight="1" x14ac:dyDescent="0.25">
      <c r="A41" s="95">
        <v>40</v>
      </c>
      <c r="B41" s="96" t="s">
        <v>5276</v>
      </c>
      <c r="C41" s="97" t="s">
        <v>98</v>
      </c>
      <c r="D41" s="97" t="s">
        <v>5134</v>
      </c>
      <c r="E41" s="98">
        <v>90</v>
      </c>
      <c r="F41" s="99">
        <v>80</v>
      </c>
      <c r="G41" s="100">
        <f>IF(Monthly_Data!C68=0,"",(Monthly_Data!C67/(0.15*Monthly_Data!C68)*100))</f>
        <v>99</v>
      </c>
      <c r="H41" s="100">
        <f>IF(Monthly_Data!D68=0,"",(Monthly_Data!D67/(0.15*Monthly_Data!D68)*100))</f>
        <v>99.50248756218906</v>
      </c>
      <c r="I41" s="100">
        <f>IF(Monthly_Data!E68=0,"",(Monthly_Data!E67/(0.15*Monthly_Data!E68)*100))</f>
        <v>102.47524752475248</v>
      </c>
      <c r="J41" s="100">
        <f>IF(Monthly_Data!F68=0,"",(Monthly_Data!F67/(0.15*Monthly_Data!F68)*100))</f>
        <v>103.44827586206897</v>
      </c>
      <c r="K41" s="100">
        <f>IF(Monthly_Data!G68=0,"",(Monthly_Data!G67/(0.15*Monthly_Data!G68)*100))</f>
        <v>103.92156862745099</v>
      </c>
      <c r="L41" s="100">
        <f>IF(Monthly_Data!H68=0,"",(Monthly_Data!H67/(0.15*Monthly_Data!H68)*100))</f>
        <v>104.8780487804878</v>
      </c>
      <c r="M41" s="100">
        <f>IF(Monthly_Data!I68=0,"",(Monthly_Data!I67/(0.15*Monthly_Data!I68)*100))</f>
        <v>104.8780487804878</v>
      </c>
      <c r="N41" s="100">
        <f>IF(Monthly_Data!J68=0,"",(Monthly_Data!J67/(0.15*Monthly_Data!J68)*100))</f>
        <v>106.34146341463415</v>
      </c>
      <c r="O41" s="100">
        <f>IF(Monthly_Data!K68=0,"",(Monthly_Data!K67/(0.15*Monthly_Data!K68)*100))</f>
        <v>97.101126777658635</v>
      </c>
      <c r="P41" s="100">
        <f>IF(Monthly_Data!L68=0,"",(Monthly_Data!L67/(0.15*Monthly_Data!L68)*100))</f>
        <v>96.272343763580082</v>
      </c>
      <c r="Q41" s="100">
        <f>IF(Monthly_Data!M68=0,"",(Monthly_Data!M67/(0.15*Monthly_Data!M68)*100))</f>
        <v>96.033550069602299</v>
      </c>
      <c r="R41" s="100">
        <f>IF(Monthly_Data!N68=0,"",(Monthly_Data!N67/(0.15*Monthly_Data!N68)*100))</f>
        <v>94.760360610986993</v>
      </c>
      <c r="S41" s="92">
        <f t="shared" si="0"/>
        <v>100.71771014782495</v>
      </c>
      <c r="T41" s="92">
        <f t="shared" si="1"/>
        <v>94.760360610986993</v>
      </c>
      <c r="U41" s="101">
        <f t="shared" si="2"/>
        <v>95.688751481389787</v>
      </c>
      <c r="V41" s="101">
        <f t="shared" si="3"/>
        <v>-1.2731894586153061</v>
      </c>
      <c r="W41" s="102" t="str">
        <f>IFERROR(IF((R41-G41)&lt;0,"↑ Improving",IF((R41-G41)&gt;0,"↓ Worsening","→ Stable")),"N/A")</f>
        <v>↑ Improving</v>
      </c>
    </row>
  </sheetData>
  <mergeCells count="2">
    <mergeCell ref="A2:W2"/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Monthly_Data</vt:lpstr>
      <vt:lpstr>Table_of_Contents</vt:lpstr>
      <vt:lpstr>KRI_Master_Summary</vt:lpstr>
      <vt:lpstr>P1_Credit_Risk</vt:lpstr>
      <vt:lpstr>P1_Market_Risk</vt:lpstr>
      <vt:lpstr>P1_Operational_Risk</vt:lpstr>
      <vt:lpstr>P1_Capital_Adequacy</vt:lpstr>
      <vt:lpstr>P2_Liquidity_Risk</vt:lpstr>
      <vt:lpstr>P2_IRRBB</vt:lpstr>
      <vt:lpstr>P2_Concentration_Risk</vt:lpstr>
      <vt:lpstr>P2_Climate_Risk</vt:lpstr>
      <vt:lpstr>P2_Cyber_Risk</vt:lpstr>
      <vt:lpstr>P2_Fraud_Risk</vt:lpstr>
      <vt:lpstr>P2_Third_Party_Risk</vt:lpstr>
      <vt:lpstr>P2_Reputational_Risk</vt:lpstr>
      <vt:lpstr>P2_Strategic_Risk</vt:lpstr>
      <vt:lpstr>KRI_Thresholds</vt:lpstr>
      <vt:lpstr>P3_Capital_Disclosure</vt:lpstr>
      <vt:lpstr>P3_Market_Disclosure</vt:lpstr>
      <vt:lpstr>Monthly_KRI_Trend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Atanu Das (IND)</cp:lastModifiedBy>
  <cp:revision>0</cp:revision>
  <dcterms:created xsi:type="dcterms:W3CDTF">2026-04-02T04:58:57Z</dcterms:created>
  <dcterms:modified xsi:type="dcterms:W3CDTF">2026-04-21T05:50:10Z</dcterms:modified>
  <dc:language>en-US</dc:language>
</cp:coreProperties>
</file>